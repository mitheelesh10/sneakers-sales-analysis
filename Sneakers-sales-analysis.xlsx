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wdp" ContentType="image/vnd.ms-photo"/>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pivotTables/pivotTable5.xml" ContentType="application/vnd.openxmlformats-officedocument.spreadsheetml.pivotTable+xml"/>
  <Override PartName="/xl/tables/table2.xml" ContentType="application/vnd.openxmlformats-officedocument.spreadsheetml.table+xml"/>
  <Override PartName="/xl/pivotTables/pivotTable6.xml" ContentType="application/vnd.openxmlformats-officedocument.spreadsheetml.pivotTable+xml"/>
  <Override PartName="/xl/tables/table3.xml" ContentType="application/vnd.openxmlformats-officedocument.spreadsheetml.table+xml"/>
  <Override PartName="/xl/pivotTables/pivotTable7.xml" ContentType="application/vnd.openxmlformats-officedocument.spreadsheetml.pivotTable+xml"/>
  <Override PartName="/xl/tables/table4.xml" ContentType="application/vnd.openxmlformats-officedocument.spreadsheetml.table+xml"/>
  <Override PartName="/xl/pivotTables/pivotTable8.xml" ContentType="application/vnd.openxmlformats-officedocument.spreadsheetml.pivotTable+xml"/>
  <Override PartName="/xl/tables/table5.xml" ContentType="application/vnd.openxmlformats-officedocument.spreadsheetml.table+xml"/>
  <Override PartName="/xl/pivotTables/pivotTable9.xml" ContentType="application/vnd.openxmlformats-officedocument.spreadsheetml.pivotTable+xml"/>
  <Override PartName="/xl/tables/table6.xml" ContentType="application/vnd.openxmlformats-officedocument.spreadsheetml.table+xml"/>
  <Override PartName="/xl/pivotTables/pivotTable10.xml" ContentType="application/vnd.openxmlformats-officedocument.spreadsheetml.pivotTable+xml"/>
  <Override PartName="/xl/tables/table7.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defaultThemeVersion="166925"/>
  <mc:AlternateContent xmlns:mc="http://schemas.openxmlformats.org/markup-compatibility/2006">
    <mc:Choice Requires="x15">
      <x15ac:absPath xmlns:x15ac="http://schemas.microsoft.com/office/spreadsheetml/2010/11/ac" url="C:\Users\acer\Downloads\"/>
    </mc:Choice>
  </mc:AlternateContent>
  <xr:revisionPtr revIDLastSave="0" documentId="13_ncr:1_{801534E1-E52D-4381-971E-33CCB33AC64C}" xr6:coauthVersionLast="36" xr6:coauthVersionMax="36" xr10:uidLastSave="{00000000-0000-0000-0000-000000000000}"/>
  <bookViews>
    <workbookView xWindow="0" yWindow="0" windowWidth="20490" windowHeight="7545" tabRatio="743" activeTab="4" xr2:uid="{00000000-000D-0000-FFFF-FFFF00000000}"/>
  </bookViews>
  <sheets>
    <sheet name="Sheet1" sheetId="13" r:id="rId1"/>
    <sheet name="Sales Data Sneakers  " sheetId="10" r:id="rId2"/>
    <sheet name="PB(1)" sheetId="1" r:id="rId3"/>
    <sheet name="PB(2)" sheetId="4" r:id="rId4"/>
    <sheet name="PB(3)" sheetId="6" r:id="rId5"/>
    <sheet name="PB(4)" sheetId="8" r:id="rId6"/>
    <sheet name="PB(5)" sheetId="9" r:id="rId7"/>
    <sheet name="PB (6)" sheetId="11" r:id="rId8"/>
    <sheet name="DB" sheetId="12" r:id="rId9"/>
  </sheets>
  <definedNames>
    <definedName name="Slicer_Brand">#N/A</definedName>
    <definedName name="Slicer_Country">#N/A</definedName>
    <definedName name="Slicer_Country1">#N/A</definedName>
    <definedName name="Slicer_Gender">#N/A</definedName>
  </definedNames>
  <calcPr calcId="191029"/>
  <pivotCaches>
    <pivotCache cacheId="0" r:id="rId10"/>
    <pivotCache cacheId="1" r:id="rId11"/>
    <pivotCache cacheId="2" r:id="rId12"/>
    <pivotCache cacheId="3" r:id="rId13"/>
    <pivotCache cacheId="4" r:id="rId14"/>
    <pivotCache cacheId="5" r:id="rId15"/>
    <pivotCache cacheId="6" r:id="rId16"/>
  </pivotCaches>
  <extLst>
    <ext xmlns:x14="http://schemas.microsoft.com/office/spreadsheetml/2009/9/main" uri="{BBE1A952-AA13-448e-AADC-164F8A28A991}">
      <x14:slicerCaches>
        <x14:slicerCache r:id="rId17"/>
        <x14:slicerCache r:id="rId18"/>
        <x14:slicerCache r:id="rId19"/>
        <x14:slicerCache r:id="rId20"/>
      </x14:slicerCaches>
    </ext>
    <ext xmlns:x14="http://schemas.microsoft.com/office/spreadsheetml/2009/9/main" uri="{79F54976-1DA5-4618-B147-4CDE4B953A38}">
      <x14:workbookPr/>
    </ext>
  </extLst>
</workbook>
</file>

<file path=xl/calcChain.xml><?xml version="1.0" encoding="utf-8"?>
<calcChain xmlns="http://schemas.openxmlformats.org/spreadsheetml/2006/main">
  <c r="O25" i="4" l="1"/>
  <c r="O21" i="4"/>
  <c r="S10" i="11" l="1"/>
  <c r="S8" i="11"/>
  <c r="P19" i="9"/>
  <c r="O19" i="9"/>
  <c r="Q34" i="6"/>
  <c r="Q32" i="6"/>
  <c r="Q30" i="6"/>
  <c r="Q29" i="6"/>
  <c r="P27" i="6"/>
  <c r="Q27" i="6"/>
  <c r="P32" i="6"/>
  <c r="P34" i="6"/>
  <c r="P31" i="6"/>
  <c r="P29" i="6"/>
  <c r="Q31" i="6"/>
  <c r="Q28" i="6"/>
  <c r="Q33" i="6"/>
  <c r="P33" i="6"/>
  <c r="P28" i="6"/>
  <c r="B2" i="6"/>
  <c r="B3" i="6"/>
  <c r="B4" i="6"/>
  <c r="B5" i="6"/>
  <c r="B6" i="6"/>
  <c r="B7" i="6"/>
  <c r="B8" i="6"/>
  <c r="B9" i="6"/>
  <c r="B10" i="6"/>
  <c r="B11" i="6"/>
  <c r="B12" i="6"/>
  <c r="B13" i="6"/>
  <c r="B14" i="6"/>
  <c r="B15" i="6"/>
  <c r="B16" i="6"/>
  <c r="B17" i="6"/>
  <c r="B18" i="6"/>
  <c r="B19" i="6"/>
  <c r="B20" i="6"/>
  <c r="B21" i="6"/>
  <c r="B22" i="6"/>
  <c r="B23" i="6"/>
  <c r="B24" i="6"/>
  <c r="B25" i="6"/>
  <c r="B26" i="6"/>
  <c r="B27" i="6"/>
  <c r="B28" i="6"/>
  <c r="B29" i="6"/>
  <c r="B30" i="6"/>
  <c r="B31" i="6"/>
  <c r="B32" i="6"/>
  <c r="B33" i="6"/>
  <c r="B34" i="6"/>
  <c r="B35" i="6"/>
  <c r="B36" i="6"/>
  <c r="B37" i="6"/>
  <c r="B38" i="6"/>
  <c r="B39" i="6"/>
  <c r="B40" i="6"/>
  <c r="B41" i="6"/>
  <c r="B42" i="6"/>
  <c r="B43" i="6"/>
  <c r="B44" i="6"/>
  <c r="B45" i="6"/>
  <c r="B46" i="6"/>
  <c r="B47" i="6"/>
  <c r="B48" i="6"/>
  <c r="B49" i="6"/>
  <c r="B50" i="6"/>
  <c r="B51" i="6"/>
  <c r="B52" i="6"/>
  <c r="B53" i="6"/>
  <c r="B54" i="6"/>
  <c r="B55" i="6"/>
  <c r="B56" i="6"/>
  <c r="B57" i="6"/>
  <c r="B58" i="6"/>
  <c r="B59" i="6"/>
  <c r="B60" i="6"/>
  <c r="B61" i="6"/>
  <c r="B62" i="6"/>
  <c r="B63" i="6"/>
  <c r="B64" i="6"/>
  <c r="B65" i="6"/>
  <c r="B66" i="6"/>
  <c r="B67" i="6"/>
  <c r="B68" i="6"/>
  <c r="B69" i="6"/>
  <c r="B70" i="6"/>
  <c r="B71" i="6"/>
  <c r="B72" i="6"/>
  <c r="B73" i="6"/>
  <c r="B74" i="6"/>
  <c r="B75" i="6"/>
  <c r="B76" i="6"/>
  <c r="B77" i="6"/>
  <c r="B78" i="6"/>
  <c r="B79" i="6"/>
  <c r="B80" i="6"/>
  <c r="B81" i="6"/>
  <c r="B82" i="6"/>
  <c r="B83" i="6"/>
  <c r="B84" i="6"/>
  <c r="B85" i="6"/>
  <c r="B86" i="6"/>
  <c r="B87" i="6"/>
  <c r="B88" i="6"/>
  <c r="B89" i="6"/>
  <c r="B90" i="6"/>
  <c r="B91" i="6"/>
  <c r="B92" i="6"/>
  <c r="B93" i="6"/>
  <c r="B94" i="6"/>
  <c r="B95" i="6"/>
  <c r="B96" i="6"/>
  <c r="B97" i="6"/>
  <c r="B98" i="6"/>
  <c r="B99" i="6"/>
  <c r="B100" i="6"/>
  <c r="B101" i="6"/>
  <c r="B102" i="6"/>
  <c r="B103" i="6"/>
  <c r="B104" i="6"/>
  <c r="B105" i="6"/>
  <c r="B106" i="6"/>
  <c r="B107" i="6"/>
  <c r="B108" i="6"/>
  <c r="B109" i="6"/>
  <c r="B110" i="6"/>
  <c r="B111" i="6"/>
  <c r="B112" i="6"/>
  <c r="B113" i="6"/>
  <c r="B114" i="6"/>
  <c r="B115" i="6"/>
  <c r="B116" i="6"/>
  <c r="B117" i="6"/>
  <c r="B118" i="6"/>
  <c r="B119" i="6"/>
  <c r="B120" i="6"/>
  <c r="B121" i="6"/>
  <c r="B122" i="6"/>
  <c r="B123" i="6"/>
  <c r="B124" i="6"/>
  <c r="B125" i="6"/>
  <c r="B126" i="6"/>
  <c r="B127" i="6"/>
  <c r="B128" i="6"/>
  <c r="B129" i="6"/>
  <c r="B130" i="6"/>
  <c r="B131" i="6"/>
  <c r="B132" i="6"/>
  <c r="B133" i="6"/>
  <c r="B134" i="6"/>
  <c r="B135" i="6"/>
  <c r="B136" i="6"/>
  <c r="B137" i="6"/>
  <c r="B138" i="6"/>
  <c r="B139" i="6"/>
  <c r="B140" i="6"/>
  <c r="B141" i="6"/>
  <c r="B142" i="6"/>
  <c r="B143" i="6"/>
  <c r="B144" i="6"/>
  <c r="B145" i="6"/>
  <c r="B146" i="6"/>
  <c r="B147" i="6"/>
  <c r="B148" i="6"/>
  <c r="B149" i="6"/>
  <c r="B150" i="6"/>
  <c r="B151" i="6"/>
  <c r="B152" i="6"/>
  <c r="B153" i="6"/>
  <c r="B154" i="6"/>
  <c r="B155" i="6"/>
  <c r="B156" i="6"/>
  <c r="B157" i="6"/>
  <c r="B158" i="6"/>
  <c r="B159" i="6"/>
  <c r="B160" i="6"/>
  <c r="B161" i="6"/>
  <c r="B162" i="6"/>
  <c r="B163" i="6"/>
  <c r="B164" i="6"/>
  <c r="B165" i="6"/>
  <c r="B166" i="6"/>
  <c r="B167" i="6"/>
  <c r="B168" i="6"/>
  <c r="B169" i="6"/>
  <c r="B170" i="6"/>
  <c r="B171" i="6"/>
  <c r="B172" i="6"/>
  <c r="B173" i="6"/>
  <c r="B174" i="6"/>
  <c r="B175" i="6"/>
  <c r="B176" i="6"/>
  <c r="B177" i="6"/>
  <c r="B178" i="6"/>
  <c r="B179" i="6"/>
  <c r="B180" i="6"/>
  <c r="B181" i="6"/>
  <c r="B182" i="6"/>
  <c r="B183" i="6"/>
  <c r="B184" i="6"/>
  <c r="B185" i="6"/>
  <c r="B186" i="6"/>
  <c r="B187" i="6"/>
  <c r="B188" i="6"/>
  <c r="B189" i="6"/>
  <c r="B190" i="6"/>
  <c r="B191" i="6"/>
  <c r="B192" i="6"/>
  <c r="B193" i="6"/>
  <c r="B194" i="6"/>
  <c r="B195" i="6"/>
  <c r="B196" i="6"/>
  <c r="B197" i="6"/>
  <c r="B198" i="6"/>
  <c r="B199" i="6"/>
  <c r="B200" i="6"/>
  <c r="B201" i="6"/>
  <c r="B202" i="6"/>
  <c r="B203" i="6"/>
  <c r="B204" i="6"/>
  <c r="B205" i="6"/>
  <c r="B206" i="6"/>
  <c r="B207" i="6"/>
  <c r="B208" i="6"/>
  <c r="B209" i="6"/>
  <c r="B210" i="6"/>
  <c r="B211" i="6"/>
  <c r="B212" i="6"/>
  <c r="B213" i="6"/>
  <c r="B214" i="6"/>
  <c r="B215" i="6"/>
  <c r="B216" i="6"/>
  <c r="B217" i="6"/>
  <c r="B218" i="6"/>
  <c r="B219" i="6"/>
  <c r="B220" i="6"/>
  <c r="B221" i="6"/>
  <c r="B222" i="6"/>
  <c r="B223" i="6"/>
  <c r="B224" i="6"/>
  <c r="B225" i="6"/>
  <c r="B226" i="6"/>
  <c r="B227" i="6"/>
  <c r="B228" i="6"/>
  <c r="B229" i="6"/>
  <c r="B230" i="6"/>
  <c r="B231" i="6"/>
  <c r="B232" i="6"/>
  <c r="B233" i="6"/>
  <c r="B234" i="6"/>
  <c r="B235" i="6"/>
  <c r="B236" i="6"/>
  <c r="B237" i="6"/>
  <c r="B238" i="6"/>
  <c r="B239" i="6"/>
  <c r="B240" i="6"/>
  <c r="B241" i="6"/>
  <c r="B242" i="6"/>
  <c r="B243" i="6"/>
  <c r="B244" i="6"/>
  <c r="B245" i="6"/>
  <c r="B246" i="6"/>
  <c r="B247" i="6"/>
  <c r="B248" i="6"/>
  <c r="B249" i="6"/>
  <c r="B250" i="6"/>
  <c r="B251" i="6"/>
  <c r="B252" i="6"/>
  <c r="B253" i="6"/>
  <c r="B254" i="6"/>
  <c r="B255" i="6"/>
  <c r="B256" i="6"/>
  <c r="B257" i="6"/>
  <c r="B258" i="6"/>
  <c r="B259" i="6"/>
  <c r="B260" i="6"/>
  <c r="B261" i="6"/>
  <c r="B262" i="6"/>
  <c r="B263" i="6"/>
  <c r="B264" i="6"/>
  <c r="B265" i="6"/>
  <c r="B266" i="6"/>
  <c r="B267" i="6"/>
  <c r="B268" i="6"/>
  <c r="B269" i="6"/>
  <c r="B270" i="6"/>
  <c r="B271" i="6"/>
  <c r="B272" i="6"/>
  <c r="B273" i="6"/>
  <c r="B274" i="6"/>
  <c r="B275" i="6"/>
  <c r="B276" i="6"/>
  <c r="B277" i="6"/>
  <c r="B278" i="6"/>
  <c r="B279" i="6"/>
  <c r="B280" i="6"/>
  <c r="B281" i="6"/>
  <c r="B282" i="6"/>
  <c r="B283" i="6"/>
  <c r="B284" i="6"/>
  <c r="B285" i="6"/>
  <c r="B286" i="6"/>
  <c r="B287" i="6"/>
  <c r="B288" i="6"/>
  <c r="B289" i="6"/>
  <c r="B290" i="6"/>
  <c r="B291" i="6"/>
  <c r="B292" i="6"/>
  <c r="B293" i="6"/>
  <c r="B294" i="6"/>
  <c r="B295" i="6"/>
  <c r="B296" i="6"/>
  <c r="B297" i="6"/>
  <c r="B298" i="6"/>
  <c r="B299" i="6"/>
  <c r="B300" i="6"/>
  <c r="B301" i="6"/>
  <c r="B302" i="6"/>
  <c r="B303" i="6"/>
  <c r="B304" i="6"/>
  <c r="B305" i="6"/>
  <c r="B306" i="6"/>
  <c r="B307" i="6"/>
  <c r="B308" i="6"/>
  <c r="B309" i="6"/>
  <c r="B310" i="6"/>
  <c r="B311" i="6"/>
  <c r="B312" i="6"/>
  <c r="B313" i="6"/>
  <c r="B314" i="6"/>
  <c r="B315" i="6"/>
  <c r="B316" i="6"/>
  <c r="B317" i="6"/>
  <c r="O28" i="4" l="1"/>
  <c r="P7" i="1"/>
  <c r="P6" i="1"/>
</calcChain>
</file>

<file path=xl/sharedStrings.xml><?xml version="1.0" encoding="utf-8"?>
<sst xmlns="http://schemas.openxmlformats.org/spreadsheetml/2006/main" count="16105" uniqueCount="190">
  <si>
    <t>Date</t>
  </si>
  <si>
    <t>Product Name</t>
  </si>
  <si>
    <t>Product Type</t>
  </si>
  <si>
    <t>Brand</t>
  </si>
  <si>
    <t>Gender</t>
  </si>
  <si>
    <t>Category</t>
  </si>
  <si>
    <t>Country</t>
  </si>
  <si>
    <t>Quantity</t>
  </si>
  <si>
    <t>Unit Price ($)</t>
  </si>
  <si>
    <t>Amount ($)</t>
  </si>
  <si>
    <t>Payment Mode</t>
  </si>
  <si>
    <t>Fear of God Essentials Tee</t>
  </si>
  <si>
    <t>T-shirt</t>
  </si>
  <si>
    <t>Essentials</t>
  </si>
  <si>
    <t>Unisex</t>
  </si>
  <si>
    <t>Limited Edition</t>
  </si>
  <si>
    <t>Japan</t>
  </si>
  <si>
    <t>Card</t>
  </si>
  <si>
    <t>Yeezy Boost 350</t>
  </si>
  <si>
    <t>Sneakers</t>
  </si>
  <si>
    <t>Adidas</t>
  </si>
  <si>
    <t>Streetwear</t>
  </si>
  <si>
    <t>USA</t>
  </si>
  <si>
    <t>Cash on Delivery</t>
  </si>
  <si>
    <t>Nike Dunk Low</t>
  </si>
  <si>
    <t>Nike</t>
  </si>
  <si>
    <t>Women</t>
  </si>
  <si>
    <t>Germany</t>
  </si>
  <si>
    <t>Nike Tech Fleece</t>
  </si>
  <si>
    <t>Hoodie</t>
  </si>
  <si>
    <t>Men</t>
  </si>
  <si>
    <t>Jordan 1 High</t>
  </si>
  <si>
    <t>Casual</t>
  </si>
  <si>
    <t>Australia</t>
  </si>
  <si>
    <t>UK</t>
  </si>
  <si>
    <t>UPI</t>
  </si>
  <si>
    <t>Wallet</t>
  </si>
  <si>
    <t>Off-White Hoodie</t>
  </si>
  <si>
    <t>Off-White</t>
  </si>
  <si>
    <t>Canada</t>
  </si>
  <si>
    <t>Sportswear</t>
  </si>
  <si>
    <t>Supreme Hoodie</t>
  </si>
  <si>
    <t>Supreme</t>
  </si>
  <si>
    <t>India</t>
  </si>
  <si>
    <t>Adidas Ultraboost</t>
  </si>
  <si>
    <t>New Era Cap</t>
  </si>
  <si>
    <t>Cap</t>
  </si>
  <si>
    <t>New Era</t>
  </si>
  <si>
    <t>Puma Joggers</t>
  </si>
  <si>
    <t>Joggers</t>
  </si>
  <si>
    <t>Puma</t>
  </si>
  <si>
    <t xml:space="preserve">Que.1 </t>
  </si>
  <si>
    <t>High-Value Customer Segment Identification</t>
  </si>
  <si>
    <t xml:space="preserve">Median of Quality </t>
  </si>
  <si>
    <t>Row Labels</t>
  </si>
  <si>
    <t>Grand Total</t>
  </si>
  <si>
    <t>Sum of Amount ($)</t>
  </si>
  <si>
    <t>Average of Amount ($)</t>
  </si>
  <si>
    <t>Sum of Quantity</t>
  </si>
  <si>
    <t xml:space="preserve">Average of Amount </t>
  </si>
  <si>
    <t>The top-performing Gender-Country segment</t>
  </si>
  <si>
    <t xml:space="preserve">Pricing Power of Top Brands vs. Competitors </t>
  </si>
  <si>
    <t>Que 2.</t>
  </si>
  <si>
    <t>Average for Sneakers other brands</t>
  </si>
  <si>
    <t>Average of total brands for sneaker</t>
  </si>
  <si>
    <t>Monthly</t>
  </si>
  <si>
    <t>01-2022</t>
  </si>
  <si>
    <t>02-2022</t>
  </si>
  <si>
    <t>03-2022</t>
  </si>
  <si>
    <t>04-2022</t>
  </si>
  <si>
    <t>05-2022</t>
  </si>
  <si>
    <t>06-2022</t>
  </si>
  <si>
    <t>07-2022</t>
  </si>
  <si>
    <t>08-2022</t>
  </si>
  <si>
    <t>Column Labels</t>
  </si>
  <si>
    <t>01-Jan</t>
  </si>
  <si>
    <t>03-Jan</t>
  </si>
  <si>
    <t>17-Jan</t>
  </si>
  <si>
    <t>22-Jan</t>
  </si>
  <si>
    <t>29-Jan</t>
  </si>
  <si>
    <t>03-Feb</t>
  </si>
  <si>
    <t>07-Feb</t>
  </si>
  <si>
    <t>08-Feb</t>
  </si>
  <si>
    <t>12-Feb</t>
  </si>
  <si>
    <t>13-Feb</t>
  </si>
  <si>
    <t>06-Mar</t>
  </si>
  <si>
    <t>09-Mar</t>
  </si>
  <si>
    <t>12-Mar</t>
  </si>
  <si>
    <t>15-Mar</t>
  </si>
  <si>
    <t>18-Mar</t>
  </si>
  <si>
    <t>02-Apr</t>
  </si>
  <si>
    <t>05-May</t>
  </si>
  <si>
    <t>07-May</t>
  </si>
  <si>
    <t>13-May</t>
  </si>
  <si>
    <t>26-May</t>
  </si>
  <si>
    <t>02-Jun</t>
  </si>
  <si>
    <t>05-Jun</t>
  </si>
  <si>
    <t>06-Jun</t>
  </si>
  <si>
    <t>07-Jun</t>
  </si>
  <si>
    <t>18-Jun</t>
  </si>
  <si>
    <t>26-Jun</t>
  </si>
  <si>
    <t>29-Jun</t>
  </si>
  <si>
    <t>30-Jun</t>
  </si>
  <si>
    <t>02-Jul</t>
  </si>
  <si>
    <t>03-Jul</t>
  </si>
  <si>
    <t>04-Jul</t>
  </si>
  <si>
    <t>06-Jul</t>
  </si>
  <si>
    <t>07-Jul</t>
  </si>
  <si>
    <t>09-Jul</t>
  </si>
  <si>
    <t>10-Jul</t>
  </si>
  <si>
    <t>15-Jul</t>
  </si>
  <si>
    <t>02-Aug</t>
  </si>
  <si>
    <t>04-Aug</t>
  </si>
  <si>
    <t>10-Aug</t>
  </si>
  <si>
    <t>11-Aug</t>
  </si>
  <si>
    <t>21-Aug</t>
  </si>
  <si>
    <t>24-Aug</t>
  </si>
  <si>
    <t>30-Aug</t>
  </si>
  <si>
    <t>Que.3</t>
  </si>
  <si>
    <t>Month-over-Month Growth</t>
  </si>
  <si>
    <t>MoM Growth of Limited Edition &amp; Streetwear</t>
  </si>
  <si>
    <t xml:space="preserve"> months</t>
  </si>
  <si>
    <t xml:space="preserve"> Limited Edition</t>
  </si>
  <si>
    <t>NIL</t>
  </si>
  <si>
    <t>Que.4</t>
  </si>
  <si>
    <t>Dynamic Lookup Payment Mode</t>
  </si>
  <si>
    <t>Wallet: 49344.44</t>
  </si>
  <si>
    <t>Canada: 8871.08</t>
  </si>
  <si>
    <t>Average of Unit Price ($)</t>
  </si>
  <si>
    <t>Percentile</t>
  </si>
  <si>
    <t xml:space="preserve">Inventory Risk Assessment (Low Volume, High Price) </t>
  </si>
  <si>
    <t>Que.5</t>
  </si>
  <si>
    <t>(+)25%</t>
  </si>
  <si>
    <t>(-)10%</t>
  </si>
  <si>
    <t xml:space="preserve">Sales Velocity and Consistency Check </t>
  </si>
  <si>
    <t>Que.6</t>
  </si>
  <si>
    <t>18-Jan</t>
  </si>
  <si>
    <t>01-Feb</t>
  </si>
  <si>
    <t>10-Feb</t>
  </si>
  <si>
    <t>14-Feb</t>
  </si>
  <si>
    <t>25-Feb</t>
  </si>
  <si>
    <t>27-Feb</t>
  </si>
  <si>
    <t>28-Feb</t>
  </si>
  <si>
    <t>02-Mar</t>
  </si>
  <si>
    <t>13-Mar</t>
  </si>
  <si>
    <t>14-Mar</t>
  </si>
  <si>
    <t>16-Mar</t>
  </si>
  <si>
    <t>23-Mar</t>
  </si>
  <si>
    <t>03-Apr</t>
  </si>
  <si>
    <t>04-Apr</t>
  </si>
  <si>
    <t>06-Apr</t>
  </si>
  <si>
    <t>07-Apr</t>
  </si>
  <si>
    <t>08-Apr</t>
  </si>
  <si>
    <t>13-Apr</t>
  </si>
  <si>
    <t>16-Apr</t>
  </si>
  <si>
    <t>26-Apr</t>
  </si>
  <si>
    <t>27-Apr</t>
  </si>
  <si>
    <t>04-May</t>
  </si>
  <si>
    <t>11-May</t>
  </si>
  <si>
    <t>12-May</t>
  </si>
  <si>
    <t>19-May</t>
  </si>
  <si>
    <t>21-May</t>
  </si>
  <si>
    <t>24-May</t>
  </si>
  <si>
    <t>13-Jun</t>
  </si>
  <si>
    <t>16-Jun</t>
  </si>
  <si>
    <t>25-Jun</t>
  </si>
  <si>
    <t>12-Jul</t>
  </si>
  <si>
    <t>23-Jul</t>
  </si>
  <si>
    <t>03-Aug</t>
  </si>
  <si>
    <t>05-Aug</t>
  </si>
  <si>
    <t>06-Aug</t>
  </si>
  <si>
    <t>19-Aug</t>
  </si>
  <si>
    <t>23-Aug</t>
  </si>
  <si>
    <t>25-Aug</t>
  </si>
  <si>
    <t>Average of Casual</t>
  </si>
  <si>
    <t>Std deviation</t>
  </si>
  <si>
    <t>"Sneakers Store Sales Data Analysis"</t>
  </si>
  <si>
    <t>Jan</t>
  </si>
  <si>
    <t>Feb</t>
  </si>
  <si>
    <t>Mar</t>
  </si>
  <si>
    <t>May</t>
  </si>
  <si>
    <t>Jul</t>
  </si>
  <si>
    <t>Aug</t>
  </si>
  <si>
    <t>Apr</t>
  </si>
  <si>
    <t>SH</t>
  </si>
  <si>
    <t>Sum of Amount ($)2</t>
  </si>
  <si>
    <t>Sum of Unit Price ($)</t>
  </si>
  <si>
    <t>Jun</t>
  </si>
  <si>
    <t>Average for Sneakers of Nike brands</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</si>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</sst>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C09]#,##0.00"/>
    <numFmt numFmtId="165" formatCode="_-[$$-C09]* #,##0.00_-;\-[$$-C09]* #,##0.00_-;_-[$$-C09]* &quot;-&quot;??_-;_-@_-"/>
    <numFmt numFmtId="166" formatCode="&quot;₹&quot;\ #,##0.00"/>
  </numFmts>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
      <sz val="12"/>
      <color theme="1"/>
      <name val="Calibri"/>
      <family val="2"/>
      <scheme val="minor"/>
    </font>
    <font>
      <sz val="10"/>
      <color theme="1"/>
      <name val="Calibri"/>
      <family val="2"/>
      <scheme val="minor"/>
    </font>
    <font>
      <b/>
      <u/>
      <sz val="22"/>
      <color theme="1"/>
      <name val="Book Antiqua"/>
      <family val="1"/>
    </font>
    <font>
      <b/>
      <u/>
      <sz val="26"/>
      <color theme="1"/>
      <name val="Book Antiqua"/>
      <family val="1"/>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rgb="FFFFFF00"/>
        <bgColor indexed="64"/>
      </patternFill>
    </fill>
    <fill>
      <patternFill patternType="solid">
        <fgColor theme="2"/>
        <bgColor indexed="64"/>
      </patternFill>
    </fill>
    <fill>
      <patternFill patternType="solid">
        <fgColor theme="5" tint="0.39997558519241921"/>
        <bgColor indexed="64"/>
      </patternFill>
    </fill>
    <fill>
      <patternFill patternType="solid">
        <fgColor theme="2" tint="-9.9978637043366805E-2"/>
        <bgColor indexed="64"/>
      </patternFill>
    </fill>
    <fill>
      <patternFill patternType="solid">
        <fgColor theme="9" tint="0.39997558519241921"/>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style="thin">
        <color indexed="64"/>
      </left>
      <right style="thin">
        <color indexed="64"/>
      </right>
      <top style="thin">
        <color indexed="64"/>
      </top>
      <bottom style="thin">
        <color indexed="64"/>
      </bottom>
      <diagonal/>
    </border>
    <border>
      <left/>
      <right/>
      <top style="thin">
        <color theme="4" tint="0.39997558519241921"/>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9">
    <xf numFmtId="0" fontId="0" fillId="0" borderId="0" xfId="0"/>
    <xf numFmtId="14" fontId="0" fillId="0" borderId="0" xfId="0" applyNumberFormat="1"/>
    <xf numFmtId="0" fontId="18" fillId="34" borderId="0" xfId="0" applyFont="1" applyFill="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0" fontId="16" fillId="33" borderId="10" xfId="0" applyFont="1" applyFill="1" applyBorder="1"/>
    <xf numFmtId="0" fontId="16" fillId="35" borderId="10" xfId="0" applyFont="1" applyFill="1" applyBorder="1" applyAlignment="1">
      <alignment horizontal="left"/>
    </xf>
    <xf numFmtId="0" fontId="16" fillId="35" borderId="10" xfId="0" applyNumberFormat="1" applyFont="1" applyFill="1" applyBorder="1"/>
    <xf numFmtId="165" fontId="0" fillId="0" borderId="0" xfId="0" applyNumberFormat="1"/>
    <xf numFmtId="0" fontId="0" fillId="0" borderId="11" xfId="0" applyBorder="1"/>
    <xf numFmtId="0" fontId="0" fillId="0" borderId="11" xfId="0" applyBorder="1" applyAlignment="1">
      <alignment horizontal="center"/>
    </xf>
    <xf numFmtId="0" fontId="16" fillId="35" borderId="11" xfId="0" applyFont="1" applyFill="1" applyBorder="1" applyAlignment="1">
      <alignment horizontal="center"/>
    </xf>
    <xf numFmtId="0" fontId="0" fillId="0" borderId="11" xfId="0" applyBorder="1" applyAlignment="1">
      <alignment horizontal="left"/>
    </xf>
    <xf numFmtId="10" fontId="0" fillId="0" borderId="11" xfId="0" applyNumberFormat="1" applyBorder="1"/>
    <xf numFmtId="10" fontId="0" fillId="0" borderId="11" xfId="0" applyNumberFormat="1" applyBorder="1" applyAlignment="1">
      <alignment horizontal="center"/>
    </xf>
    <xf numFmtId="9" fontId="0" fillId="0" borderId="11" xfId="0" applyNumberFormat="1" applyBorder="1"/>
    <xf numFmtId="9" fontId="0" fillId="0" borderId="11" xfId="0" applyNumberFormat="1" applyBorder="1" applyAlignment="1">
      <alignment horizontal="center"/>
    </xf>
    <xf numFmtId="0" fontId="0" fillId="37" borderId="0" xfId="0" applyFill="1" applyAlignment="1">
      <alignment horizontal="left"/>
    </xf>
    <xf numFmtId="0" fontId="0" fillId="37" borderId="0" xfId="0" applyNumberFormat="1" applyFill="1"/>
    <xf numFmtId="0" fontId="0" fillId="37" borderId="0" xfId="0" applyFill="1" applyAlignment="1">
      <alignment horizontal="left" indent="1"/>
    </xf>
    <xf numFmtId="0" fontId="0" fillId="37" borderId="0" xfId="0" applyFill="1"/>
    <xf numFmtId="9" fontId="0" fillId="0" borderId="0" xfId="0" applyNumberFormat="1"/>
    <xf numFmtId="14" fontId="0" fillId="0" borderId="0" xfId="0" applyNumberFormat="1" applyAlignment="1">
      <alignment horizontal="left"/>
    </xf>
    <xf numFmtId="0" fontId="16" fillId="37" borderId="11" xfId="0" applyFont="1" applyFill="1" applyBorder="1"/>
    <xf numFmtId="0" fontId="16" fillId="33" borderId="12" xfId="0" applyFont="1" applyFill="1" applyBorder="1" applyAlignment="1">
      <alignment horizontal="left"/>
    </xf>
    <xf numFmtId="0" fontId="16" fillId="0" borderId="10" xfId="0" applyFont="1" applyBorder="1" applyAlignment="1">
      <alignment horizontal="left"/>
    </xf>
    <xf numFmtId="0" fontId="20" fillId="0" borderId="0" xfId="0" applyFont="1"/>
    <xf numFmtId="0" fontId="16" fillId="0" borderId="0" xfId="0" applyFont="1"/>
    <xf numFmtId="166" fontId="0" fillId="0" borderId="0" xfId="0" applyNumberFormat="1"/>
    <xf numFmtId="0" fontId="18" fillId="34" borderId="0" xfId="0" applyFont="1" applyFill="1" applyAlignment="1">
      <alignment horizontal="center"/>
    </xf>
    <xf numFmtId="0" fontId="0" fillId="0" borderId="0" xfId="0" applyAlignment="1">
      <alignment horizontal="center"/>
    </xf>
    <xf numFmtId="0" fontId="16" fillId="35" borderId="0" xfId="0" applyFont="1" applyFill="1" applyAlignment="1">
      <alignment horizontal="center"/>
    </xf>
    <xf numFmtId="0" fontId="16" fillId="0" borderId="0" xfId="0" applyFont="1" applyAlignment="1">
      <alignment horizontal="center"/>
    </xf>
    <xf numFmtId="0" fontId="0" fillId="36" borderId="0" xfId="0" applyFill="1" applyAlignment="1">
      <alignment horizontal="center"/>
    </xf>
    <xf numFmtId="0" fontId="19" fillId="37" borderId="11" xfId="0" applyFont="1" applyFill="1" applyBorder="1" applyAlignment="1">
      <alignment horizontal="center"/>
    </xf>
    <xf numFmtId="0" fontId="22" fillId="38" borderId="0" xfId="0" applyFont="1" applyFill="1" applyAlignment="1">
      <alignment horizontal="center" vertical="center"/>
    </xf>
    <xf numFmtId="0" fontId="21" fillId="38"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0">
    <dxf>
      <numFmt numFmtId="19" formatCode="dd/mm/yyyy"/>
    </dxf>
    <dxf>
      <numFmt numFmtId="19" formatCode="dd/mm/yyyy"/>
    </dxf>
    <dxf>
      <fill>
        <patternFill patternType="none">
          <fgColor indexed="64"/>
          <bgColor indexed="65"/>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numFmt numFmtId="19" formatCode="dd/mm/yyyy"/>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numFmt numFmtId="19" formatCode="dd/mm/yyyy"/>
    </dxf>
    <dxf>
      <numFmt numFmtId="19" formatCode="dd/mm/yyyy"/>
    </dxf>
    <dxf>
      <numFmt numFmtId="165" formatCode="_-[$$-C09]* #,##0.00_-;\-[$$-C09]* #,##0.00_-;_-[$$-C09]* &quot;-&quot;??_-;_-@_-"/>
    </dxf>
    <dxf>
      <numFmt numFmtId="166" formatCode="&quot;₹&quot;\ #,##0.00"/>
    </dxf>
    <dxf>
      <numFmt numFmtId="19" formatCode="dd/mm/yyyy"/>
    </dxf>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0" Type="http://schemas.microsoft.com/office/2007/relationships/slicerCache" Target="slicerCaches/slicerCache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pivotCacheDefinition" Target="pivotCache/pivotCacheDefinition6.xml"/><Relationship Id="rId23" Type="http://schemas.openxmlformats.org/officeDocument/2006/relationships/sharedStrings" Target="sharedStrings.xml"/><Relationship Id="rId10" Type="http://schemas.openxmlformats.org/officeDocument/2006/relationships/pivotCacheDefinition" Target="pivotCache/pivotCacheDefinition1.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 Project 1.xlsx]Sheet1!PivotTable1</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ysClr val="windowText" lastClr="000000"/>
                </a:solidFill>
              </a:rPr>
              <a:t>Month</a:t>
            </a:r>
            <a:r>
              <a:rPr lang="en-US" sz="1800" b="1" baseline="0">
                <a:solidFill>
                  <a:sysClr val="windowText" lastClr="000000"/>
                </a:solidFill>
              </a:rPr>
              <a:t> Wise Sale</a:t>
            </a:r>
            <a:endParaRPr lang="en-US" sz="18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pivotFmt>
      <c:pivotFmt>
        <c:idx val="1"/>
        <c:spPr>
          <a:solidFill>
            <a:schemeClr val="accent6"/>
          </a:solidFill>
          <a:ln>
            <a:noFill/>
          </a:ln>
          <a:effectLst/>
        </c:spPr>
        <c:marker>
          <c:symbol val="none"/>
        </c:marker>
      </c:pivotFmt>
      <c:pivotFmt>
        <c:idx val="2"/>
        <c:spPr>
          <a:solidFill>
            <a:schemeClr val="accent6"/>
          </a:solidFill>
          <a:ln>
            <a:noFill/>
          </a:ln>
          <a:effectLst/>
        </c:spPr>
        <c:marker>
          <c:symbol val="none"/>
        </c:marker>
      </c:pivotFmt>
      <c:pivotFmt>
        <c:idx val="3"/>
        <c:spPr>
          <a:solidFill>
            <a:schemeClr val="accent6"/>
          </a:solidFill>
          <a:ln>
            <a:noFill/>
          </a:ln>
          <a:effectLst/>
        </c:spPr>
        <c:marker>
          <c:symbol val="none"/>
        </c:marker>
      </c:pivotFmt>
      <c:pivotFmt>
        <c:idx val="4"/>
        <c:spPr>
          <a:solidFill>
            <a:schemeClr val="accent6"/>
          </a:solidFill>
          <a:ln>
            <a:noFill/>
          </a:ln>
          <a:effectLst/>
        </c:spPr>
        <c:marker>
          <c:symbol val="none"/>
        </c:marker>
      </c:pivotFmt>
      <c:pivotFmt>
        <c:idx val="5"/>
        <c:spPr>
          <a:solidFill>
            <a:schemeClr val="accent6"/>
          </a:solidFill>
          <a:ln>
            <a:noFill/>
          </a:ln>
          <a:effectLst/>
        </c:spPr>
        <c:marker>
          <c:symbol val="none"/>
        </c:marker>
      </c:pivotFmt>
      <c:pivotFmt>
        <c:idx val="6"/>
        <c:spPr>
          <a:solidFill>
            <a:schemeClr val="accent6"/>
          </a:solidFill>
          <a:ln>
            <a:noFill/>
          </a:ln>
          <a:effectLst/>
        </c:spPr>
        <c:marker>
          <c:symbol val="none"/>
        </c:marker>
      </c:pivotFmt>
      <c:pivotFmt>
        <c:idx val="7"/>
        <c:spPr>
          <a:solidFill>
            <a:schemeClr val="accent6"/>
          </a:solidFill>
          <a:ln>
            <a:noFill/>
          </a:ln>
          <a:effectLst/>
        </c:spPr>
        <c:marker>
          <c:symbol val="none"/>
        </c:marker>
      </c:pivotFmt>
      <c:pivotFmt>
        <c:idx val="8"/>
        <c:spPr>
          <a:ln w="28575" cap="rnd">
            <a:solidFill>
              <a:schemeClr val="accent6"/>
            </a:solidFill>
            <a:round/>
          </a:ln>
          <a:effectLst/>
        </c:spPr>
        <c:marker>
          <c:symbol val="none"/>
        </c:marker>
      </c:pivotFmt>
      <c:pivotFmt>
        <c:idx val="9"/>
        <c:spPr>
          <a:ln w="28575" cap="rnd">
            <a:solidFill>
              <a:schemeClr val="accent6"/>
            </a:solidFill>
            <a:round/>
          </a:ln>
          <a:effectLst/>
        </c:spPr>
        <c:marker>
          <c:symbol val="none"/>
        </c:marker>
      </c:pivotFmt>
      <c:pivotFmt>
        <c:idx val="10"/>
        <c:spPr>
          <a:ln w="28575" cap="rnd">
            <a:solidFill>
              <a:schemeClr val="accent6"/>
            </a:solidFill>
            <a:round/>
          </a:ln>
          <a:effectLst/>
        </c:spPr>
        <c:marker>
          <c:symbol val="none"/>
        </c:marker>
      </c:pivotFmt>
      <c:pivotFmt>
        <c:idx val="11"/>
        <c:spPr>
          <a:ln w="28575" cap="rnd">
            <a:solidFill>
              <a:schemeClr val="accent6"/>
            </a:solidFill>
            <a:round/>
          </a:ln>
          <a:effectLst/>
        </c:spPr>
        <c:marker>
          <c:symbol val="none"/>
        </c:marker>
      </c:pivotFmt>
    </c:pivotFmts>
    <c:plotArea>
      <c:layout/>
      <c:lineChart>
        <c:grouping val="standard"/>
        <c:varyColors val="0"/>
        <c:ser>
          <c:idx val="0"/>
          <c:order val="0"/>
          <c:tx>
            <c:strRef>
              <c:f>Sheet1!$B$3:$B$4</c:f>
              <c:strCache>
                <c:ptCount val="1"/>
                <c:pt idx="0">
                  <c:v>Casual</c:v>
                </c:pt>
              </c:strCache>
            </c:strRef>
          </c:tx>
          <c:spPr>
            <a:ln w="28575" cap="rnd">
              <a:solidFill>
                <a:schemeClr val="accent6">
                  <a:shade val="58000"/>
                </a:schemeClr>
              </a:solidFill>
              <a:round/>
            </a:ln>
            <a:effectLst/>
          </c:spPr>
          <c:marker>
            <c:symbol val="none"/>
          </c:marker>
          <c:cat>
            <c:strRef>
              <c:f>Sheet1!$A$5:$A$13</c:f>
              <c:strCache>
                <c:ptCount val="8"/>
                <c:pt idx="0">
                  <c:v>Jan</c:v>
                </c:pt>
                <c:pt idx="1">
                  <c:v>Feb</c:v>
                </c:pt>
                <c:pt idx="2">
                  <c:v>Mar</c:v>
                </c:pt>
                <c:pt idx="3">
                  <c:v>Apr</c:v>
                </c:pt>
                <c:pt idx="4">
                  <c:v>May</c:v>
                </c:pt>
                <c:pt idx="5">
                  <c:v>Jun</c:v>
                </c:pt>
                <c:pt idx="6">
                  <c:v>Jul</c:v>
                </c:pt>
                <c:pt idx="7">
                  <c:v>Aug</c:v>
                </c:pt>
              </c:strCache>
            </c:strRef>
          </c:cat>
          <c:val>
            <c:numRef>
              <c:f>Sheet1!$B$5:$B$13</c:f>
              <c:numCache>
                <c:formatCode>General</c:formatCode>
                <c:ptCount val="8"/>
                <c:pt idx="0">
                  <c:v>966.26</c:v>
                </c:pt>
                <c:pt idx="1">
                  <c:v>1171</c:v>
                </c:pt>
                <c:pt idx="2">
                  <c:v>1167.94</c:v>
                </c:pt>
                <c:pt idx="3">
                  <c:v>2844.03</c:v>
                </c:pt>
                <c:pt idx="4">
                  <c:v>3467.09</c:v>
                </c:pt>
                <c:pt idx="5">
                  <c:v>1643.44</c:v>
                </c:pt>
                <c:pt idx="6">
                  <c:v>2131.1799999999998</c:v>
                </c:pt>
                <c:pt idx="7">
                  <c:v>2846.8500000000004</c:v>
                </c:pt>
              </c:numCache>
            </c:numRef>
          </c:val>
          <c:smooth val="0"/>
          <c:extLst>
            <c:ext xmlns:c16="http://schemas.microsoft.com/office/drawing/2014/chart" uri="{C3380CC4-5D6E-409C-BE32-E72D297353CC}">
              <c16:uniqueId val="{00000000-C58B-4FAB-B543-CA0B0D32BAB7}"/>
            </c:ext>
          </c:extLst>
        </c:ser>
        <c:ser>
          <c:idx val="1"/>
          <c:order val="1"/>
          <c:tx>
            <c:strRef>
              <c:f>Sheet1!$C$3:$C$4</c:f>
              <c:strCache>
                <c:ptCount val="1"/>
                <c:pt idx="0">
                  <c:v>Limited Edition</c:v>
                </c:pt>
              </c:strCache>
            </c:strRef>
          </c:tx>
          <c:spPr>
            <a:ln w="28575" cap="rnd">
              <a:solidFill>
                <a:schemeClr val="accent6">
                  <a:shade val="86000"/>
                </a:schemeClr>
              </a:solidFill>
              <a:round/>
            </a:ln>
            <a:effectLst/>
          </c:spPr>
          <c:marker>
            <c:symbol val="none"/>
          </c:marker>
          <c:cat>
            <c:strRef>
              <c:f>Sheet1!$A$5:$A$13</c:f>
              <c:strCache>
                <c:ptCount val="8"/>
                <c:pt idx="0">
                  <c:v>Jan</c:v>
                </c:pt>
                <c:pt idx="1">
                  <c:v>Feb</c:v>
                </c:pt>
                <c:pt idx="2">
                  <c:v>Mar</c:v>
                </c:pt>
                <c:pt idx="3">
                  <c:v>Apr</c:v>
                </c:pt>
                <c:pt idx="4">
                  <c:v>May</c:v>
                </c:pt>
                <c:pt idx="5">
                  <c:v>Jun</c:v>
                </c:pt>
                <c:pt idx="6">
                  <c:v>Jul</c:v>
                </c:pt>
                <c:pt idx="7">
                  <c:v>Aug</c:v>
                </c:pt>
              </c:strCache>
            </c:strRef>
          </c:cat>
          <c:val>
            <c:numRef>
              <c:f>Sheet1!$C$5:$C$13</c:f>
              <c:numCache>
                <c:formatCode>General</c:formatCode>
                <c:ptCount val="8"/>
                <c:pt idx="0">
                  <c:v>3024.14</c:v>
                </c:pt>
                <c:pt idx="1">
                  <c:v>155.43</c:v>
                </c:pt>
                <c:pt idx="2">
                  <c:v>499.45</c:v>
                </c:pt>
                <c:pt idx="4">
                  <c:v>54.99</c:v>
                </c:pt>
                <c:pt idx="5">
                  <c:v>3969.61</c:v>
                </c:pt>
                <c:pt idx="6">
                  <c:v>5551.92</c:v>
                </c:pt>
                <c:pt idx="7">
                  <c:v>4260.3599999999997</c:v>
                </c:pt>
              </c:numCache>
            </c:numRef>
          </c:val>
          <c:smooth val="0"/>
          <c:extLst>
            <c:ext xmlns:c16="http://schemas.microsoft.com/office/drawing/2014/chart" uri="{C3380CC4-5D6E-409C-BE32-E72D297353CC}">
              <c16:uniqueId val="{00000001-C58B-4FAB-B543-CA0B0D32BAB7}"/>
            </c:ext>
          </c:extLst>
        </c:ser>
        <c:ser>
          <c:idx val="2"/>
          <c:order val="2"/>
          <c:tx>
            <c:strRef>
              <c:f>Sheet1!$D$3:$D$4</c:f>
              <c:strCache>
                <c:ptCount val="1"/>
                <c:pt idx="0">
                  <c:v>Sportswear</c:v>
                </c:pt>
              </c:strCache>
            </c:strRef>
          </c:tx>
          <c:spPr>
            <a:ln w="28575" cap="rnd">
              <a:solidFill>
                <a:schemeClr val="accent6">
                  <a:tint val="86000"/>
                </a:schemeClr>
              </a:solidFill>
              <a:round/>
            </a:ln>
            <a:effectLst/>
          </c:spPr>
          <c:marker>
            <c:symbol val="none"/>
          </c:marker>
          <c:cat>
            <c:strRef>
              <c:f>Sheet1!$A$5:$A$13</c:f>
              <c:strCache>
                <c:ptCount val="8"/>
                <c:pt idx="0">
                  <c:v>Jan</c:v>
                </c:pt>
                <c:pt idx="1">
                  <c:v>Feb</c:v>
                </c:pt>
                <c:pt idx="2">
                  <c:v>Mar</c:v>
                </c:pt>
                <c:pt idx="3">
                  <c:v>Apr</c:v>
                </c:pt>
                <c:pt idx="4">
                  <c:v>May</c:v>
                </c:pt>
                <c:pt idx="5">
                  <c:v>Jun</c:v>
                </c:pt>
                <c:pt idx="6">
                  <c:v>Jul</c:v>
                </c:pt>
                <c:pt idx="7">
                  <c:v>Aug</c:v>
                </c:pt>
              </c:strCache>
            </c:strRef>
          </c:cat>
          <c:val>
            <c:numRef>
              <c:f>Sheet1!$D$5:$D$13</c:f>
              <c:numCache>
                <c:formatCode>General</c:formatCode>
                <c:ptCount val="8"/>
                <c:pt idx="0">
                  <c:v>605.48</c:v>
                </c:pt>
                <c:pt idx="1">
                  <c:v>256.81</c:v>
                </c:pt>
                <c:pt idx="2">
                  <c:v>2293.87</c:v>
                </c:pt>
                <c:pt idx="3">
                  <c:v>923.6</c:v>
                </c:pt>
                <c:pt idx="4">
                  <c:v>1770.63</c:v>
                </c:pt>
                <c:pt idx="5">
                  <c:v>409.85</c:v>
                </c:pt>
                <c:pt idx="6">
                  <c:v>1823.7799999999997</c:v>
                </c:pt>
              </c:numCache>
            </c:numRef>
          </c:val>
          <c:smooth val="0"/>
          <c:extLst>
            <c:ext xmlns:c16="http://schemas.microsoft.com/office/drawing/2014/chart" uri="{C3380CC4-5D6E-409C-BE32-E72D297353CC}">
              <c16:uniqueId val="{00000002-C58B-4FAB-B543-CA0B0D32BAB7}"/>
            </c:ext>
          </c:extLst>
        </c:ser>
        <c:ser>
          <c:idx val="3"/>
          <c:order val="3"/>
          <c:tx>
            <c:strRef>
              <c:f>Sheet1!$E$3:$E$4</c:f>
              <c:strCache>
                <c:ptCount val="1"/>
                <c:pt idx="0">
                  <c:v>Streetwear</c:v>
                </c:pt>
              </c:strCache>
            </c:strRef>
          </c:tx>
          <c:spPr>
            <a:ln w="28575" cap="rnd">
              <a:solidFill>
                <a:schemeClr val="accent6">
                  <a:tint val="58000"/>
                </a:schemeClr>
              </a:solidFill>
              <a:round/>
            </a:ln>
            <a:effectLst/>
          </c:spPr>
          <c:marker>
            <c:symbol val="none"/>
          </c:marker>
          <c:cat>
            <c:strRef>
              <c:f>Sheet1!$A$5:$A$13</c:f>
              <c:strCache>
                <c:ptCount val="8"/>
                <c:pt idx="0">
                  <c:v>Jan</c:v>
                </c:pt>
                <c:pt idx="1">
                  <c:v>Feb</c:v>
                </c:pt>
                <c:pt idx="2">
                  <c:v>Mar</c:v>
                </c:pt>
                <c:pt idx="3">
                  <c:v>Apr</c:v>
                </c:pt>
                <c:pt idx="4">
                  <c:v>May</c:v>
                </c:pt>
                <c:pt idx="5">
                  <c:v>Jun</c:v>
                </c:pt>
                <c:pt idx="6">
                  <c:v>Jul</c:v>
                </c:pt>
                <c:pt idx="7">
                  <c:v>Aug</c:v>
                </c:pt>
              </c:strCache>
            </c:strRef>
          </c:cat>
          <c:val>
            <c:numRef>
              <c:f>Sheet1!$E$5:$E$13</c:f>
              <c:numCache>
                <c:formatCode>General</c:formatCode>
                <c:ptCount val="8"/>
                <c:pt idx="0">
                  <c:v>1962.94</c:v>
                </c:pt>
                <c:pt idx="1">
                  <c:v>2458.92</c:v>
                </c:pt>
                <c:pt idx="2">
                  <c:v>2204.7600000000002</c:v>
                </c:pt>
                <c:pt idx="3">
                  <c:v>3552.9700000000003</c:v>
                </c:pt>
                <c:pt idx="4">
                  <c:v>246.56</c:v>
                </c:pt>
                <c:pt idx="5">
                  <c:v>1593.3000000000002</c:v>
                </c:pt>
                <c:pt idx="6">
                  <c:v>2843.25</c:v>
                </c:pt>
                <c:pt idx="7">
                  <c:v>2806.63</c:v>
                </c:pt>
              </c:numCache>
            </c:numRef>
          </c:val>
          <c:smooth val="0"/>
          <c:extLst>
            <c:ext xmlns:c16="http://schemas.microsoft.com/office/drawing/2014/chart" uri="{C3380CC4-5D6E-409C-BE32-E72D297353CC}">
              <c16:uniqueId val="{00000003-C58B-4FAB-B543-CA0B0D32BAB7}"/>
            </c:ext>
          </c:extLst>
        </c:ser>
        <c:dLbls>
          <c:showLegendKey val="0"/>
          <c:showVal val="0"/>
          <c:showCatName val="0"/>
          <c:showSerName val="0"/>
          <c:showPercent val="0"/>
          <c:showBubbleSize val="0"/>
        </c:dLbls>
        <c:smooth val="0"/>
        <c:axId val="602866608"/>
        <c:axId val="602871200"/>
      </c:lineChart>
      <c:catAx>
        <c:axId val="602866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2871200"/>
        <c:crosses val="autoZero"/>
        <c:auto val="1"/>
        <c:lblAlgn val="ctr"/>
        <c:lblOffset val="100"/>
        <c:noMultiLvlLbl val="0"/>
      </c:catAx>
      <c:valAx>
        <c:axId val="602871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2866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 Project 1.xlsx]Sheet1!PivotTable2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ysClr val="windowText" lastClr="000000"/>
                </a:solidFill>
              </a:rPr>
              <a:t>Brand</a:t>
            </a:r>
            <a:r>
              <a:rPr lang="en-US" sz="1800" b="1" baseline="0">
                <a:solidFill>
                  <a:sysClr val="windowText" lastClr="000000"/>
                </a:solidFill>
              </a:rPr>
              <a:t> Wise Sales</a:t>
            </a:r>
            <a:endParaRPr lang="en-US" sz="1800" b="1">
              <a:solidFill>
                <a:sysClr val="windowText" lastClr="000000"/>
              </a:solidFill>
            </a:endParaRPr>
          </a:p>
        </c:rich>
      </c:tx>
      <c:layout>
        <c:manualLayout>
          <c:xMode val="edge"/>
          <c:yMode val="edge"/>
          <c:x val="0.36239107830931322"/>
          <c:y val="8.981251394188292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pivotFmt>
      <c:pivotFmt>
        <c:idx val="1"/>
        <c:spPr>
          <a:solidFill>
            <a:schemeClr val="accent6"/>
          </a:solidFill>
          <a:ln w="19050">
            <a:solidFill>
              <a:schemeClr val="lt1"/>
            </a:solidFill>
          </a:ln>
          <a:effectLst/>
        </c:spPr>
        <c:marker>
          <c:symbol val="none"/>
        </c:marker>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pivotFmt>
      <c:pivotFmt>
        <c:idx val="6"/>
        <c:spPr>
          <a:solidFill>
            <a:schemeClr val="accent6"/>
          </a:solidFill>
          <a:ln w="19050">
            <a:solidFill>
              <a:schemeClr val="lt1"/>
            </a:solidFill>
          </a:ln>
          <a:effectLst/>
        </c:spPr>
      </c:pivotFmt>
      <c:pivotFmt>
        <c:idx val="7"/>
        <c:spPr>
          <a:solidFill>
            <a:schemeClr val="accent6"/>
          </a:solidFill>
          <a:ln w="19050">
            <a:solidFill>
              <a:schemeClr val="lt1"/>
            </a:solidFill>
          </a:ln>
          <a:effectLst/>
        </c:spPr>
      </c:pivotFmt>
      <c:pivotFmt>
        <c:idx val="8"/>
        <c:spPr>
          <a:solidFill>
            <a:schemeClr val="accent6"/>
          </a:solidFill>
          <a:ln w="19050">
            <a:solidFill>
              <a:schemeClr val="lt1"/>
            </a:solidFill>
          </a:ln>
          <a:effectLst/>
        </c:spPr>
      </c:pivotFmt>
      <c:pivotFmt>
        <c:idx val="9"/>
        <c:spPr>
          <a:solidFill>
            <a:schemeClr val="accent6"/>
          </a:solidFill>
          <a:ln w="19050">
            <a:solidFill>
              <a:schemeClr val="lt1"/>
            </a:solidFill>
          </a:ln>
          <a:effectLst/>
        </c:spPr>
        <c:marker>
          <c:symbol val="none"/>
        </c:marker>
      </c:pivotFmt>
      <c:pivotFmt>
        <c:idx val="10"/>
        <c:spPr>
          <a:solidFill>
            <a:schemeClr val="accent6">
              <a:shade val="47000"/>
            </a:schemeClr>
          </a:solidFill>
          <a:ln w="19050">
            <a:solidFill>
              <a:schemeClr val="lt1"/>
            </a:solidFill>
          </a:ln>
          <a:effectLst/>
        </c:spPr>
      </c:pivotFmt>
      <c:pivotFmt>
        <c:idx val="11"/>
        <c:spPr>
          <a:solidFill>
            <a:schemeClr val="accent6">
              <a:shade val="65000"/>
            </a:schemeClr>
          </a:solidFill>
          <a:ln w="19050">
            <a:solidFill>
              <a:schemeClr val="lt1"/>
            </a:solidFill>
          </a:ln>
          <a:effectLst/>
        </c:spPr>
      </c:pivotFmt>
      <c:pivotFmt>
        <c:idx val="12"/>
        <c:spPr>
          <a:solidFill>
            <a:schemeClr val="accent6">
              <a:shade val="82000"/>
            </a:schemeClr>
          </a:solidFill>
          <a:ln w="19050">
            <a:solidFill>
              <a:schemeClr val="lt1"/>
            </a:solidFill>
          </a:ln>
          <a:effectLst/>
        </c:spPr>
      </c:pivotFmt>
      <c:pivotFmt>
        <c:idx val="13"/>
        <c:spPr>
          <a:solidFill>
            <a:schemeClr val="accent6"/>
          </a:solidFill>
          <a:ln w="19050">
            <a:solidFill>
              <a:schemeClr val="lt1"/>
            </a:solidFill>
          </a:ln>
          <a:effectLst/>
        </c:spPr>
      </c:pivotFmt>
      <c:pivotFmt>
        <c:idx val="14"/>
        <c:spPr>
          <a:solidFill>
            <a:schemeClr val="accent6">
              <a:tint val="83000"/>
            </a:schemeClr>
          </a:solidFill>
          <a:ln w="19050">
            <a:solidFill>
              <a:schemeClr val="lt1"/>
            </a:solidFill>
          </a:ln>
          <a:effectLst/>
        </c:spPr>
      </c:pivotFmt>
      <c:pivotFmt>
        <c:idx val="15"/>
        <c:spPr>
          <a:solidFill>
            <a:schemeClr val="accent6">
              <a:tint val="65000"/>
            </a:schemeClr>
          </a:solidFill>
          <a:ln w="19050">
            <a:solidFill>
              <a:schemeClr val="lt1"/>
            </a:solidFill>
          </a:ln>
          <a:effectLst/>
        </c:spPr>
      </c:pivotFmt>
      <c:pivotFmt>
        <c:idx val="16"/>
        <c:spPr>
          <a:solidFill>
            <a:schemeClr val="accent6">
              <a:tint val="48000"/>
            </a:schemeClr>
          </a:solidFill>
          <a:ln w="19050">
            <a:solidFill>
              <a:schemeClr val="lt1"/>
            </a:solidFill>
          </a:ln>
          <a:effectLst/>
        </c:spPr>
      </c:pivotFmt>
    </c:pivotFmts>
    <c:plotArea>
      <c:layout/>
      <c:pieChart>
        <c:varyColors val="1"/>
        <c:ser>
          <c:idx val="0"/>
          <c:order val="0"/>
          <c:tx>
            <c:strRef>
              <c:f>Sheet1!$C$24</c:f>
              <c:strCache>
                <c:ptCount val="1"/>
                <c:pt idx="0">
                  <c:v>Total</c:v>
                </c:pt>
              </c:strCache>
            </c:strRef>
          </c:tx>
          <c:dPt>
            <c:idx val="0"/>
            <c:bubble3D val="0"/>
            <c:spPr>
              <a:solidFill>
                <a:schemeClr val="accent6">
                  <a:shade val="47000"/>
                </a:schemeClr>
              </a:solidFill>
              <a:ln w="19050">
                <a:solidFill>
                  <a:schemeClr val="lt1"/>
                </a:solidFill>
              </a:ln>
              <a:effectLst/>
            </c:spPr>
            <c:extLst>
              <c:ext xmlns:c16="http://schemas.microsoft.com/office/drawing/2014/chart" uri="{C3380CC4-5D6E-409C-BE32-E72D297353CC}">
                <c16:uniqueId val="{00000001-1C14-4F15-8E5C-AB72C87173E6}"/>
              </c:ext>
            </c:extLst>
          </c:dPt>
          <c:dPt>
            <c:idx val="1"/>
            <c:bubble3D val="0"/>
            <c:spPr>
              <a:solidFill>
                <a:schemeClr val="accent6">
                  <a:shade val="65000"/>
                </a:schemeClr>
              </a:solidFill>
              <a:ln w="19050">
                <a:solidFill>
                  <a:schemeClr val="lt1"/>
                </a:solidFill>
              </a:ln>
              <a:effectLst/>
            </c:spPr>
            <c:extLst>
              <c:ext xmlns:c16="http://schemas.microsoft.com/office/drawing/2014/chart" uri="{C3380CC4-5D6E-409C-BE32-E72D297353CC}">
                <c16:uniqueId val="{00000003-1C14-4F15-8E5C-AB72C87173E6}"/>
              </c:ext>
            </c:extLst>
          </c:dPt>
          <c:dPt>
            <c:idx val="2"/>
            <c:bubble3D val="0"/>
            <c:spPr>
              <a:solidFill>
                <a:schemeClr val="accent6">
                  <a:shade val="82000"/>
                </a:schemeClr>
              </a:solidFill>
              <a:ln w="19050">
                <a:solidFill>
                  <a:schemeClr val="lt1"/>
                </a:solidFill>
              </a:ln>
              <a:effectLst/>
            </c:spPr>
            <c:extLst>
              <c:ext xmlns:c16="http://schemas.microsoft.com/office/drawing/2014/chart" uri="{C3380CC4-5D6E-409C-BE32-E72D297353CC}">
                <c16:uniqueId val="{00000005-1C14-4F15-8E5C-AB72C87173E6}"/>
              </c:ext>
            </c:extLst>
          </c:dPt>
          <c:dPt>
            <c:idx val="3"/>
            <c:bubble3D val="0"/>
            <c:spPr>
              <a:solidFill>
                <a:schemeClr val="accent6"/>
              </a:solidFill>
              <a:ln w="19050">
                <a:solidFill>
                  <a:schemeClr val="lt1"/>
                </a:solidFill>
              </a:ln>
              <a:effectLst/>
            </c:spPr>
            <c:extLst>
              <c:ext xmlns:c16="http://schemas.microsoft.com/office/drawing/2014/chart" uri="{C3380CC4-5D6E-409C-BE32-E72D297353CC}">
                <c16:uniqueId val="{00000007-1C14-4F15-8E5C-AB72C87173E6}"/>
              </c:ext>
            </c:extLst>
          </c:dPt>
          <c:dPt>
            <c:idx val="4"/>
            <c:bubble3D val="0"/>
            <c:spPr>
              <a:solidFill>
                <a:schemeClr val="accent6">
                  <a:tint val="83000"/>
                </a:schemeClr>
              </a:solidFill>
              <a:ln w="19050">
                <a:solidFill>
                  <a:schemeClr val="lt1"/>
                </a:solidFill>
              </a:ln>
              <a:effectLst/>
            </c:spPr>
            <c:extLst>
              <c:ext xmlns:c16="http://schemas.microsoft.com/office/drawing/2014/chart" uri="{C3380CC4-5D6E-409C-BE32-E72D297353CC}">
                <c16:uniqueId val="{00000009-1C14-4F15-8E5C-AB72C87173E6}"/>
              </c:ext>
            </c:extLst>
          </c:dPt>
          <c:dPt>
            <c:idx val="5"/>
            <c:bubble3D val="0"/>
            <c:spPr>
              <a:solidFill>
                <a:schemeClr val="accent6">
                  <a:tint val="65000"/>
                </a:schemeClr>
              </a:solidFill>
              <a:ln w="19050">
                <a:solidFill>
                  <a:schemeClr val="lt1"/>
                </a:solidFill>
              </a:ln>
              <a:effectLst/>
            </c:spPr>
            <c:extLst>
              <c:ext xmlns:c16="http://schemas.microsoft.com/office/drawing/2014/chart" uri="{C3380CC4-5D6E-409C-BE32-E72D297353CC}">
                <c16:uniqueId val="{0000000B-1C14-4F15-8E5C-AB72C87173E6}"/>
              </c:ext>
            </c:extLst>
          </c:dPt>
          <c:dPt>
            <c:idx val="6"/>
            <c:bubble3D val="0"/>
            <c:spPr>
              <a:solidFill>
                <a:schemeClr val="accent6">
                  <a:tint val="48000"/>
                </a:schemeClr>
              </a:solidFill>
              <a:ln w="19050">
                <a:solidFill>
                  <a:schemeClr val="lt1"/>
                </a:solidFill>
              </a:ln>
              <a:effectLst/>
            </c:spPr>
            <c:extLst>
              <c:ext xmlns:c16="http://schemas.microsoft.com/office/drawing/2014/chart" uri="{C3380CC4-5D6E-409C-BE32-E72D297353CC}">
                <c16:uniqueId val="{0000000D-1C14-4F15-8E5C-AB72C87173E6}"/>
              </c:ext>
            </c:extLst>
          </c:dPt>
          <c:cat>
            <c:strRef>
              <c:f>Sheet1!$B$25:$B$32</c:f>
              <c:strCache>
                <c:ptCount val="7"/>
                <c:pt idx="0">
                  <c:v>Adidas</c:v>
                </c:pt>
                <c:pt idx="1">
                  <c:v>Essentials</c:v>
                </c:pt>
                <c:pt idx="2">
                  <c:v>New Era</c:v>
                </c:pt>
                <c:pt idx="3">
                  <c:v>Nike</c:v>
                </c:pt>
                <c:pt idx="4">
                  <c:v>Off-White</c:v>
                </c:pt>
                <c:pt idx="5">
                  <c:v>Puma</c:v>
                </c:pt>
                <c:pt idx="6">
                  <c:v>Supreme</c:v>
                </c:pt>
              </c:strCache>
            </c:strRef>
          </c:cat>
          <c:val>
            <c:numRef>
              <c:f>Sheet1!$C$25:$C$32</c:f>
              <c:numCache>
                <c:formatCode>General</c:formatCode>
                <c:ptCount val="7"/>
                <c:pt idx="0">
                  <c:v>10533.509999999998</c:v>
                </c:pt>
                <c:pt idx="1">
                  <c:v>3980.3</c:v>
                </c:pt>
                <c:pt idx="2">
                  <c:v>1822.4199999999998</c:v>
                </c:pt>
                <c:pt idx="3">
                  <c:v>11090.54</c:v>
                </c:pt>
                <c:pt idx="4">
                  <c:v>4115.12</c:v>
                </c:pt>
                <c:pt idx="5">
                  <c:v>6935.9699999999993</c:v>
                </c:pt>
                <c:pt idx="6">
                  <c:v>2413.33</c:v>
                </c:pt>
              </c:numCache>
            </c:numRef>
          </c:val>
          <c:extLst>
            <c:ext xmlns:c16="http://schemas.microsoft.com/office/drawing/2014/chart" uri="{C3380CC4-5D6E-409C-BE32-E72D297353CC}">
              <c16:uniqueId val="{0000000E-1C14-4F15-8E5C-AB72C87173E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 Project 1.xlsx]Sheet1!PivotTable3</c:name>
    <c:fmtId val="4"/>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b="1">
                <a:solidFill>
                  <a:sysClr val="windowText" lastClr="000000"/>
                </a:solidFill>
              </a:rPr>
              <a:t>Pament</a:t>
            </a:r>
            <a:r>
              <a:rPr lang="en-US" sz="2000" b="1" baseline="0">
                <a:solidFill>
                  <a:sysClr val="windowText" lastClr="000000"/>
                </a:solidFill>
              </a:rPr>
              <a:t> mode Used</a:t>
            </a:r>
            <a:endParaRPr lang="en-US" sz="2000" b="1">
              <a:solidFill>
                <a:sysClr val="windowText" lastClr="000000"/>
              </a:solidFill>
            </a:endParaRPr>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pivotFmt>
      <c:pivotFmt>
        <c:idx val="1"/>
        <c:spPr>
          <a:solidFill>
            <a:schemeClr val="accent6"/>
          </a:solidFill>
          <a:ln>
            <a:noFill/>
          </a:ln>
          <a:effectLst/>
        </c:spPr>
        <c:marker>
          <c:symbol val="none"/>
        </c:marker>
      </c:pivotFmt>
      <c:pivotFmt>
        <c:idx val="2"/>
        <c:spPr>
          <a:solidFill>
            <a:schemeClr val="accent6"/>
          </a:solidFill>
          <a:ln>
            <a:noFill/>
          </a:ln>
          <a:effectLst/>
        </c:spPr>
        <c:marker>
          <c:symbol val="none"/>
        </c:marker>
      </c:pivotFmt>
      <c:pivotFmt>
        <c:idx val="3"/>
        <c:spPr>
          <a:solidFill>
            <a:schemeClr val="accent6"/>
          </a:solidFill>
          <a:ln>
            <a:noFill/>
          </a:ln>
          <a:effectLst/>
        </c:spPr>
        <c:marker>
          <c:symbol val="none"/>
        </c:marker>
      </c:pivotFmt>
      <c:pivotFmt>
        <c:idx val="4"/>
        <c:spPr>
          <a:solidFill>
            <a:schemeClr val="accent6"/>
          </a:solidFill>
          <a:ln>
            <a:noFill/>
          </a:ln>
          <a:effectLst/>
        </c:spPr>
        <c:marker>
          <c:symbol val="none"/>
        </c:marker>
      </c:pivotFmt>
      <c:pivotFmt>
        <c:idx val="5"/>
        <c:spPr>
          <a:solidFill>
            <a:schemeClr val="accent6"/>
          </a:solidFill>
          <a:ln>
            <a:noFill/>
          </a:ln>
          <a:effectLst/>
        </c:spPr>
        <c:marker>
          <c:symbol val="none"/>
        </c:marker>
      </c:pivotFmt>
      <c:pivotFmt>
        <c:idx val="6"/>
        <c:spPr>
          <a:solidFill>
            <a:schemeClr val="accent6"/>
          </a:solidFill>
          <a:ln>
            <a:noFill/>
          </a:ln>
          <a:effectLst/>
        </c:spPr>
        <c:marker>
          <c:symbol val="none"/>
        </c:marker>
      </c:pivotFmt>
      <c:pivotFmt>
        <c:idx val="7"/>
        <c:spPr>
          <a:solidFill>
            <a:schemeClr val="accent6"/>
          </a:solidFill>
          <a:ln>
            <a:noFill/>
          </a:ln>
          <a:effectLst/>
        </c:spPr>
        <c:marker>
          <c:symbol val="none"/>
        </c:marker>
      </c:pivotFmt>
      <c:pivotFmt>
        <c:idx val="8"/>
        <c:spPr>
          <a:solidFill>
            <a:schemeClr val="accent6"/>
          </a:solidFill>
          <a:ln>
            <a:noFill/>
          </a:ln>
          <a:effectLst/>
        </c:spPr>
        <c:marker>
          <c:symbol val="none"/>
        </c:marker>
      </c:pivotFmt>
      <c:pivotFmt>
        <c:idx val="9"/>
        <c:spPr>
          <a:solidFill>
            <a:schemeClr val="accent6"/>
          </a:solidFill>
          <a:ln>
            <a:noFill/>
          </a:ln>
          <a:effectLst/>
        </c:spPr>
        <c:marker>
          <c:symbol val="none"/>
        </c:marker>
      </c:pivotFmt>
      <c:pivotFmt>
        <c:idx val="10"/>
        <c:spPr>
          <a:solidFill>
            <a:schemeClr val="accent6"/>
          </a:solidFill>
          <a:ln>
            <a:noFill/>
          </a:ln>
          <a:effectLst/>
        </c:spPr>
        <c:marker>
          <c:symbol val="none"/>
        </c:marker>
      </c:pivotFmt>
      <c:pivotFmt>
        <c:idx val="11"/>
        <c:spPr>
          <a:solidFill>
            <a:schemeClr val="accent6"/>
          </a:solidFill>
          <a:ln>
            <a:noFill/>
          </a:ln>
          <a:effectLst/>
        </c:spPr>
        <c:marker>
          <c:symbol val="none"/>
        </c:marker>
      </c:pivotFmt>
      <c:pivotFmt>
        <c:idx val="12"/>
        <c:spPr>
          <a:solidFill>
            <a:schemeClr val="accent6"/>
          </a:solidFill>
          <a:ln>
            <a:noFill/>
          </a:ln>
          <a:effectLst/>
        </c:spPr>
        <c:marker>
          <c:symbol val="none"/>
        </c:marker>
      </c:pivotFmt>
    </c:pivotFmts>
    <c:plotArea>
      <c:layout/>
      <c:barChart>
        <c:barDir val="col"/>
        <c:grouping val="clustered"/>
        <c:varyColors val="0"/>
        <c:ser>
          <c:idx val="0"/>
          <c:order val="0"/>
          <c:tx>
            <c:strRef>
              <c:f>Sheet1!$F$17:$F$18</c:f>
              <c:strCache>
                <c:ptCount val="1"/>
                <c:pt idx="0">
                  <c:v>Card</c:v>
                </c:pt>
              </c:strCache>
            </c:strRef>
          </c:tx>
          <c:spPr>
            <a:solidFill>
              <a:schemeClr val="accent6">
                <a:shade val="58000"/>
              </a:schemeClr>
            </a:solidFill>
            <a:ln>
              <a:noFill/>
            </a:ln>
            <a:effectLst/>
          </c:spPr>
          <c:invertIfNegative val="0"/>
          <c:cat>
            <c:strRef>
              <c:f>Sheet1!$E$19:$E$24</c:f>
              <c:strCache>
                <c:ptCount val="5"/>
                <c:pt idx="0">
                  <c:v>Cap</c:v>
                </c:pt>
                <c:pt idx="1">
                  <c:v>Hoodie</c:v>
                </c:pt>
                <c:pt idx="2">
                  <c:v>Joggers</c:v>
                </c:pt>
                <c:pt idx="3">
                  <c:v>Sneakers</c:v>
                </c:pt>
                <c:pt idx="4">
                  <c:v>T-shirt</c:v>
                </c:pt>
              </c:strCache>
            </c:strRef>
          </c:cat>
          <c:val>
            <c:numRef>
              <c:f>Sheet1!$F$19:$F$24</c:f>
              <c:numCache>
                <c:formatCode>General</c:formatCode>
                <c:ptCount val="5"/>
                <c:pt idx="1">
                  <c:v>1676.3899999999999</c:v>
                </c:pt>
                <c:pt idx="2">
                  <c:v>701.3</c:v>
                </c:pt>
                <c:pt idx="3">
                  <c:v>4749.1400000000003</c:v>
                </c:pt>
                <c:pt idx="4">
                  <c:v>891.42000000000007</c:v>
                </c:pt>
              </c:numCache>
            </c:numRef>
          </c:val>
          <c:extLst>
            <c:ext xmlns:c16="http://schemas.microsoft.com/office/drawing/2014/chart" uri="{C3380CC4-5D6E-409C-BE32-E72D297353CC}">
              <c16:uniqueId val="{00000000-5861-455D-B4C9-B4648F20ED52}"/>
            </c:ext>
          </c:extLst>
        </c:ser>
        <c:ser>
          <c:idx val="1"/>
          <c:order val="1"/>
          <c:tx>
            <c:strRef>
              <c:f>Sheet1!$G$17:$G$18</c:f>
              <c:strCache>
                <c:ptCount val="1"/>
                <c:pt idx="0">
                  <c:v>Cash on Delivery</c:v>
                </c:pt>
              </c:strCache>
            </c:strRef>
          </c:tx>
          <c:spPr>
            <a:solidFill>
              <a:schemeClr val="accent6">
                <a:shade val="86000"/>
              </a:schemeClr>
            </a:solidFill>
            <a:ln>
              <a:noFill/>
            </a:ln>
            <a:effectLst/>
          </c:spPr>
          <c:invertIfNegative val="0"/>
          <c:cat>
            <c:strRef>
              <c:f>Sheet1!$E$19:$E$24</c:f>
              <c:strCache>
                <c:ptCount val="5"/>
                <c:pt idx="0">
                  <c:v>Cap</c:v>
                </c:pt>
                <c:pt idx="1">
                  <c:v>Hoodie</c:v>
                </c:pt>
                <c:pt idx="2">
                  <c:v>Joggers</c:v>
                </c:pt>
                <c:pt idx="3">
                  <c:v>Sneakers</c:v>
                </c:pt>
                <c:pt idx="4">
                  <c:v>T-shirt</c:v>
                </c:pt>
              </c:strCache>
            </c:strRef>
          </c:cat>
          <c:val>
            <c:numRef>
              <c:f>Sheet1!$G$19:$G$24</c:f>
              <c:numCache>
                <c:formatCode>General</c:formatCode>
                <c:ptCount val="5"/>
                <c:pt idx="0">
                  <c:v>737.3</c:v>
                </c:pt>
                <c:pt idx="1">
                  <c:v>2593.61</c:v>
                </c:pt>
                <c:pt idx="3">
                  <c:v>2221.9299999999998</c:v>
                </c:pt>
                <c:pt idx="4">
                  <c:v>1707.17</c:v>
                </c:pt>
              </c:numCache>
            </c:numRef>
          </c:val>
          <c:extLst>
            <c:ext xmlns:c16="http://schemas.microsoft.com/office/drawing/2014/chart" uri="{C3380CC4-5D6E-409C-BE32-E72D297353CC}">
              <c16:uniqueId val="{00000001-5861-455D-B4C9-B4648F20ED52}"/>
            </c:ext>
          </c:extLst>
        </c:ser>
        <c:ser>
          <c:idx val="2"/>
          <c:order val="2"/>
          <c:tx>
            <c:strRef>
              <c:f>Sheet1!$H$17:$H$18</c:f>
              <c:strCache>
                <c:ptCount val="1"/>
                <c:pt idx="0">
                  <c:v>UPI</c:v>
                </c:pt>
              </c:strCache>
            </c:strRef>
          </c:tx>
          <c:spPr>
            <a:solidFill>
              <a:schemeClr val="accent6">
                <a:tint val="86000"/>
              </a:schemeClr>
            </a:solidFill>
            <a:ln>
              <a:noFill/>
            </a:ln>
            <a:effectLst/>
          </c:spPr>
          <c:invertIfNegative val="0"/>
          <c:cat>
            <c:strRef>
              <c:f>Sheet1!$E$19:$E$24</c:f>
              <c:strCache>
                <c:ptCount val="5"/>
                <c:pt idx="0">
                  <c:v>Cap</c:v>
                </c:pt>
                <c:pt idx="1">
                  <c:v>Hoodie</c:v>
                </c:pt>
                <c:pt idx="2">
                  <c:v>Joggers</c:v>
                </c:pt>
                <c:pt idx="3">
                  <c:v>Sneakers</c:v>
                </c:pt>
                <c:pt idx="4">
                  <c:v>T-shirt</c:v>
                </c:pt>
              </c:strCache>
            </c:strRef>
          </c:cat>
          <c:val>
            <c:numRef>
              <c:f>Sheet1!$H$19:$H$24</c:f>
              <c:numCache>
                <c:formatCode>General</c:formatCode>
                <c:ptCount val="5"/>
                <c:pt idx="1">
                  <c:v>1146.2199999999998</c:v>
                </c:pt>
                <c:pt idx="3">
                  <c:v>1232.02</c:v>
                </c:pt>
                <c:pt idx="4">
                  <c:v>1057.4000000000001</c:v>
                </c:pt>
              </c:numCache>
            </c:numRef>
          </c:val>
          <c:extLst>
            <c:ext xmlns:c16="http://schemas.microsoft.com/office/drawing/2014/chart" uri="{C3380CC4-5D6E-409C-BE32-E72D297353CC}">
              <c16:uniqueId val="{00000002-5861-455D-B4C9-B4648F20ED52}"/>
            </c:ext>
          </c:extLst>
        </c:ser>
        <c:ser>
          <c:idx val="3"/>
          <c:order val="3"/>
          <c:tx>
            <c:strRef>
              <c:f>Sheet1!$I$17:$I$18</c:f>
              <c:strCache>
                <c:ptCount val="1"/>
                <c:pt idx="0">
                  <c:v>Wallet</c:v>
                </c:pt>
              </c:strCache>
            </c:strRef>
          </c:tx>
          <c:spPr>
            <a:solidFill>
              <a:schemeClr val="accent6">
                <a:tint val="58000"/>
              </a:schemeClr>
            </a:solidFill>
            <a:ln>
              <a:noFill/>
            </a:ln>
            <a:effectLst/>
          </c:spPr>
          <c:invertIfNegative val="0"/>
          <c:cat>
            <c:strRef>
              <c:f>Sheet1!$E$19:$E$24</c:f>
              <c:strCache>
                <c:ptCount val="5"/>
                <c:pt idx="0">
                  <c:v>Cap</c:v>
                </c:pt>
                <c:pt idx="1">
                  <c:v>Hoodie</c:v>
                </c:pt>
                <c:pt idx="2">
                  <c:v>Joggers</c:v>
                </c:pt>
                <c:pt idx="3">
                  <c:v>Sneakers</c:v>
                </c:pt>
                <c:pt idx="4">
                  <c:v>T-shirt</c:v>
                </c:pt>
              </c:strCache>
            </c:strRef>
          </c:cat>
          <c:val>
            <c:numRef>
              <c:f>Sheet1!$I$19:$I$24</c:f>
              <c:numCache>
                <c:formatCode>General</c:formatCode>
                <c:ptCount val="5"/>
                <c:pt idx="0">
                  <c:v>1496.83</c:v>
                </c:pt>
                <c:pt idx="1">
                  <c:v>3001.4300000000003</c:v>
                </c:pt>
                <c:pt idx="2">
                  <c:v>56.73</c:v>
                </c:pt>
                <c:pt idx="3">
                  <c:v>2408.8599999999997</c:v>
                </c:pt>
              </c:numCache>
            </c:numRef>
          </c:val>
          <c:extLst>
            <c:ext xmlns:c16="http://schemas.microsoft.com/office/drawing/2014/chart" uri="{C3380CC4-5D6E-409C-BE32-E72D297353CC}">
              <c16:uniqueId val="{00000003-5861-455D-B4C9-B4648F20ED52}"/>
            </c:ext>
          </c:extLst>
        </c:ser>
        <c:dLbls>
          <c:showLegendKey val="0"/>
          <c:showVal val="0"/>
          <c:showCatName val="0"/>
          <c:showSerName val="0"/>
          <c:showPercent val="0"/>
          <c:showBubbleSize val="0"/>
        </c:dLbls>
        <c:gapWidth val="219"/>
        <c:overlap val="-27"/>
        <c:axId val="601800488"/>
        <c:axId val="601799832"/>
      </c:barChart>
      <c:catAx>
        <c:axId val="601800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1799832"/>
        <c:crosses val="autoZero"/>
        <c:auto val="1"/>
        <c:lblAlgn val="ctr"/>
        <c:lblOffset val="100"/>
        <c:noMultiLvlLbl val="0"/>
      </c:catAx>
      <c:valAx>
        <c:axId val="6017998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1800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 Project 1.xlsx]PB(5)!PivotTable4</c:name>
    <c:fmtId val="12"/>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b="1">
                <a:solidFill>
                  <a:sysClr val="windowText" lastClr="000000"/>
                </a:solidFill>
              </a:rPr>
              <a:t>Inventory Risk Assessment</a:t>
            </a:r>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pivotFmt>
      <c:pivotFmt>
        <c:idx val="1"/>
        <c:spPr>
          <a:solidFill>
            <a:schemeClr val="accent6"/>
          </a:solidFill>
          <a:ln>
            <a:noFill/>
          </a:ln>
          <a:effectLst/>
        </c:spPr>
        <c:marker>
          <c:symbol val="none"/>
        </c:marker>
      </c:pivotFmt>
      <c:pivotFmt>
        <c:idx val="2"/>
        <c:spPr>
          <a:solidFill>
            <a:schemeClr val="accent6"/>
          </a:solidFill>
          <a:ln>
            <a:noFill/>
          </a:ln>
          <a:effectLst/>
        </c:spPr>
        <c:marker>
          <c:symbol val="none"/>
        </c:marker>
      </c:pivotFmt>
      <c:pivotFmt>
        <c:idx val="3"/>
        <c:spPr>
          <a:solidFill>
            <a:schemeClr val="accent6"/>
          </a:solidFill>
          <a:ln>
            <a:noFill/>
          </a:ln>
          <a:effectLst/>
        </c:spPr>
        <c:marker>
          <c:symbol val="none"/>
        </c:marker>
      </c:pivotFmt>
      <c:pivotFmt>
        <c:idx val="4"/>
        <c:spPr>
          <a:solidFill>
            <a:schemeClr val="accent6"/>
          </a:solidFill>
          <a:ln>
            <a:noFill/>
          </a:ln>
          <a:effectLst/>
        </c:spPr>
        <c:marker>
          <c:symbol val="none"/>
        </c:marker>
      </c:pivotFmt>
      <c:pivotFmt>
        <c:idx val="5"/>
        <c:spPr>
          <a:solidFill>
            <a:schemeClr val="accent6"/>
          </a:solidFill>
          <a:ln>
            <a:noFill/>
          </a:ln>
          <a:effectLst/>
        </c:spPr>
        <c:marker>
          <c:symbol val="none"/>
        </c:marker>
      </c:pivotFmt>
    </c:pivotFmts>
    <c:plotArea>
      <c:layout/>
      <c:barChart>
        <c:barDir val="bar"/>
        <c:grouping val="clustered"/>
        <c:varyColors val="0"/>
        <c:ser>
          <c:idx val="0"/>
          <c:order val="0"/>
          <c:tx>
            <c:strRef>
              <c:f>'PB(5)'!$O$4</c:f>
              <c:strCache>
                <c:ptCount val="1"/>
                <c:pt idx="0">
                  <c:v>Sum of Quantity</c:v>
                </c:pt>
              </c:strCache>
            </c:strRef>
          </c:tx>
          <c:spPr>
            <a:solidFill>
              <a:schemeClr val="accent6">
                <a:shade val="76000"/>
              </a:schemeClr>
            </a:solidFill>
            <a:ln>
              <a:noFill/>
            </a:ln>
            <a:effectLst/>
          </c:spPr>
          <c:invertIfNegative val="0"/>
          <c:cat>
            <c:strRef>
              <c:f>'PB(5)'!$N$5:$N$15</c:f>
              <c:strCache>
                <c:ptCount val="10"/>
                <c:pt idx="0">
                  <c:v>Adidas Ultraboost</c:v>
                </c:pt>
                <c:pt idx="1">
                  <c:v>Fear of God Essentials Tee</c:v>
                </c:pt>
                <c:pt idx="2">
                  <c:v>Jordan 1 High</c:v>
                </c:pt>
                <c:pt idx="3">
                  <c:v>New Era Cap</c:v>
                </c:pt>
                <c:pt idx="4">
                  <c:v>Nike Dunk Low</c:v>
                </c:pt>
                <c:pt idx="5">
                  <c:v>Nike Tech Fleece</c:v>
                </c:pt>
                <c:pt idx="6">
                  <c:v>Off-White Hoodie</c:v>
                </c:pt>
                <c:pt idx="7">
                  <c:v>Puma Joggers</c:v>
                </c:pt>
                <c:pt idx="8">
                  <c:v>Supreme Hoodie</c:v>
                </c:pt>
                <c:pt idx="9">
                  <c:v>Yeezy Boost 350</c:v>
                </c:pt>
              </c:strCache>
            </c:strRef>
          </c:cat>
          <c:val>
            <c:numRef>
              <c:f>'PB(5)'!$O$5:$O$15</c:f>
              <c:numCache>
                <c:formatCode>General</c:formatCode>
                <c:ptCount val="10"/>
                <c:pt idx="0">
                  <c:v>86</c:v>
                </c:pt>
                <c:pt idx="1">
                  <c:v>76</c:v>
                </c:pt>
                <c:pt idx="2">
                  <c:v>100</c:v>
                </c:pt>
                <c:pt idx="3">
                  <c:v>76</c:v>
                </c:pt>
                <c:pt idx="4">
                  <c:v>97</c:v>
                </c:pt>
                <c:pt idx="5">
                  <c:v>124</c:v>
                </c:pt>
                <c:pt idx="6">
                  <c:v>125</c:v>
                </c:pt>
                <c:pt idx="7">
                  <c:v>105</c:v>
                </c:pt>
                <c:pt idx="8">
                  <c:v>88</c:v>
                </c:pt>
                <c:pt idx="9">
                  <c:v>112</c:v>
                </c:pt>
              </c:numCache>
            </c:numRef>
          </c:val>
          <c:extLst>
            <c:ext xmlns:c16="http://schemas.microsoft.com/office/drawing/2014/chart" uri="{C3380CC4-5D6E-409C-BE32-E72D297353CC}">
              <c16:uniqueId val="{00000000-2310-49B2-A6C8-C4BFA80718BC}"/>
            </c:ext>
          </c:extLst>
        </c:ser>
        <c:ser>
          <c:idx val="1"/>
          <c:order val="1"/>
          <c:tx>
            <c:strRef>
              <c:f>'PB(5)'!$P$4</c:f>
              <c:strCache>
                <c:ptCount val="1"/>
                <c:pt idx="0">
                  <c:v>Average of Unit Price ($)</c:v>
                </c:pt>
              </c:strCache>
            </c:strRef>
          </c:tx>
          <c:spPr>
            <a:solidFill>
              <a:schemeClr val="accent6">
                <a:tint val="77000"/>
              </a:schemeClr>
            </a:solidFill>
            <a:ln>
              <a:noFill/>
            </a:ln>
            <a:effectLst/>
          </c:spPr>
          <c:invertIfNegative val="0"/>
          <c:cat>
            <c:strRef>
              <c:f>'PB(5)'!$N$5:$N$15</c:f>
              <c:strCache>
                <c:ptCount val="10"/>
                <c:pt idx="0">
                  <c:v>Adidas Ultraboost</c:v>
                </c:pt>
                <c:pt idx="1">
                  <c:v>Fear of God Essentials Tee</c:v>
                </c:pt>
                <c:pt idx="2">
                  <c:v>Jordan 1 High</c:v>
                </c:pt>
                <c:pt idx="3">
                  <c:v>New Era Cap</c:v>
                </c:pt>
                <c:pt idx="4">
                  <c:v>Nike Dunk Low</c:v>
                </c:pt>
                <c:pt idx="5">
                  <c:v>Nike Tech Fleece</c:v>
                </c:pt>
                <c:pt idx="6">
                  <c:v>Off-White Hoodie</c:v>
                </c:pt>
                <c:pt idx="7">
                  <c:v>Puma Joggers</c:v>
                </c:pt>
                <c:pt idx="8">
                  <c:v>Supreme Hoodie</c:v>
                </c:pt>
                <c:pt idx="9">
                  <c:v>Yeezy Boost 350</c:v>
                </c:pt>
              </c:strCache>
            </c:strRef>
          </c:cat>
          <c:val>
            <c:numRef>
              <c:f>'PB(5)'!$P$5:$P$15</c:f>
              <c:numCache>
                <c:formatCode>General</c:formatCode>
                <c:ptCount val="10"/>
                <c:pt idx="0">
                  <c:v>173.69076923076926</c:v>
                </c:pt>
                <c:pt idx="1">
                  <c:v>168.90041666666664</c:v>
                </c:pt>
                <c:pt idx="2">
                  <c:v>173.65999999999997</c:v>
                </c:pt>
                <c:pt idx="3">
                  <c:v>162.45959999999999</c:v>
                </c:pt>
                <c:pt idx="4">
                  <c:v>203.62821428571428</c:v>
                </c:pt>
                <c:pt idx="5">
                  <c:v>169.45513513513509</c:v>
                </c:pt>
                <c:pt idx="6">
                  <c:v>161.47697674418606</c:v>
                </c:pt>
                <c:pt idx="7">
                  <c:v>187.44052631578947</c:v>
                </c:pt>
                <c:pt idx="8">
                  <c:v>160.75464285714287</c:v>
                </c:pt>
                <c:pt idx="9">
                  <c:v>178.3842105263158</c:v>
                </c:pt>
              </c:numCache>
            </c:numRef>
          </c:val>
          <c:extLst>
            <c:ext xmlns:c16="http://schemas.microsoft.com/office/drawing/2014/chart" uri="{C3380CC4-5D6E-409C-BE32-E72D297353CC}">
              <c16:uniqueId val="{00000001-2310-49B2-A6C8-C4BFA80718BC}"/>
            </c:ext>
          </c:extLst>
        </c:ser>
        <c:dLbls>
          <c:showLegendKey val="0"/>
          <c:showVal val="0"/>
          <c:showCatName val="0"/>
          <c:showSerName val="0"/>
          <c:showPercent val="0"/>
          <c:showBubbleSize val="0"/>
        </c:dLbls>
        <c:gapWidth val="182"/>
        <c:axId val="610940312"/>
        <c:axId val="623561128"/>
      </c:barChart>
      <c:catAx>
        <c:axId val="6109403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3561128"/>
        <c:crosses val="autoZero"/>
        <c:auto val="1"/>
        <c:lblAlgn val="ctr"/>
        <c:lblOffset val="100"/>
        <c:noMultiLvlLbl val="0"/>
      </c:catAx>
      <c:valAx>
        <c:axId val="6235611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0940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 Project 1.xlsx]Sheet1!PivotTable9</c:name>
    <c:fmtId val="12"/>
  </c:pivotSource>
  <c:chart>
    <c:title>
      <c:tx>
        <c:rich>
          <a:bodyPr rot="0" spcFirstLastPara="1" vertOverflow="ellipsis" vert="horz" wrap="square" anchor="ctr" anchorCtr="1"/>
          <a:lstStyle/>
          <a:p>
            <a:pPr>
              <a:defRPr sz="2000" b="1" i="0" u="none" strike="noStrike" kern="1200" spc="0" baseline="0">
                <a:solidFill>
                  <a:sysClr val="windowText" lastClr="000000"/>
                </a:solidFill>
                <a:latin typeface="+mn-lt"/>
                <a:ea typeface="+mn-ea"/>
                <a:cs typeface="+mn-cs"/>
              </a:defRPr>
            </a:pPr>
            <a:r>
              <a:rPr lang="en-US" sz="2000" b="1">
                <a:solidFill>
                  <a:sysClr val="windowText" lastClr="000000"/>
                </a:solidFill>
              </a:rPr>
              <a:t>Uint-Price A/c</a:t>
            </a:r>
            <a:r>
              <a:rPr lang="en-US" sz="2000" b="1" baseline="0">
                <a:solidFill>
                  <a:sysClr val="windowText" lastClr="000000"/>
                </a:solidFill>
              </a:rPr>
              <a:t> Product Type </a:t>
            </a:r>
            <a:endParaRPr lang="en-US" sz="2000" b="1">
              <a:solidFill>
                <a:sysClr val="windowText" lastClr="000000"/>
              </a:solidFill>
            </a:endParaRPr>
          </a:p>
        </c:rich>
      </c:tx>
      <c:overlay val="0"/>
      <c:spPr>
        <a:noFill/>
        <a:ln>
          <a:noFill/>
        </a:ln>
        <a:effectLst/>
      </c:spPr>
      <c:txPr>
        <a:bodyPr rot="0" spcFirstLastPara="1" vertOverflow="ellipsis" vert="horz" wrap="square" anchor="ctr" anchorCtr="1"/>
        <a:lstStyle/>
        <a:p>
          <a:pPr>
            <a:defRPr sz="20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pivotFmt>
      <c:pivotFmt>
        <c:idx val="1"/>
        <c:spPr>
          <a:solidFill>
            <a:schemeClr val="accent6"/>
          </a:solidFill>
          <a:ln>
            <a:noFill/>
          </a:ln>
          <a:effectLst/>
          <a:sp3d/>
        </c:spPr>
        <c:marker>
          <c:symbol val="none"/>
        </c:marker>
      </c:pivotFmt>
      <c:pivotFmt>
        <c:idx val="2"/>
        <c:spPr>
          <a:solidFill>
            <a:schemeClr val="accent6"/>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4544469876092118E-2"/>
          <c:y val="0.23227102186717616"/>
          <c:w val="0.76230639559522206"/>
          <c:h val="0.61899838323573031"/>
        </c:manualLayout>
      </c:layout>
      <c:bar3DChart>
        <c:barDir val="col"/>
        <c:grouping val="standard"/>
        <c:varyColors val="0"/>
        <c:ser>
          <c:idx val="0"/>
          <c:order val="0"/>
          <c:tx>
            <c:strRef>
              <c:f>Sheet1!$F$27</c:f>
              <c:strCache>
                <c:ptCount val="1"/>
                <c:pt idx="0">
                  <c:v>Total</c:v>
                </c:pt>
              </c:strCache>
            </c:strRef>
          </c:tx>
          <c:spPr>
            <a:solidFill>
              <a:schemeClr val="accent6"/>
            </a:solidFill>
            <a:ln>
              <a:noFill/>
            </a:ln>
            <a:effectLst/>
            <a:sp3d/>
          </c:spPr>
          <c:invertIfNegative val="0"/>
          <c:cat>
            <c:strRef>
              <c:f>Sheet1!$E$28:$E$33</c:f>
              <c:strCache>
                <c:ptCount val="5"/>
                <c:pt idx="0">
                  <c:v>Cap</c:v>
                </c:pt>
                <c:pt idx="1">
                  <c:v>Hoodie</c:v>
                </c:pt>
                <c:pt idx="2">
                  <c:v>Joggers</c:v>
                </c:pt>
                <c:pt idx="3">
                  <c:v>Sneakers</c:v>
                </c:pt>
                <c:pt idx="4">
                  <c:v>T-shirt</c:v>
                </c:pt>
              </c:strCache>
            </c:strRef>
          </c:cat>
          <c:val>
            <c:numRef>
              <c:f>Sheet1!$F$28:$F$33</c:f>
              <c:numCache>
                <c:formatCode>General</c:formatCode>
                <c:ptCount val="5"/>
                <c:pt idx="0">
                  <c:v>400.89</c:v>
                </c:pt>
                <c:pt idx="1">
                  <c:v>1931.2600000000002</c:v>
                </c:pt>
                <c:pt idx="2">
                  <c:v>1437.74</c:v>
                </c:pt>
                <c:pt idx="3">
                  <c:v>3660.5799999999995</c:v>
                </c:pt>
                <c:pt idx="4">
                  <c:v>481.07</c:v>
                </c:pt>
              </c:numCache>
            </c:numRef>
          </c:val>
          <c:extLst>
            <c:ext xmlns:c16="http://schemas.microsoft.com/office/drawing/2014/chart" uri="{C3380CC4-5D6E-409C-BE32-E72D297353CC}">
              <c16:uniqueId val="{00000000-1EC8-4ECD-A204-DD4321A4B9C9}"/>
            </c:ext>
          </c:extLst>
        </c:ser>
        <c:dLbls>
          <c:showLegendKey val="0"/>
          <c:showVal val="0"/>
          <c:showCatName val="0"/>
          <c:showSerName val="0"/>
          <c:showPercent val="0"/>
          <c:showBubbleSize val="0"/>
        </c:dLbls>
        <c:gapWidth val="150"/>
        <c:shape val="box"/>
        <c:axId val="601808360"/>
        <c:axId val="601805408"/>
        <c:axId val="612819768"/>
      </c:bar3DChart>
      <c:catAx>
        <c:axId val="6018083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1805408"/>
        <c:crosses val="autoZero"/>
        <c:auto val="1"/>
        <c:lblAlgn val="ctr"/>
        <c:lblOffset val="100"/>
        <c:noMultiLvlLbl val="0"/>
      </c:catAx>
      <c:valAx>
        <c:axId val="601805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1808360"/>
        <c:crosses val="autoZero"/>
        <c:crossBetween val="between"/>
      </c:valAx>
      <c:serAx>
        <c:axId val="612819768"/>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1805408"/>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 Project 1.xlsx]PB(1)!PivotTable1</c:name>
    <c:fmtId val="24"/>
  </c:pivotSource>
  <c:chart>
    <c:autoTitleDeleted val="0"/>
    <c:pivotFmts>
      <c:pivotFmt>
        <c:idx val="0"/>
        <c:spPr>
          <a:solidFill>
            <a:schemeClr val="accent6"/>
          </a:solidFill>
          <a:ln w="28575" cap="rnd">
            <a:solidFill>
              <a:schemeClr val="accent6"/>
            </a:solidFill>
            <a:round/>
          </a:ln>
          <a:effectLst/>
        </c:spPr>
        <c:marker>
          <c:symbol val="none"/>
        </c:marker>
      </c:pivotFmt>
      <c:pivotFmt>
        <c:idx val="1"/>
        <c:spPr>
          <a:solidFill>
            <a:schemeClr val="accent6"/>
          </a:solidFill>
          <a:ln w="28575" cap="rnd">
            <a:solidFill>
              <a:schemeClr val="accent6"/>
            </a:solidFill>
            <a:round/>
          </a:ln>
          <a:effectLst/>
        </c:spPr>
        <c:marker>
          <c:symbol val="none"/>
        </c:marker>
      </c:pivotFmt>
      <c:pivotFmt>
        <c:idx val="2"/>
        <c:spPr>
          <a:solidFill>
            <a:schemeClr val="accent6"/>
          </a:solidFill>
          <a:ln w="28575" cap="rnd">
            <a:solidFill>
              <a:schemeClr val="accent6"/>
            </a:solidFill>
            <a:round/>
          </a:ln>
          <a:effectLst/>
        </c:spPr>
        <c:marker>
          <c:symbol val="none"/>
        </c:marker>
      </c:pivotFmt>
      <c:pivotFmt>
        <c:idx val="3"/>
        <c:spPr>
          <a:solidFill>
            <a:schemeClr val="accent6"/>
          </a:solidFill>
          <a:ln w="28575" cap="rnd">
            <a:solidFill>
              <a:schemeClr val="accent6"/>
            </a:solidFill>
            <a:round/>
          </a:ln>
          <a:effectLst/>
        </c:spPr>
        <c:marker>
          <c:symbol val="none"/>
        </c:marker>
      </c:pivotFmt>
      <c:pivotFmt>
        <c:idx val="4"/>
        <c:spPr>
          <a:ln w="28575" cap="rnd">
            <a:solidFill>
              <a:schemeClr val="accent6"/>
            </a:solidFill>
            <a:round/>
          </a:ln>
          <a:effectLst/>
        </c:spPr>
        <c:marker>
          <c:symbol val="none"/>
        </c:marker>
      </c:pivotFmt>
      <c:pivotFmt>
        <c:idx val="5"/>
        <c:spPr>
          <a:ln w="28575" cap="rnd">
            <a:solidFill>
              <a:schemeClr val="accent6"/>
            </a:solidFill>
            <a:round/>
          </a:ln>
          <a:effectLst/>
        </c:spPr>
        <c:marker>
          <c:symbol val="none"/>
        </c:marker>
      </c:pivotFmt>
      <c:pivotFmt>
        <c:idx val="6"/>
        <c:spPr>
          <a:ln w="28575" cap="rnd">
            <a:solidFill>
              <a:schemeClr val="accent6">
                <a:shade val="76000"/>
              </a:schemeClr>
            </a:solidFill>
            <a:round/>
          </a:ln>
          <a:effectLst/>
        </c:spPr>
        <c:marker>
          <c:symbol val="none"/>
        </c:marker>
      </c:pivotFmt>
      <c:pivotFmt>
        <c:idx val="7"/>
        <c:spPr>
          <a:ln w="28575" cap="rnd">
            <a:solidFill>
              <a:schemeClr val="accent6">
                <a:tint val="77000"/>
              </a:schemeClr>
            </a:solidFill>
            <a:round/>
          </a:ln>
          <a:effectLst/>
        </c:spPr>
        <c:marker>
          <c:symbol val="none"/>
        </c:marker>
      </c:pivotFmt>
    </c:pivotFmts>
    <c:plotArea>
      <c:layout/>
      <c:lineChart>
        <c:grouping val="stacked"/>
        <c:varyColors val="0"/>
        <c:ser>
          <c:idx val="0"/>
          <c:order val="0"/>
          <c:tx>
            <c:strRef>
              <c:f>'PB(1)'!$N$9</c:f>
              <c:strCache>
                <c:ptCount val="1"/>
                <c:pt idx="0">
                  <c:v>Average of Amount ($)</c:v>
                </c:pt>
              </c:strCache>
            </c:strRef>
          </c:tx>
          <c:spPr>
            <a:ln w="28575" cap="rnd">
              <a:solidFill>
                <a:schemeClr val="accent6">
                  <a:shade val="76000"/>
                </a:schemeClr>
              </a:solidFill>
              <a:round/>
            </a:ln>
            <a:effectLst/>
          </c:spPr>
          <c:marker>
            <c:symbol val="none"/>
          </c:marker>
          <c:cat>
            <c:multiLvlStrRef>
              <c:f>'PB(1)'!$M$10:$M$34</c:f>
              <c:multiLvlStrCache>
                <c:ptCount val="21"/>
                <c:lvl>
                  <c:pt idx="0">
                    <c:v>Australia</c:v>
                  </c:pt>
                  <c:pt idx="1">
                    <c:v>Canada</c:v>
                  </c:pt>
                  <c:pt idx="2">
                    <c:v>Germany</c:v>
                  </c:pt>
                  <c:pt idx="3">
                    <c:v>India</c:v>
                  </c:pt>
                  <c:pt idx="4">
                    <c:v>Japan</c:v>
                  </c:pt>
                  <c:pt idx="5">
                    <c:v>UK</c:v>
                  </c:pt>
                  <c:pt idx="6">
                    <c:v>USA</c:v>
                  </c:pt>
                  <c:pt idx="7">
                    <c:v>Australia</c:v>
                  </c:pt>
                  <c:pt idx="8">
                    <c:v>Canada</c:v>
                  </c:pt>
                  <c:pt idx="9">
                    <c:v>Germany</c:v>
                  </c:pt>
                  <c:pt idx="10">
                    <c:v>India</c:v>
                  </c:pt>
                  <c:pt idx="11">
                    <c:v>Japan</c:v>
                  </c:pt>
                  <c:pt idx="12">
                    <c:v>UK</c:v>
                  </c:pt>
                  <c:pt idx="13">
                    <c:v>USA</c:v>
                  </c:pt>
                  <c:pt idx="14">
                    <c:v>Australia</c:v>
                  </c:pt>
                  <c:pt idx="15">
                    <c:v>Canada</c:v>
                  </c:pt>
                  <c:pt idx="16">
                    <c:v>Germany</c:v>
                  </c:pt>
                  <c:pt idx="17">
                    <c:v>India</c:v>
                  </c:pt>
                  <c:pt idx="18">
                    <c:v>Japan</c:v>
                  </c:pt>
                  <c:pt idx="19">
                    <c:v>UK</c:v>
                  </c:pt>
                  <c:pt idx="20">
                    <c:v>USA</c:v>
                  </c:pt>
                </c:lvl>
                <c:lvl>
                  <c:pt idx="0">
                    <c:v>Men</c:v>
                  </c:pt>
                  <c:pt idx="7">
                    <c:v>Unisex</c:v>
                  </c:pt>
                  <c:pt idx="14">
                    <c:v>Women</c:v>
                  </c:pt>
                </c:lvl>
              </c:multiLvlStrCache>
            </c:multiLvlStrRef>
          </c:cat>
          <c:val>
            <c:numRef>
              <c:f>'PB(1)'!$N$10:$N$34</c:f>
              <c:numCache>
                <c:formatCode>General</c:formatCode>
                <c:ptCount val="21"/>
                <c:pt idx="0">
                  <c:v>590.85062499999992</c:v>
                </c:pt>
                <c:pt idx="1">
                  <c:v>534.30250000000001</c:v>
                </c:pt>
                <c:pt idx="2">
                  <c:v>530.73214285714289</c:v>
                </c:pt>
                <c:pt idx="3">
                  <c:v>589.96533333333332</c:v>
                </c:pt>
                <c:pt idx="4">
                  <c:v>459.65818181818179</c:v>
                </c:pt>
                <c:pt idx="5">
                  <c:v>521.6875</c:v>
                </c:pt>
                <c:pt idx="6">
                  <c:v>562.50615384615401</c:v>
                </c:pt>
                <c:pt idx="7">
                  <c:v>443.74363636363631</c:v>
                </c:pt>
                <c:pt idx="8">
                  <c:v>429.88250000000005</c:v>
                </c:pt>
                <c:pt idx="9">
                  <c:v>472.47352941176467</c:v>
                </c:pt>
                <c:pt idx="10">
                  <c:v>455.53181818181821</c:v>
                </c:pt>
                <c:pt idx="11">
                  <c:v>778.35272727272741</c:v>
                </c:pt>
                <c:pt idx="12">
                  <c:v>514.74300000000005</c:v>
                </c:pt>
                <c:pt idx="13">
                  <c:v>496.16375000000005</c:v>
                </c:pt>
                <c:pt idx="14">
                  <c:v>487.96149999999989</c:v>
                </c:pt>
                <c:pt idx="15">
                  <c:v>586.83210526315793</c:v>
                </c:pt>
                <c:pt idx="16">
                  <c:v>624.37347826086955</c:v>
                </c:pt>
                <c:pt idx="17">
                  <c:v>587.70083333333321</c:v>
                </c:pt>
                <c:pt idx="18">
                  <c:v>679.63315789473711</c:v>
                </c:pt>
                <c:pt idx="19">
                  <c:v>502.97166666666664</c:v>
                </c:pt>
                <c:pt idx="20">
                  <c:v>677.77437499999996</c:v>
                </c:pt>
              </c:numCache>
            </c:numRef>
          </c:val>
          <c:smooth val="0"/>
          <c:extLst>
            <c:ext xmlns:c16="http://schemas.microsoft.com/office/drawing/2014/chart" uri="{C3380CC4-5D6E-409C-BE32-E72D297353CC}">
              <c16:uniqueId val="{00000003-D812-4B14-96C1-B9ED8FF899F3}"/>
            </c:ext>
          </c:extLst>
        </c:ser>
        <c:ser>
          <c:idx val="1"/>
          <c:order val="1"/>
          <c:tx>
            <c:strRef>
              <c:f>'PB(1)'!$O$9</c:f>
              <c:strCache>
                <c:ptCount val="1"/>
                <c:pt idx="0">
                  <c:v>Sum of Quantity</c:v>
                </c:pt>
              </c:strCache>
            </c:strRef>
          </c:tx>
          <c:spPr>
            <a:ln w="28575" cap="rnd">
              <a:solidFill>
                <a:schemeClr val="accent6">
                  <a:tint val="77000"/>
                </a:schemeClr>
              </a:solidFill>
              <a:round/>
            </a:ln>
            <a:effectLst/>
          </c:spPr>
          <c:marker>
            <c:symbol val="none"/>
          </c:marker>
          <c:cat>
            <c:multiLvlStrRef>
              <c:f>'PB(1)'!$M$10:$M$34</c:f>
              <c:multiLvlStrCache>
                <c:ptCount val="21"/>
                <c:lvl>
                  <c:pt idx="0">
                    <c:v>Australia</c:v>
                  </c:pt>
                  <c:pt idx="1">
                    <c:v>Canada</c:v>
                  </c:pt>
                  <c:pt idx="2">
                    <c:v>Germany</c:v>
                  </c:pt>
                  <c:pt idx="3">
                    <c:v>India</c:v>
                  </c:pt>
                  <c:pt idx="4">
                    <c:v>Japan</c:v>
                  </c:pt>
                  <c:pt idx="5">
                    <c:v>UK</c:v>
                  </c:pt>
                  <c:pt idx="6">
                    <c:v>USA</c:v>
                  </c:pt>
                  <c:pt idx="7">
                    <c:v>Australia</c:v>
                  </c:pt>
                  <c:pt idx="8">
                    <c:v>Canada</c:v>
                  </c:pt>
                  <c:pt idx="9">
                    <c:v>Germany</c:v>
                  </c:pt>
                  <c:pt idx="10">
                    <c:v>India</c:v>
                  </c:pt>
                  <c:pt idx="11">
                    <c:v>Japan</c:v>
                  </c:pt>
                  <c:pt idx="12">
                    <c:v>UK</c:v>
                  </c:pt>
                  <c:pt idx="13">
                    <c:v>USA</c:v>
                  </c:pt>
                  <c:pt idx="14">
                    <c:v>Australia</c:v>
                  </c:pt>
                  <c:pt idx="15">
                    <c:v>Canada</c:v>
                  </c:pt>
                  <c:pt idx="16">
                    <c:v>Germany</c:v>
                  </c:pt>
                  <c:pt idx="17">
                    <c:v>India</c:v>
                  </c:pt>
                  <c:pt idx="18">
                    <c:v>Japan</c:v>
                  </c:pt>
                  <c:pt idx="19">
                    <c:v>UK</c:v>
                  </c:pt>
                  <c:pt idx="20">
                    <c:v>USA</c:v>
                  </c:pt>
                </c:lvl>
                <c:lvl>
                  <c:pt idx="0">
                    <c:v>Men</c:v>
                  </c:pt>
                  <c:pt idx="7">
                    <c:v>Unisex</c:v>
                  </c:pt>
                  <c:pt idx="14">
                    <c:v>Women</c:v>
                  </c:pt>
                </c:lvl>
              </c:multiLvlStrCache>
            </c:multiLvlStrRef>
          </c:cat>
          <c:val>
            <c:numRef>
              <c:f>'PB(1)'!$O$10:$O$34</c:f>
              <c:numCache>
                <c:formatCode>General</c:formatCode>
                <c:ptCount val="21"/>
                <c:pt idx="0">
                  <c:v>57</c:v>
                </c:pt>
                <c:pt idx="1">
                  <c:v>77</c:v>
                </c:pt>
                <c:pt idx="2">
                  <c:v>43</c:v>
                </c:pt>
                <c:pt idx="3">
                  <c:v>49</c:v>
                </c:pt>
                <c:pt idx="4">
                  <c:v>64</c:v>
                </c:pt>
                <c:pt idx="5">
                  <c:v>78</c:v>
                </c:pt>
                <c:pt idx="6">
                  <c:v>40</c:v>
                </c:pt>
                <c:pt idx="7">
                  <c:v>27</c:v>
                </c:pt>
                <c:pt idx="8">
                  <c:v>42</c:v>
                </c:pt>
                <c:pt idx="9">
                  <c:v>49</c:v>
                </c:pt>
                <c:pt idx="10">
                  <c:v>32</c:v>
                </c:pt>
                <c:pt idx="11">
                  <c:v>40</c:v>
                </c:pt>
                <c:pt idx="12">
                  <c:v>36</c:v>
                </c:pt>
                <c:pt idx="13">
                  <c:v>46</c:v>
                </c:pt>
                <c:pt idx="14">
                  <c:v>60</c:v>
                </c:pt>
                <c:pt idx="15">
                  <c:v>55</c:v>
                </c:pt>
                <c:pt idx="16">
                  <c:v>63</c:v>
                </c:pt>
                <c:pt idx="17">
                  <c:v>44</c:v>
                </c:pt>
                <c:pt idx="18">
                  <c:v>66</c:v>
                </c:pt>
                <c:pt idx="19">
                  <c:v>77</c:v>
                </c:pt>
                <c:pt idx="20">
                  <c:v>52</c:v>
                </c:pt>
              </c:numCache>
            </c:numRef>
          </c:val>
          <c:smooth val="0"/>
          <c:extLst>
            <c:ext xmlns:c16="http://schemas.microsoft.com/office/drawing/2014/chart" uri="{C3380CC4-5D6E-409C-BE32-E72D297353CC}">
              <c16:uniqueId val="{00000005-D812-4B14-96C1-B9ED8FF899F3}"/>
            </c:ext>
          </c:extLst>
        </c:ser>
        <c:dLbls>
          <c:showLegendKey val="0"/>
          <c:showVal val="0"/>
          <c:showCatName val="0"/>
          <c:showSerName val="0"/>
          <c:showPercent val="0"/>
          <c:showBubbleSize val="0"/>
        </c:dLbls>
        <c:smooth val="0"/>
        <c:axId val="601812624"/>
        <c:axId val="601813280"/>
      </c:lineChart>
      <c:catAx>
        <c:axId val="601812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1813280"/>
        <c:crosses val="autoZero"/>
        <c:auto val="1"/>
        <c:lblAlgn val="ctr"/>
        <c:lblOffset val="100"/>
        <c:noMultiLvlLbl val="0"/>
      </c:catAx>
      <c:valAx>
        <c:axId val="601813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1812624"/>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withinLinear" id="19">
  <a:schemeClr val="accent6"/>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chart" Target="../charts/chart3.xml"/><Relationship Id="rId7" Type="http://schemas.openxmlformats.org/officeDocument/2006/relationships/image" Target="../media/image1.png"/><Relationship Id="rId12" Type="http://schemas.microsoft.com/office/2007/relationships/hdphoto" Target="../media/hdphoto2.wdp"/><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4.png"/><Relationship Id="rId5" Type="http://schemas.openxmlformats.org/officeDocument/2006/relationships/chart" Target="../charts/chart5.xml"/><Relationship Id="rId10" Type="http://schemas.microsoft.com/office/2007/relationships/hdphoto" Target="../media/hdphoto1.wdp"/><Relationship Id="rId4" Type="http://schemas.openxmlformats.org/officeDocument/2006/relationships/chart" Target="../charts/chart4.xml"/><Relationship Id="rId9"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0</xdr:col>
      <xdr:colOff>307181</xdr:colOff>
      <xdr:row>3</xdr:row>
      <xdr:rowOff>161727</xdr:rowOff>
    </xdr:from>
    <xdr:to>
      <xdr:col>4</xdr:col>
      <xdr:colOff>308647</xdr:colOff>
      <xdr:row>9</xdr:row>
      <xdr:rowOff>58843</xdr:rowOff>
    </xdr:to>
    <xdr:sp macro="" textlink="">
      <xdr:nvSpPr>
        <xdr:cNvPr id="5" name="Rectangle: Rounded Corners 4">
          <a:extLst>
            <a:ext uri="{FF2B5EF4-FFF2-40B4-BE49-F238E27FC236}">
              <a16:creationId xmlns:a16="http://schemas.microsoft.com/office/drawing/2014/main" id="{8679062A-2BF0-4E6D-9EAF-B6966F383361}"/>
            </a:ext>
          </a:extLst>
        </xdr:cNvPr>
        <xdr:cNvSpPr/>
      </xdr:nvSpPr>
      <xdr:spPr>
        <a:xfrm>
          <a:off x="307181" y="742157"/>
          <a:ext cx="2442247" cy="1057975"/>
        </a:xfrm>
        <a:prstGeom prst="roundRect">
          <a:avLst/>
        </a:prstGeom>
        <a:solidFill>
          <a:schemeClr val="accent6">
            <a:lumMod val="60000"/>
            <a:lumOff val="4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lvl="0" algn="ctr"/>
          <a:r>
            <a:rPr lang="en-US" sz="1400" u="none">
              <a:latin typeface="Sitka Small" panose="02000505000000020004" pitchFamily="2" charset="0"/>
            </a:rPr>
            <a:t>"Top</a:t>
          </a:r>
          <a:r>
            <a:rPr lang="en-US" sz="1400" u="none" baseline="0">
              <a:latin typeface="Sitka Small" panose="02000505000000020004" pitchFamily="2" charset="0"/>
            </a:rPr>
            <a:t> Brand"</a:t>
          </a:r>
        </a:p>
        <a:p>
          <a:pPr lvl="0" algn="ctr"/>
          <a:r>
            <a:rPr lang="en-US" sz="2400" u="sng">
              <a:latin typeface="Sitka Small" panose="02000505000000020004" pitchFamily="2" charset="0"/>
            </a:rPr>
            <a:t> </a:t>
          </a:r>
          <a:r>
            <a:rPr lang="en-US" sz="2400" b="1" u="sng">
              <a:latin typeface="Sitka Small" panose="02000505000000020004" pitchFamily="2" charset="0"/>
            </a:rPr>
            <a:t>'Nikes</a:t>
          </a:r>
          <a:r>
            <a:rPr lang="en-US" sz="2000" b="1" u="sng">
              <a:latin typeface="Sitka Small" panose="02000505000000020004" pitchFamily="2" charset="0"/>
            </a:rPr>
            <a:t>'</a:t>
          </a:r>
        </a:p>
        <a:p>
          <a:pPr lvl="0" algn="ctr"/>
          <a:r>
            <a:rPr lang="en-US" sz="1200" u="sng">
              <a:solidFill>
                <a:schemeClr val="dk1"/>
              </a:solidFill>
              <a:latin typeface="Mongolian Baiti" panose="03000500000000000000" pitchFamily="66" charset="0"/>
              <a:ea typeface="+mn-ea"/>
              <a:cs typeface="Mongolian Baiti" panose="03000500000000000000" pitchFamily="66" charset="0"/>
            </a:rPr>
            <a:t>(59507.04)</a:t>
          </a:r>
        </a:p>
      </xdr:txBody>
    </xdr:sp>
    <xdr:clientData/>
  </xdr:twoCellAnchor>
  <xdr:twoCellAnchor>
    <xdr:from>
      <xdr:col>21</xdr:col>
      <xdr:colOff>401517</xdr:colOff>
      <xdr:row>3</xdr:row>
      <xdr:rowOff>146435</xdr:rowOff>
    </xdr:from>
    <xdr:to>
      <xdr:col>26</xdr:col>
      <xdr:colOff>430823</xdr:colOff>
      <xdr:row>9</xdr:row>
      <xdr:rowOff>43961</xdr:rowOff>
    </xdr:to>
    <xdr:sp macro="" textlink="">
      <xdr:nvSpPr>
        <xdr:cNvPr id="6" name="Rectangle: Rounded Corners 5">
          <a:extLst>
            <a:ext uri="{FF2B5EF4-FFF2-40B4-BE49-F238E27FC236}">
              <a16:creationId xmlns:a16="http://schemas.microsoft.com/office/drawing/2014/main" id="{087CD76A-6243-4EFD-B431-0E6A2966FCB1}"/>
            </a:ext>
          </a:extLst>
        </xdr:cNvPr>
        <xdr:cNvSpPr/>
      </xdr:nvSpPr>
      <xdr:spPr>
        <a:xfrm>
          <a:off x="13260267" y="717935"/>
          <a:ext cx="3077306" cy="1040526"/>
        </a:xfrm>
        <a:prstGeom prst="roundRect">
          <a:avLst/>
        </a:prstGeom>
        <a:solidFill>
          <a:schemeClr val="accent6">
            <a:lumMod val="60000"/>
            <a:lumOff val="4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lvl="0" algn="ctr"/>
          <a:r>
            <a:rPr lang="en-US" sz="1300" u="none">
              <a:latin typeface="Sitka Small" panose="02000505000000020004" pitchFamily="2" charset="0"/>
            </a:rPr>
            <a:t>"Top-performing Gender</a:t>
          </a:r>
          <a:r>
            <a:rPr lang="en-US" sz="1300" u="none" baseline="0">
              <a:latin typeface="Sitka Small" panose="02000505000000020004" pitchFamily="2" charset="0"/>
            </a:rPr>
            <a:t>"</a:t>
          </a:r>
        </a:p>
        <a:p>
          <a:pPr lvl="0" algn="ctr"/>
          <a:r>
            <a:rPr lang="en-US" sz="2300" b="1" u="sng">
              <a:latin typeface="Sitka Small" panose="02000505000000020004" pitchFamily="2" charset="0"/>
            </a:rPr>
            <a:t> 'Women'</a:t>
          </a:r>
        </a:p>
        <a:p>
          <a:pPr lvl="0" algn="ctr"/>
          <a:r>
            <a:rPr lang="en-US" sz="1400" u="sng">
              <a:latin typeface="Mongolian Baiti" panose="03000500000000000000" pitchFamily="66" charset="0"/>
              <a:cs typeface="Mongolian Baiti" panose="03000500000000000000" pitchFamily="66" charset="0"/>
            </a:rPr>
            <a:t>(587.5)</a:t>
          </a:r>
        </a:p>
      </xdr:txBody>
    </xdr:sp>
    <xdr:clientData/>
  </xdr:twoCellAnchor>
  <xdr:twoCellAnchor>
    <xdr:from>
      <xdr:col>5</xdr:col>
      <xdr:colOff>54036</xdr:colOff>
      <xdr:row>3</xdr:row>
      <xdr:rowOff>165770</xdr:rowOff>
    </xdr:from>
    <xdr:to>
      <xdr:col>10</xdr:col>
      <xdr:colOff>117231</xdr:colOff>
      <xdr:row>9</xdr:row>
      <xdr:rowOff>73270</xdr:rowOff>
    </xdr:to>
    <xdr:sp macro="" textlink="">
      <xdr:nvSpPr>
        <xdr:cNvPr id="4" name="Rectangle: Rounded Corners 3">
          <a:extLst>
            <a:ext uri="{FF2B5EF4-FFF2-40B4-BE49-F238E27FC236}">
              <a16:creationId xmlns:a16="http://schemas.microsoft.com/office/drawing/2014/main" id="{7AB2FADF-5A99-4B03-BF68-0460F2BB1FB8}"/>
            </a:ext>
          </a:extLst>
        </xdr:cNvPr>
        <xdr:cNvSpPr/>
      </xdr:nvSpPr>
      <xdr:spPr>
        <a:xfrm>
          <a:off x="3131344" y="927770"/>
          <a:ext cx="2979310" cy="1050500"/>
        </a:xfrm>
        <a:prstGeom prst="roundRect">
          <a:avLst/>
        </a:prstGeom>
        <a:solidFill>
          <a:schemeClr val="accent6">
            <a:lumMod val="60000"/>
            <a:lumOff val="40000"/>
          </a:schemeClr>
        </a:solidFill>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lvl="0" algn="ctr"/>
          <a:r>
            <a:rPr lang="en-US" sz="1300" u="none">
              <a:solidFill>
                <a:sysClr val="windowText" lastClr="000000"/>
              </a:solidFill>
              <a:latin typeface="Sitka Small" panose="02000505000000020004" pitchFamily="2" charset="0"/>
            </a:rPr>
            <a:t>"Preferred Payment Mode</a:t>
          </a:r>
          <a:r>
            <a:rPr lang="en-US" sz="1300" u="none" baseline="0">
              <a:solidFill>
                <a:sysClr val="windowText" lastClr="000000"/>
              </a:solidFill>
              <a:latin typeface="Sitka Small" panose="02000505000000020004" pitchFamily="2" charset="0"/>
            </a:rPr>
            <a:t>"</a:t>
          </a:r>
        </a:p>
        <a:p>
          <a:pPr lvl="0" algn="ctr"/>
          <a:r>
            <a:rPr lang="en-US" sz="2000" u="sng">
              <a:solidFill>
                <a:sysClr val="windowText" lastClr="000000"/>
              </a:solidFill>
              <a:latin typeface="Sitka Small" panose="02000505000000020004" pitchFamily="2" charset="0"/>
            </a:rPr>
            <a:t> </a:t>
          </a:r>
          <a:r>
            <a:rPr lang="en-US" sz="2300" b="1" u="sng">
              <a:solidFill>
                <a:sysClr val="windowText" lastClr="000000"/>
              </a:solidFill>
              <a:latin typeface="Sitka Small" panose="02000505000000020004" pitchFamily="2" charset="0"/>
            </a:rPr>
            <a:t>'Wallet'</a:t>
          </a:r>
        </a:p>
        <a:p>
          <a:pPr lvl="0" algn="ctr"/>
          <a:r>
            <a:rPr lang="en-US" sz="1000" u="sng">
              <a:solidFill>
                <a:sysClr val="windowText" lastClr="000000"/>
              </a:solidFill>
              <a:latin typeface="Mongolian Baiti" panose="03000500000000000000" pitchFamily="66" charset="0"/>
              <a:cs typeface="Mongolian Baiti" panose="03000500000000000000" pitchFamily="66" charset="0"/>
            </a:rPr>
            <a:t>(</a:t>
          </a:r>
          <a:r>
            <a:rPr lang="en-US" sz="1400" u="sng">
              <a:solidFill>
                <a:sysClr val="windowText" lastClr="000000"/>
              </a:solidFill>
              <a:latin typeface="Mongolian Baiti" panose="03000500000000000000" pitchFamily="66" charset="0"/>
              <a:cs typeface="Mongolian Baiti" panose="03000500000000000000" pitchFamily="66" charset="0"/>
            </a:rPr>
            <a:t>Canada)</a:t>
          </a:r>
          <a:endParaRPr lang="en-US" sz="1000" u="sng">
            <a:solidFill>
              <a:sysClr val="windowText" lastClr="000000"/>
            </a:solidFill>
            <a:latin typeface="Mongolian Baiti" panose="03000500000000000000" pitchFamily="66" charset="0"/>
            <a:cs typeface="Mongolian Baiti" panose="03000500000000000000" pitchFamily="66" charset="0"/>
          </a:endParaRPr>
        </a:p>
      </xdr:txBody>
    </xdr:sp>
    <xdr:clientData/>
  </xdr:twoCellAnchor>
  <xdr:twoCellAnchor>
    <xdr:from>
      <xdr:col>27</xdr:col>
      <xdr:colOff>174381</xdr:colOff>
      <xdr:row>3</xdr:row>
      <xdr:rowOff>150934</xdr:rowOff>
    </xdr:from>
    <xdr:to>
      <xdr:col>30</xdr:col>
      <xdr:colOff>578827</xdr:colOff>
      <xdr:row>9</xdr:row>
      <xdr:rowOff>23934</xdr:rowOff>
    </xdr:to>
    <xdr:sp macro="" textlink="">
      <xdr:nvSpPr>
        <xdr:cNvPr id="7" name="Rectangle: Rounded Corners 6">
          <a:extLst>
            <a:ext uri="{FF2B5EF4-FFF2-40B4-BE49-F238E27FC236}">
              <a16:creationId xmlns:a16="http://schemas.microsoft.com/office/drawing/2014/main" id="{02525B60-CEF3-4218-A5C7-27E2FC036B9D}"/>
            </a:ext>
          </a:extLst>
        </xdr:cNvPr>
        <xdr:cNvSpPr/>
      </xdr:nvSpPr>
      <xdr:spPr>
        <a:xfrm>
          <a:off x="16690731" y="722434"/>
          <a:ext cx="2233246" cy="1016000"/>
        </a:xfrm>
        <a:prstGeom prst="roundRect">
          <a:avLst/>
        </a:prstGeom>
        <a:solidFill>
          <a:schemeClr val="accent6">
            <a:lumMod val="60000"/>
            <a:lumOff val="4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lvl="0" algn="ctr"/>
          <a:r>
            <a:rPr lang="en-US" sz="1400" u="none">
              <a:latin typeface="Sitka Small" panose="02000505000000020004" pitchFamily="2" charset="0"/>
            </a:rPr>
            <a:t>"Exensive</a:t>
          </a:r>
          <a:r>
            <a:rPr lang="en-US" sz="1400" u="none" baseline="0">
              <a:latin typeface="Sitka Small" panose="02000505000000020004" pitchFamily="2" charset="0"/>
            </a:rPr>
            <a:t> Product "</a:t>
          </a:r>
        </a:p>
        <a:p>
          <a:pPr lvl="0" algn="ctr"/>
          <a:r>
            <a:rPr lang="en-US" sz="2200" u="sng">
              <a:latin typeface="Sitka Small" panose="02000505000000020004" pitchFamily="2" charset="0"/>
            </a:rPr>
            <a:t> </a:t>
          </a:r>
          <a:r>
            <a:rPr lang="en-US" sz="2200" b="1" u="sng">
              <a:latin typeface="Sitka Small" panose="02000505000000020004" pitchFamily="2" charset="0"/>
            </a:rPr>
            <a:t>'Joggers'</a:t>
          </a:r>
        </a:p>
        <a:p>
          <a:pPr lvl="0" algn="ctr"/>
          <a:r>
            <a:rPr lang="en-US" sz="1600" u="sng">
              <a:solidFill>
                <a:schemeClr val="dk1"/>
              </a:solidFill>
              <a:latin typeface="Mongolian Baiti" panose="03000500000000000000" pitchFamily="66" charset="0"/>
              <a:ea typeface="+mn-ea"/>
              <a:cs typeface="Mongolian Baiti" panose="03000500000000000000" pitchFamily="66" charset="0"/>
            </a:rPr>
            <a:t>(Puma)</a:t>
          </a:r>
        </a:p>
      </xdr:txBody>
    </xdr:sp>
    <xdr:clientData/>
  </xdr:twoCellAnchor>
  <xdr:twoCellAnchor>
    <xdr:from>
      <xdr:col>2</xdr:col>
      <xdr:colOff>302539</xdr:colOff>
      <xdr:row>10</xdr:row>
      <xdr:rowOff>6413</xdr:rowOff>
    </xdr:from>
    <xdr:to>
      <xdr:col>10</xdr:col>
      <xdr:colOff>322384</xdr:colOff>
      <xdr:row>25</xdr:row>
      <xdr:rowOff>175847</xdr:rowOff>
    </xdr:to>
    <xdr:graphicFrame macro="">
      <xdr:nvGraphicFramePr>
        <xdr:cNvPr id="8" name="Chart 7">
          <a:extLst>
            <a:ext uri="{FF2B5EF4-FFF2-40B4-BE49-F238E27FC236}">
              <a16:creationId xmlns:a16="http://schemas.microsoft.com/office/drawing/2014/main" id="{BD9D6232-A807-45BE-997D-0ED2D103C1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131885</xdr:colOff>
      <xdr:row>10</xdr:row>
      <xdr:rowOff>14043</xdr:rowOff>
    </xdr:from>
    <xdr:to>
      <xdr:col>2</xdr:col>
      <xdr:colOff>102577</xdr:colOff>
      <xdr:row>25</xdr:row>
      <xdr:rowOff>175846</xdr:rowOff>
    </xdr:to>
    <mc:AlternateContent xmlns:mc="http://schemas.openxmlformats.org/markup-compatibility/2006" xmlns:a14="http://schemas.microsoft.com/office/drawing/2010/main">
      <mc:Choice Requires="a14">
        <xdr:graphicFrame macro="">
          <xdr:nvGraphicFramePr>
            <xdr:cNvPr id="9" name="Brand 1">
              <a:extLst>
                <a:ext uri="{FF2B5EF4-FFF2-40B4-BE49-F238E27FC236}">
                  <a16:creationId xmlns:a16="http://schemas.microsoft.com/office/drawing/2014/main" id="{AA8F98AD-DD3A-4432-BC60-9505D654BA51}"/>
                </a:ext>
              </a:extLst>
            </xdr:cNvPr>
            <xdr:cNvGraphicFramePr/>
          </xdr:nvGraphicFramePr>
          <xdr:xfrm>
            <a:off x="0" y="0"/>
            <a:ext cx="0" cy="0"/>
          </xdr:xfrm>
          <a:graphic>
            <a:graphicData uri="http://schemas.microsoft.com/office/drawing/2010/slicer">
              <sle:slicer xmlns:sle="http://schemas.microsoft.com/office/drawing/2010/slicer" name="Brand 1"/>
            </a:graphicData>
          </a:graphic>
        </xdr:graphicFrame>
      </mc:Choice>
      <mc:Fallback xmlns="">
        <xdr:sp macro="" textlink="">
          <xdr:nvSpPr>
            <xdr:cNvPr id="0" name=""/>
            <xdr:cNvSpPr>
              <a:spLocks noTextEdit="1"/>
            </xdr:cNvSpPr>
          </xdr:nvSpPr>
          <xdr:spPr>
            <a:xfrm>
              <a:off x="131885" y="1538043"/>
              <a:ext cx="1559412" cy="26676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483577</xdr:colOff>
      <xdr:row>10</xdr:row>
      <xdr:rowOff>14881</xdr:rowOff>
    </xdr:from>
    <xdr:to>
      <xdr:col>20</xdr:col>
      <xdr:colOff>337039</xdr:colOff>
      <xdr:row>25</xdr:row>
      <xdr:rowOff>190498</xdr:rowOff>
    </xdr:to>
    <xdr:graphicFrame macro="">
      <xdr:nvGraphicFramePr>
        <xdr:cNvPr id="10" name="Chart 9">
          <a:extLst>
            <a:ext uri="{FF2B5EF4-FFF2-40B4-BE49-F238E27FC236}">
              <a16:creationId xmlns:a16="http://schemas.microsoft.com/office/drawing/2014/main" id="{ABCCA5A7-4EE3-47F0-AF92-4F2E645B54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29</xdr:col>
      <xdr:colOff>88167</xdr:colOff>
      <xdr:row>26</xdr:row>
      <xdr:rowOff>189768</xdr:rowOff>
    </xdr:from>
    <xdr:to>
      <xdr:col>30</xdr:col>
      <xdr:colOff>600808</xdr:colOff>
      <xdr:row>43</xdr:row>
      <xdr:rowOff>171450</xdr:rowOff>
    </xdr:to>
    <mc:AlternateContent xmlns:mc="http://schemas.openxmlformats.org/markup-compatibility/2006" xmlns:a14="http://schemas.microsoft.com/office/drawing/2010/main">
      <mc:Choice Requires="a14">
        <xdr:graphicFrame macro="">
          <xdr:nvGraphicFramePr>
            <xdr:cNvPr id="11" name="Gender">
              <a:extLst>
                <a:ext uri="{FF2B5EF4-FFF2-40B4-BE49-F238E27FC236}">
                  <a16:creationId xmlns:a16="http://schemas.microsoft.com/office/drawing/2014/main" id="{7D9F3CBF-019E-4C29-B0D9-1E07662E8F7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7723849" y="5067723"/>
              <a:ext cx="1118777" cy="31711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512886</xdr:colOff>
      <xdr:row>9</xdr:row>
      <xdr:rowOff>190499</xdr:rowOff>
    </xdr:from>
    <xdr:to>
      <xdr:col>28</xdr:col>
      <xdr:colOff>527539</xdr:colOff>
      <xdr:row>26</xdr:row>
      <xdr:rowOff>14652</xdr:rowOff>
    </xdr:to>
    <xdr:graphicFrame macro="">
      <xdr:nvGraphicFramePr>
        <xdr:cNvPr id="12" name="Chart 11">
          <a:extLst>
            <a:ext uri="{FF2B5EF4-FFF2-40B4-BE49-F238E27FC236}">
              <a16:creationId xmlns:a16="http://schemas.microsoft.com/office/drawing/2014/main" id="{18C9D6FF-33DA-4884-A044-60B1DB01DB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29</xdr:col>
      <xdr:colOff>58617</xdr:colOff>
      <xdr:row>10</xdr:row>
      <xdr:rowOff>37368</xdr:rowOff>
    </xdr:from>
    <xdr:to>
      <xdr:col>31</xdr:col>
      <xdr:colOff>0</xdr:colOff>
      <xdr:row>25</xdr:row>
      <xdr:rowOff>161192</xdr:rowOff>
    </xdr:to>
    <mc:AlternateContent xmlns:mc="http://schemas.openxmlformats.org/markup-compatibility/2006" xmlns:a14="http://schemas.microsoft.com/office/drawing/2010/main">
      <mc:Choice Requires="a14">
        <xdr:graphicFrame macro="">
          <xdr:nvGraphicFramePr>
            <xdr:cNvPr id="14" name="Country">
              <a:extLst>
                <a:ext uri="{FF2B5EF4-FFF2-40B4-BE49-F238E27FC236}">
                  <a16:creationId xmlns:a16="http://schemas.microsoft.com/office/drawing/2014/main" id="{0D71E230-0EDB-45BE-962A-8834978F6826}"/>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8122413" y="1561368"/>
              <a:ext cx="1162050" cy="30106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278421</xdr:colOff>
      <xdr:row>26</xdr:row>
      <xdr:rowOff>131884</xdr:rowOff>
    </xdr:from>
    <xdr:to>
      <xdr:col>12</xdr:col>
      <xdr:colOff>14653</xdr:colOff>
      <xdr:row>44</xdr:row>
      <xdr:rowOff>19050</xdr:rowOff>
    </xdr:to>
    <xdr:graphicFrame macro="">
      <xdr:nvGraphicFramePr>
        <xdr:cNvPr id="15" name="Chart 14">
          <a:extLst>
            <a:ext uri="{FF2B5EF4-FFF2-40B4-BE49-F238E27FC236}">
              <a16:creationId xmlns:a16="http://schemas.microsoft.com/office/drawing/2014/main" id="{82480BD7-B9B2-469D-8040-6804E1E826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92319</xdr:colOff>
      <xdr:row>26</xdr:row>
      <xdr:rowOff>171451</xdr:rowOff>
    </xdr:from>
    <xdr:to>
      <xdr:col>21</xdr:col>
      <xdr:colOff>33702</xdr:colOff>
      <xdr:row>44</xdr:row>
      <xdr:rowOff>19051</xdr:rowOff>
    </xdr:to>
    <xdr:graphicFrame macro="">
      <xdr:nvGraphicFramePr>
        <xdr:cNvPr id="16" name="Chart 15">
          <a:extLst>
            <a:ext uri="{FF2B5EF4-FFF2-40B4-BE49-F238E27FC236}">
              <a16:creationId xmlns:a16="http://schemas.microsoft.com/office/drawing/2014/main" id="{B52FEB3C-582F-4CC7-B28B-C8D8A6B352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94516</xdr:colOff>
      <xdr:row>26</xdr:row>
      <xdr:rowOff>131884</xdr:rowOff>
    </xdr:from>
    <xdr:to>
      <xdr:col>2</xdr:col>
      <xdr:colOff>87922</xdr:colOff>
      <xdr:row>44</xdr:row>
      <xdr:rowOff>2885</xdr:rowOff>
    </xdr:to>
    <mc:AlternateContent xmlns:mc="http://schemas.openxmlformats.org/markup-compatibility/2006" xmlns:a14="http://schemas.microsoft.com/office/drawing/2010/main">
      <mc:Choice Requires="a14">
        <xdr:graphicFrame macro="">
          <xdr:nvGraphicFramePr>
            <xdr:cNvPr id="17" name="Country 1">
              <a:extLst>
                <a:ext uri="{FF2B5EF4-FFF2-40B4-BE49-F238E27FC236}">
                  <a16:creationId xmlns:a16="http://schemas.microsoft.com/office/drawing/2014/main" id="{3D772C76-EE13-4D81-91BA-11621DD503F8}"/>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94516" y="5009839"/>
              <a:ext cx="1205679" cy="32480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234461</xdr:colOff>
      <xdr:row>26</xdr:row>
      <xdr:rowOff>175846</xdr:rowOff>
    </xdr:from>
    <xdr:to>
      <xdr:col>28</xdr:col>
      <xdr:colOff>498230</xdr:colOff>
      <xdr:row>43</xdr:row>
      <xdr:rowOff>152400</xdr:rowOff>
    </xdr:to>
    <xdr:graphicFrame macro="">
      <xdr:nvGraphicFramePr>
        <xdr:cNvPr id="18" name="Chart 17">
          <a:extLst>
            <a:ext uri="{FF2B5EF4-FFF2-40B4-BE49-F238E27FC236}">
              <a16:creationId xmlns:a16="http://schemas.microsoft.com/office/drawing/2014/main" id="{B03D633A-8206-4931-90AB-B63BA60923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590550</xdr:colOff>
      <xdr:row>3</xdr:row>
      <xdr:rowOff>152400</xdr:rowOff>
    </xdr:from>
    <xdr:to>
      <xdr:col>16</xdr:col>
      <xdr:colOff>76200</xdr:colOff>
      <xdr:row>9</xdr:row>
      <xdr:rowOff>49926</xdr:rowOff>
    </xdr:to>
    <xdr:sp macro="" textlink="">
      <xdr:nvSpPr>
        <xdr:cNvPr id="19" name="Rectangle: Rounded Corners 18">
          <a:extLst>
            <a:ext uri="{FF2B5EF4-FFF2-40B4-BE49-F238E27FC236}">
              <a16:creationId xmlns:a16="http://schemas.microsoft.com/office/drawing/2014/main" id="{AF63C34B-16D6-4A34-ABC4-68DF89AAA6B8}"/>
            </a:ext>
          </a:extLst>
        </xdr:cNvPr>
        <xdr:cNvSpPr/>
      </xdr:nvSpPr>
      <xdr:spPr>
        <a:xfrm>
          <a:off x="6534150" y="723900"/>
          <a:ext cx="3143250" cy="1040526"/>
        </a:xfrm>
        <a:prstGeom prst="roundRect">
          <a:avLst/>
        </a:prstGeom>
        <a:solidFill>
          <a:schemeClr val="accent6">
            <a:lumMod val="60000"/>
            <a:lumOff val="4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lvl="0" algn="ctr"/>
          <a:r>
            <a:rPr lang="en-US" sz="1300" u="none">
              <a:latin typeface="Sitka Small" panose="02000505000000020004" pitchFamily="2" charset="0"/>
            </a:rPr>
            <a:t>"Peak month of purchasing</a:t>
          </a:r>
          <a:r>
            <a:rPr lang="en-US" sz="1300" u="none" baseline="0">
              <a:latin typeface="Sitka Small" panose="02000505000000020004" pitchFamily="2" charset="0"/>
            </a:rPr>
            <a:t>"</a:t>
          </a:r>
        </a:p>
        <a:p>
          <a:pPr lvl="0" algn="ctr"/>
          <a:r>
            <a:rPr lang="en-US" sz="2400" b="1" u="sng">
              <a:latin typeface="Sitka Small" panose="02000505000000020004" pitchFamily="2" charset="0"/>
            </a:rPr>
            <a:t> 'July'</a:t>
          </a:r>
        </a:p>
        <a:p>
          <a:pPr lvl="0" algn="ctr"/>
          <a:r>
            <a:rPr lang="en-US" sz="1400" u="sng">
              <a:latin typeface="Sitka Small" panose="02000505000000020004" pitchFamily="2" charset="0"/>
            </a:rPr>
            <a:t>(168)</a:t>
          </a:r>
        </a:p>
      </xdr:txBody>
    </xdr:sp>
    <xdr:clientData/>
  </xdr:twoCellAnchor>
  <xdr:twoCellAnchor>
    <xdr:from>
      <xdr:col>16</xdr:col>
      <xdr:colOff>400050</xdr:colOff>
      <xdr:row>3</xdr:row>
      <xdr:rowOff>171450</xdr:rowOff>
    </xdr:from>
    <xdr:to>
      <xdr:col>21</xdr:col>
      <xdr:colOff>133350</xdr:colOff>
      <xdr:row>9</xdr:row>
      <xdr:rowOff>19050</xdr:rowOff>
    </xdr:to>
    <xdr:sp macro="" textlink="">
      <xdr:nvSpPr>
        <xdr:cNvPr id="20" name="Rectangle: Rounded Corners 19">
          <a:extLst>
            <a:ext uri="{FF2B5EF4-FFF2-40B4-BE49-F238E27FC236}">
              <a16:creationId xmlns:a16="http://schemas.microsoft.com/office/drawing/2014/main" id="{E8F3B68A-7DD4-434A-B77C-58B2289C6298}"/>
            </a:ext>
          </a:extLst>
        </xdr:cNvPr>
        <xdr:cNvSpPr/>
      </xdr:nvSpPr>
      <xdr:spPr>
        <a:xfrm>
          <a:off x="10001250" y="742950"/>
          <a:ext cx="2990850" cy="990600"/>
        </a:xfrm>
        <a:prstGeom prst="roundRect">
          <a:avLst/>
        </a:prstGeom>
        <a:solidFill>
          <a:schemeClr val="accent6">
            <a:lumMod val="60000"/>
            <a:lumOff val="4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lvl="0" algn="ctr"/>
          <a:r>
            <a:rPr lang="en-US" sz="1400" u="none">
              <a:latin typeface="Sitka Small" panose="02000505000000020004" pitchFamily="2" charset="0"/>
            </a:rPr>
            <a:t>"Top County</a:t>
          </a:r>
          <a:r>
            <a:rPr lang="en-US" sz="1400" u="none" baseline="0">
              <a:latin typeface="Sitka Small" panose="02000505000000020004" pitchFamily="2" charset="0"/>
            </a:rPr>
            <a:t> by Sale"</a:t>
          </a:r>
        </a:p>
        <a:p>
          <a:pPr lvl="0" algn="ctr"/>
          <a:r>
            <a:rPr lang="en-US" sz="2300" b="1" u="sng" baseline="0">
              <a:latin typeface="Sitka Small" panose="02000505000000020004" pitchFamily="2" charset="0"/>
            </a:rPr>
            <a:t>'Japan'</a:t>
          </a:r>
        </a:p>
        <a:p>
          <a:pPr marL="0" marR="0" lvl="0" indent="0" algn="ctr" defTabSz="914400" eaLnBrk="1" fontAlgn="auto" latinLnBrk="0" hangingPunct="1">
            <a:lnSpc>
              <a:spcPct val="100000"/>
            </a:lnSpc>
            <a:spcBef>
              <a:spcPts val="0"/>
            </a:spcBef>
            <a:spcAft>
              <a:spcPts val="0"/>
            </a:spcAft>
            <a:buClrTx/>
            <a:buSzTx/>
            <a:buFontTx/>
            <a:buNone/>
            <a:tabLst/>
            <a:defRPr/>
          </a:pPr>
          <a:r>
            <a:rPr lang="en-US" sz="1200" u="sng">
              <a:solidFill>
                <a:schemeClr val="dk1"/>
              </a:solidFill>
              <a:effectLst/>
              <a:latin typeface="+mn-lt"/>
              <a:ea typeface="+mn-ea"/>
              <a:cs typeface="+mn-cs"/>
            </a:rPr>
            <a:t>($331,587.39)</a:t>
          </a:r>
          <a:endParaRPr lang="en-US" sz="2800">
            <a:effectLst/>
          </a:endParaRPr>
        </a:p>
        <a:p>
          <a:pPr lvl="0" algn="ctr"/>
          <a:endParaRPr lang="en-US" sz="2300" b="1" u="sng" baseline="0">
            <a:latin typeface="Sitka Small" panose="02000505000000020004" pitchFamily="2" charset="0"/>
          </a:endParaRPr>
        </a:p>
        <a:p>
          <a:pPr lvl="0" algn="ctr"/>
          <a:endParaRPr lang="en-US" sz="2000" b="1" u="sng">
            <a:latin typeface="Sitka Small" panose="02000505000000020004" pitchFamily="2" charset="0"/>
          </a:endParaRPr>
        </a:p>
      </xdr:txBody>
    </xdr:sp>
    <xdr:clientData/>
  </xdr:twoCellAnchor>
  <xdr:twoCellAnchor editAs="oneCell">
    <xdr:from>
      <xdr:col>11</xdr:col>
      <xdr:colOff>331932</xdr:colOff>
      <xdr:row>5</xdr:row>
      <xdr:rowOff>143616</xdr:rowOff>
    </xdr:from>
    <xdr:to>
      <xdr:col>12</xdr:col>
      <xdr:colOff>216477</xdr:colOff>
      <xdr:row>8</xdr:row>
      <xdr:rowOff>66672</xdr:rowOff>
    </xdr:to>
    <xdr:pic>
      <xdr:nvPicPr>
        <xdr:cNvPr id="21" name="Picture 20" descr="Months Icons - Free SVG &amp; PNG Months Images - Noun Project">
          <a:extLst>
            <a:ext uri="{FF2B5EF4-FFF2-40B4-BE49-F238E27FC236}">
              <a16:creationId xmlns:a16="http://schemas.microsoft.com/office/drawing/2014/main" id="{CB512C2D-C9C1-4B6B-9A1B-05C075E752D8}"/>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6855114" y="1081684"/>
          <a:ext cx="490681" cy="4858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736025</xdr:colOff>
      <xdr:row>5</xdr:row>
      <xdr:rowOff>158750</xdr:rowOff>
    </xdr:from>
    <xdr:to>
      <xdr:col>17</xdr:col>
      <xdr:colOff>379635</xdr:colOff>
      <xdr:row>8</xdr:row>
      <xdr:rowOff>43295</xdr:rowOff>
    </xdr:to>
    <xdr:pic>
      <xdr:nvPicPr>
        <xdr:cNvPr id="23" name="Picture 22" descr="Country Icons - Free SVG &amp; PNG Country Images - Noun Project">
          <a:extLst>
            <a:ext uri="{FF2B5EF4-FFF2-40B4-BE49-F238E27FC236}">
              <a16:creationId xmlns:a16="http://schemas.microsoft.com/office/drawing/2014/main" id="{BFBD6A31-1092-4A05-9A62-D87D27D3D333}"/>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10289889" y="1096818"/>
          <a:ext cx="451791" cy="4473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591704</xdr:colOff>
      <xdr:row>5</xdr:row>
      <xdr:rowOff>86591</xdr:rowOff>
    </xdr:from>
    <xdr:to>
      <xdr:col>22</xdr:col>
      <xdr:colOff>525341</xdr:colOff>
      <xdr:row>8</xdr:row>
      <xdr:rowOff>57727</xdr:rowOff>
    </xdr:to>
    <xdr:pic>
      <xdr:nvPicPr>
        <xdr:cNvPr id="29" name="Picture 28" descr="Female Icon PNG Images, Vectors Free Download - Pngtree">
          <a:extLst>
            <a:ext uri="{FF2B5EF4-FFF2-40B4-BE49-F238E27FC236}">
              <a16:creationId xmlns:a16="http://schemas.microsoft.com/office/drawing/2014/main" id="{891A641E-4E72-4ACF-8EA4-35DF17DB02A3}"/>
            </a:ext>
          </a:extLst>
        </xdr:cNvPr>
        <xdr:cNvPicPr>
          <a:picLocks noChangeAspect="1" noChangeArrowheads="1"/>
        </xdr:cNvPicPr>
      </xdr:nvPicPr>
      <xdr:blipFill>
        <a:blip xmlns:r="http://schemas.openxmlformats.org/officeDocument/2006/relationships" r:embed="rId9" cstate="print">
          <a:extLst>
            <a:ext uri="{BEBA8EAE-BF5A-486C-A8C5-ECC9F3942E4B}">
              <a14:imgProps xmlns:a14="http://schemas.microsoft.com/office/drawing/2010/main">
                <a14:imgLayer r:embed="rId10">
                  <a14:imgEffect>
                    <a14:backgroundRemoval t="10000" b="90000" l="10000" r="90000"/>
                  </a14:imgEffect>
                </a14:imgLayer>
              </a14:imgProps>
            </a:ext>
            <a:ext uri="{28A0092B-C50C-407E-A947-70E740481C1C}">
              <a14:useLocalDpi xmlns:a14="http://schemas.microsoft.com/office/drawing/2010/main" val="0"/>
            </a:ext>
          </a:extLst>
        </a:blip>
        <a:srcRect/>
        <a:stretch>
          <a:fillRect/>
        </a:stretch>
      </xdr:blipFill>
      <xdr:spPr bwMode="auto">
        <a:xfrm>
          <a:off x="13378295" y="1024659"/>
          <a:ext cx="539773" cy="5339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303069</xdr:colOff>
      <xdr:row>5</xdr:row>
      <xdr:rowOff>91865</xdr:rowOff>
    </xdr:from>
    <xdr:to>
      <xdr:col>6</xdr:col>
      <xdr:colOff>216477</xdr:colOff>
      <xdr:row>8</xdr:row>
      <xdr:rowOff>43294</xdr:rowOff>
    </xdr:to>
    <xdr:pic>
      <xdr:nvPicPr>
        <xdr:cNvPr id="30" name="Picture 29" descr="Wallet Icon PNG Images, Vectors Free Download - Pngtree">
          <a:extLst>
            <a:ext uri="{FF2B5EF4-FFF2-40B4-BE49-F238E27FC236}">
              <a16:creationId xmlns:a16="http://schemas.microsoft.com/office/drawing/2014/main" id="{37BDD641-627E-45D0-A681-70B9AC9457C5}"/>
            </a:ext>
          </a:extLst>
        </xdr:cNvPr>
        <xdr:cNvPicPr>
          <a:picLocks noChangeAspect="1" noChangeArrowheads="1"/>
        </xdr:cNvPicPr>
      </xdr:nvPicPr>
      <xdr:blipFill>
        <a:blip xmlns:r="http://schemas.openxmlformats.org/officeDocument/2006/relationships" r:embed="rId11" cstate="print">
          <a:extLst>
            <a:ext uri="{BEBA8EAE-BF5A-486C-A8C5-ECC9F3942E4B}">
              <a14:imgProps xmlns:a14="http://schemas.microsoft.com/office/drawing/2010/main">
                <a14:imgLayer r:embed="rId12">
                  <a14:imgEffect>
                    <a14:backgroundRemoval t="10000" b="90000" l="10000" r="90000"/>
                  </a14:imgEffect>
                </a14:imgLayer>
              </a14:imgProps>
            </a:ext>
            <a:ext uri="{28A0092B-C50C-407E-A947-70E740481C1C}">
              <a14:useLocalDpi xmlns:a14="http://schemas.microsoft.com/office/drawing/2010/main" val="0"/>
            </a:ext>
          </a:extLst>
        </a:blip>
        <a:srcRect/>
        <a:stretch>
          <a:fillRect/>
        </a:stretch>
      </xdr:blipFill>
      <xdr:spPr bwMode="auto">
        <a:xfrm>
          <a:off x="3333751" y="1029933"/>
          <a:ext cx="519544" cy="5142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089.438117361111" createdVersion="6" refreshedVersion="6" minRefreshableVersion="3" recordCount="353" xr:uid="{00000000-000A-0000-FFFF-FFFF05000000}">
  <cacheSource type="worksheet">
    <worksheetSource name="Table1"/>
  </cacheSource>
  <cacheFields count="11">
    <cacheField name="Date" numFmtId="14">
      <sharedItems containsSemiMixedTypes="0" containsNonDate="0" containsDate="1" containsString="0" minDate="2022-01-01T00:00:00" maxDate="2022-09-01T00:00:00" count="191">
        <d v="2022-05-27T00:00:00"/>
        <d v="2022-08-22T00:00:00"/>
        <d v="2022-04-03T00:00:00"/>
        <d v="2022-07-13T00:00:00"/>
        <d v="2022-08-25T00:00:00"/>
        <d v="2022-02-23T00:00:00"/>
        <d v="2022-07-12T00:00:00"/>
        <d v="2022-07-14T00:00:00"/>
        <d v="2022-06-20T00:00:00"/>
        <d v="2022-01-02T00:00:00"/>
        <d v="2022-06-25T00:00:00"/>
        <d v="2022-01-31T00:00:00"/>
        <d v="2022-08-26T00:00:00"/>
        <d v="2022-02-08T00:00:00"/>
        <d v="2022-05-15T00:00:00"/>
        <d v="2022-01-27T00:00:00"/>
        <d v="2022-04-02T00:00:00"/>
        <d v="2022-07-11T00:00:00"/>
        <d v="2022-08-18T00:00:00"/>
        <d v="2022-04-08T00:00:00"/>
        <d v="2022-06-07T00:00:00"/>
        <d v="2022-05-07T00:00:00"/>
        <d v="2022-05-28T00:00:00"/>
        <d v="2022-03-24T00:00:00"/>
        <d v="2022-02-25T00:00:00"/>
        <d v="2022-03-31T00:00:00"/>
        <d v="2022-08-10T00:00:00"/>
        <d v="2022-04-26T00:00:00"/>
        <d v="2022-02-24T00:00:00"/>
        <d v="2022-01-07T00:00:00"/>
        <d v="2022-06-28T00:00:00"/>
        <d v="2022-03-08T00:00:00"/>
        <d v="2022-07-26T00:00:00"/>
        <d v="2022-02-16T00:00:00"/>
        <d v="2022-07-17T00:00:00"/>
        <d v="2022-04-28T00:00:00"/>
        <d v="2022-03-13T00:00:00"/>
        <d v="2022-07-24T00:00:00"/>
        <d v="2022-06-11T00:00:00"/>
        <d v="2022-02-13T00:00:00"/>
        <d v="2022-07-10T00:00:00"/>
        <d v="2022-01-22T00:00:00"/>
        <d v="2022-06-18T00:00:00"/>
        <d v="2022-03-18T00:00:00"/>
        <d v="2022-08-21T00:00:00"/>
        <d v="2022-07-07T00:00:00"/>
        <d v="2022-05-11T00:00:00"/>
        <d v="2022-06-17T00:00:00"/>
        <d v="2022-05-24T00:00:00"/>
        <d v="2022-06-29T00:00:00"/>
        <d v="2022-05-25T00:00:00"/>
        <d v="2022-03-09T00:00:00"/>
        <d v="2022-05-22T00:00:00"/>
        <d v="2022-06-02T00:00:00"/>
        <d v="2022-03-06T00:00:00"/>
        <d v="2022-03-21T00:00:00"/>
        <d v="2022-07-16T00:00:00"/>
        <d v="2022-03-19T00:00:00"/>
        <d v="2022-08-04T00:00:00"/>
        <d v="2022-05-03T00:00:00"/>
        <d v="2022-07-01T00:00:00"/>
        <d v="2022-06-16T00:00:00"/>
        <d v="2022-01-10T00:00:00"/>
        <d v="2022-07-08T00:00:00"/>
        <d v="2022-08-20T00:00:00"/>
        <d v="2022-02-11T00:00:00"/>
        <d v="2022-05-26T00:00:00"/>
        <d v="2022-05-05T00:00:00"/>
        <d v="2022-08-31T00:00:00"/>
        <d v="2022-04-21T00:00:00"/>
        <d v="2022-04-15T00:00:00"/>
        <d v="2022-03-14T00:00:00"/>
        <d v="2022-08-30T00:00:00"/>
        <d v="2022-06-06T00:00:00"/>
        <d v="2022-08-29T00:00:00"/>
        <d v="2022-08-02T00:00:00"/>
        <d v="2022-05-31T00:00:00"/>
        <d v="2022-02-01T00:00:00"/>
        <d v="2022-04-09T00:00:00"/>
        <d v="2022-07-23T00:00:00"/>
        <d v="2022-02-07T00:00:00"/>
        <d v="2022-04-27T00:00:00"/>
        <d v="2022-03-07T00:00:00"/>
        <d v="2022-07-03T00:00:00"/>
        <d v="2022-06-05T00:00:00"/>
        <d v="2022-06-26T00:00:00"/>
        <d v="2022-03-04T00:00:00"/>
        <d v="2022-01-29T00:00:00"/>
        <d v="2022-03-02T00:00:00"/>
        <d v="2022-06-01T00:00:00"/>
        <d v="2022-04-04T00:00:00"/>
        <d v="2022-01-24T00:00:00"/>
        <d v="2022-02-14T00:00:00"/>
        <d v="2022-06-15T00:00:00"/>
        <d v="2022-02-19T00:00:00"/>
        <d v="2022-07-06T00:00:00"/>
        <d v="2022-03-25T00:00:00"/>
        <d v="2022-02-03T00:00:00"/>
        <d v="2022-06-30T00:00:00"/>
        <d v="2022-02-12T00:00:00"/>
        <d v="2022-07-15T00:00:00"/>
        <d v="2022-02-06T00:00:00"/>
        <d v="2022-01-20T00:00:00"/>
        <d v="2022-07-02T00:00:00"/>
        <d v="2022-03-12T00:00:00"/>
        <d v="2022-01-16T00:00:00"/>
        <d v="2022-03-01T00:00:00"/>
        <d v="2022-02-27T00:00:00"/>
        <d v="2022-06-24T00:00:00"/>
        <d v="2022-07-25T00:00:00"/>
        <d v="2022-05-29T00:00:00"/>
        <d v="2022-03-23T00:00:00"/>
        <d v="2022-02-18T00:00:00"/>
        <d v="2022-02-28T00:00:00"/>
        <d v="2022-02-09T00:00:00"/>
        <d v="2022-08-16T00:00:00"/>
        <d v="2022-06-13T00:00:00"/>
        <d v="2022-03-03T00:00:00"/>
        <d v="2022-01-03T00:00:00"/>
        <d v="2022-04-06T00:00:00"/>
        <d v="2022-08-11T00:00:00"/>
        <d v="2022-06-23T00:00:00"/>
        <d v="2022-04-16T00:00:00"/>
        <d v="2022-03-30T00:00:00"/>
        <d v="2022-03-15T00:00:00"/>
        <d v="2022-02-04T00:00:00"/>
        <d v="2022-08-06T00:00:00"/>
        <d v="2022-04-05T00:00:00"/>
        <d v="2022-03-11T00:00:00"/>
        <d v="2022-01-09T00:00:00"/>
        <d v="2022-05-02T00:00:00"/>
        <d v="2022-07-27T00:00:00"/>
        <d v="2022-06-10T00:00:00"/>
        <d v="2022-05-04T00:00:00"/>
        <d v="2022-01-17T00:00:00"/>
        <d v="2022-05-08T00:00:00"/>
        <d v="2022-06-12T00:00:00"/>
        <d v="2022-04-13T00:00:00"/>
        <d v="2022-05-13T00:00:00"/>
        <d v="2022-02-17T00:00:00"/>
        <d v="2022-07-31T00:00:00"/>
        <d v="2022-07-21T00:00:00"/>
        <d v="2022-04-10T00:00:00"/>
        <d v="2022-02-26T00:00:00"/>
        <d v="2022-04-29T00:00:00"/>
        <d v="2022-07-09T00:00:00"/>
        <d v="2022-04-18T00:00:00"/>
        <d v="2022-06-03T00:00:00"/>
        <d v="2022-01-25T00:00:00"/>
        <d v="2022-01-08T00:00:00"/>
        <d v="2022-08-09T00:00:00"/>
        <d v="2022-08-13T00:00:00"/>
        <d v="2022-06-21T00:00:00"/>
        <d v="2022-08-23T00:00:00"/>
        <d v="2022-01-23T00:00:00"/>
        <d v="2022-01-18T00:00:00"/>
        <d v="2022-04-11T00:00:00"/>
        <d v="2022-07-04T00:00:00"/>
        <d v="2022-05-21T00:00:00"/>
        <d v="2022-03-26T00:00:00"/>
        <d v="2022-01-12T00:00:00"/>
        <d v="2022-08-01T00:00:00"/>
        <d v="2022-01-04T00:00:00"/>
        <d v="2022-04-25T00:00:00"/>
        <d v="2022-01-01T00:00:00"/>
        <d v="2022-03-05T00:00:00"/>
        <d v="2022-05-12T00:00:00"/>
        <d v="2022-08-05T00:00:00"/>
        <d v="2022-01-15T00:00:00"/>
        <d v="2022-08-24T00:00:00"/>
        <d v="2022-01-19T00:00:00"/>
        <d v="2022-08-19T00:00:00"/>
        <d v="2022-07-18T00:00:00"/>
        <d v="2022-01-14T00:00:00"/>
        <d v="2022-05-23T00:00:00"/>
        <d v="2022-03-28T00:00:00"/>
        <d v="2022-04-14T00:00:00"/>
        <d v="2022-05-06T00:00:00"/>
        <d v="2022-01-06T00:00:00"/>
        <d v="2022-01-21T00:00:00"/>
        <d v="2022-03-10T00:00:00"/>
        <d v="2022-08-17T00:00:00"/>
        <d v="2022-04-07T00:00:00"/>
        <d v="2022-02-05T00:00:00"/>
        <d v="2022-02-10T00:00:00"/>
        <d v="2022-03-17T00:00:00"/>
        <d v="2022-06-04T00:00:00"/>
        <d v="2022-03-16T00:00:00"/>
        <d v="2022-02-15T00:00:00"/>
        <d v="2022-08-03T00:00:00"/>
        <d v="2022-05-19T00:00:00"/>
      </sharedItems>
    </cacheField>
    <cacheField name="Product Name" numFmtId="0">
      <sharedItems/>
    </cacheField>
    <cacheField name="Product Type" numFmtId="0">
      <sharedItems/>
    </cacheField>
    <cacheField name="Brand" numFmtId="0">
      <sharedItems/>
    </cacheField>
    <cacheField name="Gender" numFmtId="0">
      <sharedItems count="3">
        <s v="Unisex"/>
        <s v="Women"/>
        <s v="Men"/>
      </sharedItems>
    </cacheField>
    <cacheField name="Category" numFmtId="0">
      <sharedItems/>
    </cacheField>
    <cacheField name="Country" numFmtId="0">
      <sharedItems count="7">
        <s v="Japan"/>
        <s v="USA"/>
        <s v="Germany"/>
        <s v="Australia"/>
        <s v="UK"/>
        <s v="Canada"/>
        <s v="India"/>
      </sharedItems>
    </cacheField>
    <cacheField name="Quantity" numFmtId="0">
      <sharedItems containsSemiMixedTypes="0" containsString="0" containsNumber="1" containsInteger="1" minValue="1" maxValue="5" count="5">
        <n v="5"/>
        <n v="2"/>
        <n v="1"/>
        <n v="4"/>
        <n v="3"/>
      </sharedItems>
    </cacheField>
    <cacheField name="Unit Price ($)" numFmtId="0">
      <sharedItems containsSemiMixedTypes="0" containsString="0" containsNumber="1" minValue="50.1" maxValue="299.73"/>
    </cacheField>
    <cacheField name="Amount ($)" numFmtId="0">
      <sharedItems containsSemiMixedTypes="0" containsString="0" containsNumber="1" minValue="50.1" maxValue="1496.5" count="353">
        <n v="709.1"/>
        <n v="534.67999999999995"/>
        <n v="292"/>
        <n v="981.76"/>
        <n v="369.02"/>
        <n v="257.72000000000003"/>
        <n v="207.85"/>
        <n v="326.64"/>
        <n v="598.41"/>
        <n v="1192.8800000000001"/>
        <n v="117.18"/>
        <n v="480.46"/>
        <n v="887.25"/>
        <n v="54.44"/>
        <n v="104.16"/>
        <n v="323.3"/>
        <n v="342.87"/>
        <n v="167.77"/>
        <n v="502.08"/>
        <n v="1182.1199999999999"/>
        <n v="429.24"/>
        <n v="597.70000000000005"/>
        <n v="885.75"/>
        <n v="254.92"/>
        <n v="344.52"/>
        <n v="690.72"/>
        <n v="1017.5"/>
        <n v="602.76"/>
        <n v="251.98"/>
        <n v="487.6"/>
        <n v="1035.28"/>
        <n v="406.1"/>
        <n v="260.10000000000002"/>
        <n v="742.16"/>
        <n v="1174.2"/>
        <n v="268.77999999999997"/>
        <n v="247.68"/>
        <n v="764.44"/>
        <n v="70.69"/>
        <n v="89.14"/>
        <n v="540.28"/>
        <n v="446"/>
        <n v="954.08"/>
        <n v="602.75"/>
        <n v="850.64"/>
        <n v="1281.0999999999999"/>
        <n v="497.6"/>
        <n v="160.66"/>
        <n v="293.25"/>
        <n v="917.75"/>
        <n v="421.54"/>
        <n v="875.28"/>
        <n v="668.7"/>
        <n v="208.47"/>
        <n v="180.42"/>
        <n v="382.08"/>
        <n v="448.53"/>
        <n v="409.08"/>
        <n v="811.9"/>
        <n v="519.32000000000005"/>
        <n v="180.39"/>
        <n v="241.05"/>
        <n v="444.16"/>
        <n v="287.44"/>
        <n v="689.5"/>
        <n v="644.04"/>
        <n v="539.76"/>
        <n v="96.97"/>
        <n v="1082.2"/>
        <n v="783.93"/>
        <n v="225.6"/>
        <n v="718.65"/>
        <n v="189.24"/>
        <n v="228.88"/>
        <n v="170.86"/>
        <n v="317.37"/>
        <n v="564.75"/>
        <n v="279"/>
        <n v="50.1"/>
        <n v="56.49"/>
        <n v="503.25"/>
        <n v="320.88"/>
        <n v="969.76"/>
        <n v="419.62"/>
        <n v="1047.8399999999999"/>
        <n v="728.13"/>
        <n v="1496.5"/>
        <n v="651.4"/>
        <n v="1078.1500000000001"/>
        <n v="54.99"/>
        <n v="742.8"/>
        <n v="307.5"/>
        <n v="1177.5"/>
        <n v="719.28"/>
        <n v="855.28"/>
        <n v="67.2"/>
        <n v="828.2"/>
        <n v="773.76"/>
        <n v="122.32"/>
        <n v="203.63"/>
        <n v="834.45"/>
        <n v="389.34"/>
        <n v="997.1"/>
        <n v="491.15"/>
        <n v="114.47"/>
        <n v="1123.55"/>
        <n v="312.12"/>
        <n v="701.3"/>
        <n v="1076.9000000000001"/>
        <n v="510.2"/>
        <n v="546.6"/>
        <n v="986.64"/>
        <n v="1313.4"/>
        <n v="304.17"/>
        <n v="59.05"/>
        <n v="101.32"/>
        <n v="915.52"/>
        <n v="1034.4000000000001"/>
        <n v="519.79999999999995"/>
        <n v="950.15"/>
        <n v="239.21"/>
        <n v="271.18"/>
        <n v="703.25"/>
        <n v="291.63"/>
        <n v="550.25"/>
        <n v="209.13"/>
        <n v="256.81"/>
        <n v="106.1"/>
        <n v="508.44"/>
        <n v="518.91999999999996"/>
        <n v="366.58"/>
        <n v="260.8"/>
        <n v="560.20000000000005"/>
        <n v="425.5"/>
        <n v="180.65"/>
        <n v="735.65"/>
        <n v="332.34"/>
        <n v="291.85000000000002"/>
        <n v="1208.3499999999999"/>
        <n v="179.34"/>
        <n v="132.09"/>
        <n v="404.36"/>
        <n v="270.57"/>
        <n v="358.56"/>
        <n v="943.05"/>
        <n v="222.72"/>
        <n v="161.94"/>
        <n v="962.56"/>
        <n v="977.85"/>
        <n v="673.98"/>
        <n v="195.6"/>
        <n v="471.12"/>
        <n v="859.72"/>
        <n v="498.98"/>
        <n v="565.4"/>
        <n v="792.42"/>
        <n v="367.9"/>
        <n v="106.59"/>
        <n v="179.94"/>
        <n v="263.43"/>
        <n v="567.20000000000005"/>
        <n v="388.62"/>
        <n v="798.72"/>
        <n v="727.35"/>
        <n v="141.11000000000001"/>
        <n v="376.8"/>
        <n v="581.12"/>
        <n v="554.96"/>
        <n v="614.24"/>
        <n v="149.66"/>
        <n v="136.80000000000001"/>
        <n v="629.07000000000005"/>
        <n v="602.61"/>
        <n v="221.26"/>
        <n v="884.9"/>
        <n v="385.4"/>
        <n v="958.16"/>
        <n v="897.7"/>
        <n v="822.69"/>
        <n v="499.45"/>
        <n v="592.44000000000005"/>
        <n v="409.85"/>
        <n v="873.87"/>
        <n v="694.75"/>
        <n v="832.76"/>
        <n v="1458.5"/>
        <n v="629.66999999999996"/>
        <n v="685.96"/>
        <n v="468.66"/>
        <n v="635.28"/>
        <n v="656.73"/>
        <n v="274.39999999999998"/>
        <n v="75.27"/>
        <n v="144.04"/>
        <n v="785.8"/>
        <n v="640.98"/>
        <n v="164.57"/>
        <n v="813"/>
        <n v="455.55"/>
        <n v="173.76"/>
        <n v="627.9"/>
        <n v="112.26"/>
        <n v="433.66"/>
        <n v="342.6"/>
        <n v="98.04"/>
        <n v="1021.75"/>
        <n v="1134.8"/>
        <n v="690.08"/>
        <n v="155.43"/>
        <n v="356.4"/>
        <n v="496.88"/>
        <n v="214.08"/>
        <n v="132.07"/>
        <n v="355.11"/>
        <n v="1218.7"/>
        <n v="750.1"/>
        <n v="219.93"/>
        <n v="352.48"/>
        <n v="677.5"/>
        <n v="1000.48"/>
        <n v="583.55999999999995"/>
        <n v="1126.1600000000001"/>
        <n v="485.68"/>
        <n v="1063.6400000000001"/>
        <n v="240.42"/>
        <n v="1376.35"/>
        <n v="464.37"/>
        <n v="695"/>
        <n v="237.81"/>
        <n v="474.2"/>
        <n v="913.84"/>
        <n v="209.68"/>
        <n v="811.56"/>
        <n v="477.44"/>
        <n v="375.78"/>
        <n v="889.65"/>
        <n v="56.73"/>
        <n v="91.56"/>
        <n v="305.08"/>
        <n v="245.48"/>
        <n v="487.08"/>
        <n v="515"/>
        <n v="809.12"/>
        <n v="224.83"/>
        <n v="768.81"/>
        <n v="554.52"/>
        <n v="813.57"/>
        <n v="616.86"/>
        <n v="523.88"/>
        <n v="1338.55"/>
        <n v="605.48"/>
        <n v="449.2"/>
        <n v="276.64"/>
        <n v="610.23"/>
        <n v="391.7"/>
        <n v="577.74"/>
        <n v="65.45"/>
        <n v="202.42"/>
        <n v="102.22"/>
        <n v="292.68"/>
        <n v="351.02"/>
        <n v="845.48"/>
        <n v="209.78"/>
        <n v="59.85"/>
        <n v="468.81"/>
        <n v="350"/>
        <n v="176"/>
        <n v="1173.32"/>
        <n v="1426.85"/>
        <n v="1102.95"/>
        <n v="1070"/>
        <n v="1041.2"/>
        <n v="534.79999999999995"/>
        <n v="317.39999999999998"/>
        <n v="488.26"/>
        <n v="739.95"/>
        <n v="157.81"/>
        <n v="425.52"/>
        <n v="677.7"/>
        <n v="338.94"/>
        <n v="201.68"/>
        <n v="1171"/>
        <n v="247.86"/>
        <n v="738.39"/>
        <n v="672.04"/>
        <n v="93.08"/>
        <n v="484.65"/>
        <n v="686.52"/>
        <n v="885.24"/>
        <n v="575.36"/>
        <n v="843.5"/>
        <n v="461.46"/>
        <n v="1124"/>
        <n v="562"/>
        <n v="233.16"/>
        <n v="1243.55"/>
        <n v="786"/>
        <n v="455"/>
        <n v="109.66"/>
        <n v="81.569999999999993"/>
        <n v="494.4"/>
        <n v="1001.04"/>
        <n v="137.19999999999999"/>
        <n v="492.18"/>
        <n v="793.8"/>
        <n v="324.95999999999998"/>
        <n v="973.92"/>
        <n v="733.6"/>
        <n v="271.44"/>
        <n v="270.95999999999998"/>
        <n v="742.3"/>
        <n v="1255.3"/>
        <n v="390.82"/>
        <n v="825.16"/>
        <n v="584.36"/>
        <n v="284.3"/>
        <n v="1447.35"/>
        <n v="436.5"/>
        <n v="818.48"/>
        <n v="534.84"/>
        <n v="144.59"/>
        <n v="160.94"/>
        <n v="196.34"/>
        <n v="127.52"/>
        <n v="314.24"/>
        <n v="1466.05"/>
        <n v="284.5"/>
        <n v="86.17"/>
        <n v="517.11"/>
        <n v="708.15"/>
        <n v="770.16"/>
        <n v="822.56"/>
        <n v="272.72000000000003"/>
        <n v="275.88"/>
        <n v="616.15"/>
        <n v="1365"/>
        <n v="677.52"/>
        <n v="706.08"/>
        <n v="949.7"/>
        <n v="330.6"/>
        <n v="109.52"/>
        <n v="296.56"/>
        <n v="296.51"/>
        <n v="89.5"/>
        <n v="841.92"/>
        <n v="1171.4000000000001"/>
        <n v="589.78"/>
        <n v="208.24"/>
        <n v="471.25"/>
        <n v="1295"/>
        <n v="1198.92"/>
        <n v="356.3"/>
        <n v="1350.7"/>
      </sharedItems>
    </cacheField>
    <cacheField name="Payment Mode" numFmtId="0">
      <sharedItems/>
    </cacheField>
  </cacheFields>
  <extLst>
    <ext xmlns:x14="http://schemas.microsoft.com/office/spreadsheetml/2009/9/main" uri="{725AE2AE-9491-48be-B2B4-4EB974FC3084}">
      <x14:pivotCacheDefinition pivotCacheId="201899751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089.731915509263" createdVersion="6" refreshedVersion="6" minRefreshableVersion="3" recordCount="316" xr:uid="{04FF56C0-3022-415F-91EE-F4E881CC3A92}">
  <cacheSource type="worksheet">
    <worksheetSource name="Table134"/>
  </cacheSource>
  <cacheFields count="12">
    <cacheField name="Date" numFmtId="14">
      <sharedItems containsSemiMixedTypes="0" containsNonDate="0" containsDate="1" containsString="0" minDate="2022-01-01T00:00:00" maxDate="2022-09-01T00:00:00"/>
    </cacheField>
    <cacheField name="Monthly" numFmtId="14">
      <sharedItems count="8">
        <s v="05-2022"/>
        <s v="04-2022"/>
        <s v="03-2022"/>
        <s v="07-2022"/>
        <s v="06-2022"/>
        <s v="02-2022"/>
        <s v="01-2022"/>
        <s v="08-2022"/>
      </sharedItems>
    </cacheField>
    <cacheField name="Product Name" numFmtId="0">
      <sharedItems/>
    </cacheField>
    <cacheField name="Product Type" numFmtId="0">
      <sharedItems/>
    </cacheField>
    <cacheField name="Brand" numFmtId="0">
      <sharedItems/>
    </cacheField>
    <cacheField name="Gender" numFmtId="0">
      <sharedItems/>
    </cacheField>
    <cacheField name="Category" numFmtId="0">
      <sharedItems count="4">
        <s v="Limited Edition"/>
        <s v="Sportswear"/>
        <s v="Casual"/>
        <s v="Streetwear"/>
      </sharedItems>
    </cacheField>
    <cacheField name="Country" numFmtId="0">
      <sharedItems/>
    </cacheField>
    <cacheField name="Quantity" numFmtId="0">
      <sharedItems containsSemiMixedTypes="0" containsString="0" containsNumber="1" containsInteger="1" minValue="1" maxValue="5"/>
    </cacheField>
    <cacheField name="Unit Price ($)" numFmtId="0">
      <sharedItems containsSemiMixedTypes="0" containsString="0" containsNumber="1" minValue="50.1" maxValue="299.73"/>
    </cacheField>
    <cacheField name="Amount ($)" numFmtId="0">
      <sharedItems containsSemiMixedTypes="0" containsString="0" containsNumber="1" minValue="50.1" maxValue="1496.5"/>
    </cacheField>
    <cacheField name="Payment Mode"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089.942019907408" createdVersion="6" refreshedVersion="6" minRefreshableVersion="3" recordCount="316" xr:uid="{82587402-342C-459C-86B0-2A851C5F6F83}">
  <cacheSource type="worksheet">
    <worksheetSource name="Table1345"/>
  </cacheSource>
  <cacheFields count="11">
    <cacheField name="Date" numFmtId="14">
      <sharedItems containsSemiMixedTypes="0" containsNonDate="0" containsDate="1" containsString="0" minDate="2022-01-01T00:00:00" maxDate="2022-09-01T00:00:00"/>
    </cacheField>
    <cacheField name="Product Name" numFmtId="0">
      <sharedItems/>
    </cacheField>
    <cacheField name="Product Type" numFmtId="0">
      <sharedItems/>
    </cacheField>
    <cacheField name="Brand" numFmtId="0">
      <sharedItems/>
    </cacheField>
    <cacheField name="Gender" numFmtId="0">
      <sharedItems/>
    </cacheField>
    <cacheField name="Category" numFmtId="0">
      <sharedItems/>
    </cacheField>
    <cacheField name="Country" numFmtId="0">
      <sharedItems count="7">
        <s v="Japan"/>
        <s v="Australia"/>
        <s v="UK"/>
        <s v="India"/>
        <s v="Germany"/>
        <s v="Canada"/>
        <s v="USA"/>
      </sharedItems>
    </cacheField>
    <cacheField name="Quantity" numFmtId="0">
      <sharedItems containsSemiMixedTypes="0" containsString="0" containsNumber="1" containsInteger="1" minValue="1" maxValue="5" count="5">
        <n v="5"/>
        <n v="1"/>
        <n v="4"/>
        <n v="2"/>
        <n v="3"/>
      </sharedItems>
    </cacheField>
    <cacheField name="Unit Price ($)" numFmtId="0">
      <sharedItems containsSemiMixedTypes="0" containsString="0" containsNumber="1" minValue="50.1" maxValue="299.73"/>
    </cacheField>
    <cacheField name="Amount ($)" numFmtId="0">
      <sharedItems containsSemiMixedTypes="0" containsString="0" containsNumber="1" minValue="50.1" maxValue="1496.5" count="316">
        <n v="709.1"/>
        <n v="70.69"/>
        <n v="89.14"/>
        <n v="540.28"/>
        <n v="446"/>
        <n v="954.08"/>
        <n v="602.75"/>
        <n v="850.64"/>
        <n v="1281.0999999999999"/>
        <n v="497.6"/>
        <n v="160.66"/>
        <n v="293.25"/>
        <n v="917.75"/>
        <n v="421.54"/>
        <n v="875.28"/>
        <n v="668.7"/>
        <n v="208.47"/>
        <n v="180.42"/>
        <n v="382.08"/>
        <n v="448.53"/>
        <n v="409.08"/>
        <n v="811.9"/>
        <n v="519.32000000000005"/>
        <n v="180.39"/>
        <n v="241.05"/>
        <n v="444.16"/>
        <n v="287.44"/>
        <n v="689.5"/>
        <n v="644.04"/>
        <n v="539.76"/>
        <n v="96.97"/>
        <n v="1082.2"/>
        <n v="783.93"/>
        <n v="225.6"/>
        <n v="718.65"/>
        <n v="189.24"/>
        <n v="228.88"/>
        <n v="170.86"/>
        <n v="317.37"/>
        <n v="564.75"/>
        <n v="279"/>
        <n v="50.1"/>
        <n v="56.49"/>
        <n v="503.25"/>
        <n v="320.88"/>
        <n v="969.76"/>
        <n v="419.62"/>
        <n v="1047.8399999999999"/>
        <n v="728.13"/>
        <n v="1496.5"/>
        <n v="651.4"/>
        <n v="1078.1500000000001"/>
        <n v="54.99"/>
        <n v="742.8"/>
        <n v="307.5"/>
        <n v="1177.5"/>
        <n v="719.28"/>
        <n v="855.28"/>
        <n v="67.2"/>
        <n v="828.2"/>
        <n v="773.76"/>
        <n v="122.32"/>
        <n v="203.63"/>
        <n v="834.45"/>
        <n v="389.34"/>
        <n v="997.1"/>
        <n v="491.15"/>
        <n v="114.47"/>
        <n v="1123.55"/>
        <n v="312.12"/>
        <n v="701.3"/>
        <n v="1076.9000000000001"/>
        <n v="510.2"/>
        <n v="546.6"/>
        <n v="986.64"/>
        <n v="1313.4"/>
        <n v="304.17"/>
        <n v="59.05"/>
        <n v="101.32"/>
        <n v="915.52"/>
        <n v="1034.4000000000001"/>
        <n v="519.79999999999995"/>
        <n v="950.15"/>
        <n v="239.21"/>
        <n v="271.18"/>
        <n v="703.25"/>
        <n v="291.63"/>
        <n v="550.25"/>
        <n v="209.13"/>
        <n v="256.81"/>
        <n v="106.1"/>
        <n v="508.44"/>
        <n v="518.91999999999996"/>
        <n v="366.58"/>
        <n v="260.8"/>
        <n v="560.20000000000005"/>
        <n v="425.5"/>
        <n v="180.65"/>
        <n v="735.65"/>
        <n v="332.34"/>
        <n v="291.85000000000002"/>
        <n v="1208.3499999999999"/>
        <n v="179.34"/>
        <n v="132.09"/>
        <n v="404.36"/>
        <n v="270.57"/>
        <n v="358.56"/>
        <n v="943.05"/>
        <n v="222.72"/>
        <n v="161.94"/>
        <n v="962.56"/>
        <n v="977.85"/>
        <n v="673.98"/>
        <n v="195.6"/>
        <n v="471.12"/>
        <n v="859.72"/>
        <n v="498.98"/>
        <n v="565.4"/>
        <n v="792.42"/>
        <n v="367.9"/>
        <n v="106.59"/>
        <n v="179.94"/>
        <n v="263.43"/>
        <n v="567.20000000000005"/>
        <n v="388.62"/>
        <n v="798.72"/>
        <n v="727.35"/>
        <n v="141.11000000000001"/>
        <n v="376.8"/>
        <n v="581.12"/>
        <n v="554.96"/>
        <n v="614.24"/>
        <n v="149.66"/>
        <n v="136.80000000000001"/>
        <n v="629.07000000000005"/>
        <n v="602.61"/>
        <n v="221.26"/>
        <n v="884.9"/>
        <n v="385.4"/>
        <n v="958.16"/>
        <n v="897.7"/>
        <n v="822.69"/>
        <n v="499.45"/>
        <n v="592.44000000000005"/>
        <n v="409.85"/>
        <n v="873.87"/>
        <n v="694.75"/>
        <n v="832.76"/>
        <n v="1458.5"/>
        <n v="629.66999999999996"/>
        <n v="685.96"/>
        <n v="468.66"/>
        <n v="635.28"/>
        <n v="656.73"/>
        <n v="274.39999999999998"/>
        <n v="75.27"/>
        <n v="144.04"/>
        <n v="785.8"/>
        <n v="640.98"/>
        <n v="164.57"/>
        <n v="813"/>
        <n v="455.55"/>
        <n v="173.76"/>
        <n v="627.9"/>
        <n v="112.26"/>
        <n v="433.66"/>
        <n v="342.6"/>
        <n v="98.04"/>
        <n v="1021.75"/>
        <n v="1134.8"/>
        <n v="690.08"/>
        <n v="155.43"/>
        <n v="356.4"/>
        <n v="496.88"/>
        <n v="214.08"/>
        <n v="132.07"/>
        <n v="355.11"/>
        <n v="1218.7"/>
        <n v="750.1"/>
        <n v="219.93"/>
        <n v="352.48"/>
        <n v="677.5"/>
        <n v="1000.48"/>
        <n v="583.55999999999995"/>
        <n v="1126.1600000000001"/>
        <n v="485.68"/>
        <n v="1063.6400000000001"/>
        <n v="240.42"/>
        <n v="1376.35"/>
        <n v="464.37"/>
        <n v="695"/>
        <n v="237.81"/>
        <n v="474.2"/>
        <n v="913.84"/>
        <n v="209.68"/>
        <n v="811.56"/>
        <n v="477.44"/>
        <n v="375.78"/>
        <n v="889.65"/>
        <n v="56.73"/>
        <n v="91.56"/>
        <n v="305.08"/>
        <n v="245.48"/>
        <n v="487.08"/>
        <n v="515"/>
        <n v="809.12"/>
        <n v="224.83"/>
        <n v="768.81"/>
        <n v="554.52"/>
        <n v="813.57"/>
        <n v="616.86"/>
        <n v="523.88"/>
        <n v="1338.55"/>
        <n v="605.48"/>
        <n v="449.2"/>
        <n v="276.64"/>
        <n v="610.23"/>
        <n v="391.7"/>
        <n v="577.74"/>
        <n v="65.45"/>
        <n v="202.42"/>
        <n v="102.22"/>
        <n v="292.68"/>
        <n v="351.02"/>
        <n v="845.48"/>
        <n v="209.78"/>
        <n v="59.85"/>
        <n v="468.81"/>
        <n v="350"/>
        <n v="176"/>
        <n v="1173.32"/>
        <n v="1426.85"/>
        <n v="1102.95"/>
        <n v="1070"/>
        <n v="1041.2"/>
        <n v="534.79999999999995"/>
        <n v="317.39999999999998"/>
        <n v="488.26"/>
        <n v="739.95"/>
        <n v="157.81"/>
        <n v="425.52"/>
        <n v="677.7"/>
        <n v="338.94"/>
        <n v="201.68"/>
        <n v="1171"/>
        <n v="247.86"/>
        <n v="738.39"/>
        <n v="672.04"/>
        <n v="93.08"/>
        <n v="484.65"/>
        <n v="686.52"/>
        <n v="885.24"/>
        <n v="575.36"/>
        <n v="843.5"/>
        <n v="461.46"/>
        <n v="1124"/>
        <n v="562"/>
        <n v="233.16"/>
        <n v="1243.55"/>
        <n v="786"/>
        <n v="455"/>
        <n v="109.66"/>
        <n v="81.569999999999993"/>
        <n v="494.4"/>
        <n v="1001.04"/>
        <n v="137.19999999999999"/>
        <n v="492.18"/>
        <n v="793.8"/>
        <n v="324.95999999999998"/>
        <n v="973.92"/>
        <n v="733.6"/>
        <n v="271.44"/>
        <n v="270.95999999999998"/>
        <n v="742.3"/>
        <n v="1255.3"/>
        <n v="390.82"/>
        <n v="825.16"/>
        <n v="584.36"/>
        <n v="284.3"/>
        <n v="1447.35"/>
        <n v="436.5"/>
        <n v="818.48"/>
        <n v="534.84"/>
        <n v="144.59"/>
        <n v="160.94"/>
        <n v="196.34"/>
        <n v="127.52"/>
        <n v="314.24"/>
        <n v="1466.05"/>
        <n v="284.5"/>
        <n v="86.17"/>
        <n v="517.11"/>
        <n v="708.15"/>
        <n v="770.16"/>
        <n v="822.56"/>
        <n v="272.72000000000003"/>
        <n v="275.88"/>
        <n v="616.15"/>
        <n v="1365"/>
        <n v="677.52"/>
        <n v="706.08"/>
        <n v="949.7"/>
        <n v="330.6"/>
        <n v="109.52"/>
        <n v="296.56"/>
        <n v="296.51"/>
        <n v="89.5"/>
        <n v="841.92"/>
        <n v="1171.4000000000001"/>
        <n v="589.78"/>
        <n v="208.24"/>
        <n v="471.25"/>
        <n v="1295"/>
        <n v="1198.92"/>
        <n v="356.3"/>
        <n v="1350.7"/>
      </sharedItems>
    </cacheField>
    <cacheField name="Payment Mode" numFmtId="0">
      <sharedItems count="4">
        <s v="Card"/>
        <s v="UPI"/>
        <s v="Cash on Delivery"/>
        <s v="Wallet"/>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089.9533212963" createdVersion="6" refreshedVersion="6" minRefreshableVersion="3" recordCount="316" xr:uid="{CC57F0D6-3195-4981-857B-6B851BD10FEE}">
  <cacheSource type="worksheet">
    <worksheetSource name="Table13456"/>
  </cacheSource>
  <cacheFields count="11">
    <cacheField name="Date" numFmtId="14">
      <sharedItems containsSemiMixedTypes="0" containsNonDate="0" containsDate="1" containsString="0" minDate="2022-01-01T00:00:00" maxDate="2022-09-01T00:00:00"/>
    </cacheField>
    <cacheField name="Product Name" numFmtId="0">
      <sharedItems count="10">
        <s v="Fear of God Essentials Tee"/>
        <s v="Yeezy Boost 350"/>
        <s v="Off-White Hoodie"/>
        <s v="New Era Cap"/>
        <s v="Adidas Ultraboost"/>
        <s v="Nike Tech Fleece"/>
        <s v="Jordan 1 High"/>
        <s v="Supreme Hoodie"/>
        <s v="Nike Dunk Low"/>
        <s v="Puma Joggers"/>
      </sharedItems>
    </cacheField>
    <cacheField name="Product Type" numFmtId="0">
      <sharedItems/>
    </cacheField>
    <cacheField name="Brand" numFmtId="0">
      <sharedItems/>
    </cacheField>
    <cacheField name="Gender" numFmtId="0">
      <sharedItems/>
    </cacheField>
    <cacheField name="Category" numFmtId="0">
      <sharedItems/>
    </cacheField>
    <cacheField name="Country" numFmtId="0">
      <sharedItems/>
    </cacheField>
    <cacheField name="Quantity" numFmtId="0">
      <sharedItems containsSemiMixedTypes="0" containsString="0" containsNumber="1" containsInteger="1" minValue="1" maxValue="5" count="5">
        <n v="5"/>
        <n v="1"/>
        <n v="4"/>
        <n v="2"/>
        <n v="3"/>
      </sharedItems>
    </cacheField>
    <cacheField name="Unit Price ($)" numFmtId="0">
      <sharedItems containsSemiMixedTypes="0" containsString="0" containsNumber="1" minValue="50.1" maxValue="299.73"/>
    </cacheField>
    <cacheField name="Amount ($)" numFmtId="0">
      <sharedItems containsSemiMixedTypes="0" containsString="0" containsNumber="1" minValue="50.1" maxValue="1496.5"/>
    </cacheField>
    <cacheField name="Payment Mode" numFmtId="0">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089.983798148147" createdVersion="6" refreshedVersion="6" minRefreshableVersion="3" recordCount="316" xr:uid="{6D410FBD-8007-4BF1-9CEC-507C7B829ACD}">
  <cacheSource type="worksheet">
    <worksheetSource name="Table1345678"/>
  </cacheSource>
  <cacheFields count="12">
    <cacheField name="Date" numFmtId="14">
      <sharedItems containsSemiMixedTypes="0" containsNonDate="0" containsDate="1" containsString="0" minDate="2022-01-01T00:00:00" maxDate="2022-09-01T00:00:00" count="184">
        <d v="2022-05-27T00:00:00"/>
        <d v="2022-04-28T00:00:00"/>
        <d v="2022-03-13T00:00:00"/>
        <d v="2022-07-24T00:00:00"/>
        <d v="2022-06-11T00:00:00"/>
        <d v="2022-06-28T00:00:00"/>
        <d v="2022-07-12T00:00:00"/>
        <d v="2022-02-13T00:00:00"/>
        <d v="2022-07-10T00:00:00"/>
        <d v="2022-01-22T00:00:00"/>
        <d v="2022-06-18T00:00:00"/>
        <d v="2022-03-18T00:00:00"/>
        <d v="2022-08-21T00:00:00"/>
        <d v="2022-07-07T00:00:00"/>
        <d v="2022-05-11T00:00:00"/>
        <d v="2022-06-17T00:00:00"/>
        <d v="2022-05-24T00:00:00"/>
        <d v="2022-05-28T00:00:00"/>
        <d v="2022-06-29T00:00:00"/>
        <d v="2022-05-25T00:00:00"/>
        <d v="2022-03-09T00:00:00"/>
        <d v="2022-05-22T00:00:00"/>
        <d v="2022-06-02T00:00:00"/>
        <d v="2022-03-06T00:00:00"/>
        <d v="2022-03-21T00:00:00"/>
        <d v="2022-07-16T00:00:00"/>
        <d v="2022-03-19T00:00:00"/>
        <d v="2022-08-04T00:00:00"/>
        <d v="2022-05-03T00:00:00"/>
        <d v="2022-07-01T00:00:00"/>
        <d v="2022-06-16T00:00:00"/>
        <d v="2022-01-10T00:00:00"/>
        <d v="2022-07-08T00:00:00"/>
        <d v="2022-08-20T00:00:00"/>
        <d v="2022-07-14T00:00:00"/>
        <d v="2022-02-11T00:00:00"/>
        <d v="2022-05-26T00:00:00"/>
        <d v="2022-05-05T00:00:00"/>
        <d v="2022-08-31T00:00:00"/>
        <d v="2022-04-21T00:00:00"/>
        <d v="2022-04-15T00:00:00"/>
        <d v="2022-05-07T00:00:00"/>
        <d v="2022-03-14T00:00:00"/>
        <d v="2022-08-30T00:00:00"/>
        <d v="2022-06-06T00:00:00"/>
        <d v="2022-08-29T00:00:00"/>
        <d v="2022-08-02T00:00:00"/>
        <d v="2022-05-31T00:00:00"/>
        <d v="2022-02-01T00:00:00"/>
        <d v="2022-04-09T00:00:00"/>
        <d v="2022-07-23T00:00:00"/>
        <d v="2022-02-07T00:00:00"/>
        <d v="2022-04-27T00:00:00"/>
        <d v="2022-03-07T00:00:00"/>
        <d v="2022-07-03T00:00:00"/>
        <d v="2022-06-05T00:00:00"/>
        <d v="2022-06-26T00:00:00"/>
        <d v="2022-03-04T00:00:00"/>
        <d v="2022-01-29T00:00:00"/>
        <d v="2022-03-02T00:00:00"/>
        <d v="2022-06-01T00:00:00"/>
        <d v="2022-05-15T00:00:00"/>
        <d v="2022-04-04T00:00:00"/>
        <d v="2022-01-24T00:00:00"/>
        <d v="2022-02-14T00:00:00"/>
        <d v="2022-06-15T00:00:00"/>
        <d v="2022-02-19T00:00:00"/>
        <d v="2022-07-06T00:00:00"/>
        <d v="2022-03-25T00:00:00"/>
        <d v="2022-02-03T00:00:00"/>
        <d v="2022-06-30T00:00:00"/>
        <d v="2022-02-12T00:00:00"/>
        <d v="2022-07-15T00:00:00"/>
        <d v="2022-02-06T00:00:00"/>
        <d v="2022-01-20T00:00:00"/>
        <d v="2022-04-03T00:00:00"/>
        <d v="2022-07-02T00:00:00"/>
        <d v="2022-03-12T00:00:00"/>
        <d v="2022-01-16T00:00:00"/>
        <d v="2022-03-01T00:00:00"/>
        <d v="2022-02-27T00:00:00"/>
        <d v="2022-02-08T00:00:00"/>
        <d v="2022-06-24T00:00:00"/>
        <d v="2022-07-25T00:00:00"/>
        <d v="2022-05-29T00:00:00"/>
        <d v="2022-03-23T00:00:00"/>
        <d v="2022-02-18T00:00:00"/>
        <d v="2022-02-28T00:00:00"/>
        <d v="2022-07-13T00:00:00"/>
        <d v="2022-02-09T00:00:00"/>
        <d v="2022-08-16T00:00:00"/>
        <d v="2022-06-13T00:00:00"/>
        <d v="2022-03-03T00:00:00"/>
        <d v="2022-01-03T00:00:00"/>
        <d v="2022-07-26T00:00:00"/>
        <d v="2022-04-06T00:00:00"/>
        <d v="2022-08-11T00:00:00"/>
        <d v="2022-06-23T00:00:00"/>
        <d v="2022-04-08T00:00:00"/>
        <d v="2022-01-31T00:00:00"/>
        <d v="2022-04-16T00:00:00"/>
        <d v="2022-03-30T00:00:00"/>
        <d v="2022-03-15T00:00:00"/>
        <d v="2022-02-04T00:00:00"/>
        <d v="2022-08-06T00:00:00"/>
        <d v="2022-04-05T00:00:00"/>
        <d v="2022-03-11T00:00:00"/>
        <d v="2022-01-09T00:00:00"/>
        <d v="2022-05-02T00:00:00"/>
        <d v="2022-01-27T00:00:00"/>
        <d v="2022-07-27T00:00:00"/>
        <d v="2022-06-10T00:00:00"/>
        <d v="2022-05-04T00:00:00"/>
        <d v="2022-01-17T00:00:00"/>
        <d v="2022-06-07T00:00:00"/>
        <d v="2022-05-08T00:00:00"/>
        <d v="2022-06-12T00:00:00"/>
        <d v="2022-04-13T00:00:00"/>
        <d v="2022-05-13T00:00:00"/>
        <d v="2022-02-17T00:00:00"/>
        <d v="2022-07-31T00:00:00"/>
        <d v="2022-08-25T00:00:00"/>
        <d v="2022-07-21T00:00:00"/>
        <d v="2022-04-10T00:00:00"/>
        <d v="2022-02-26T00:00:00"/>
        <d v="2022-04-29T00:00:00"/>
        <d v="2022-02-24T00:00:00"/>
        <d v="2022-07-09T00:00:00"/>
        <d v="2022-04-18T00:00:00"/>
        <d v="2022-04-02T00:00:00"/>
        <d v="2022-08-18T00:00:00"/>
        <d v="2022-06-25T00:00:00"/>
        <d v="2022-06-03T00:00:00"/>
        <d v="2022-01-25T00:00:00"/>
        <d v="2022-01-08T00:00:00"/>
        <d v="2022-08-09T00:00:00"/>
        <d v="2022-08-13T00:00:00"/>
        <d v="2022-06-21T00:00:00"/>
        <d v="2022-08-23T00:00:00"/>
        <d v="2022-08-26T00:00:00"/>
        <d v="2022-01-23T00:00:00"/>
        <d v="2022-01-18T00:00:00"/>
        <d v="2022-04-11T00:00:00"/>
        <d v="2022-07-04T00:00:00"/>
        <d v="2022-05-21T00:00:00"/>
        <d v="2022-03-26T00:00:00"/>
        <d v="2022-01-12T00:00:00"/>
        <d v="2022-08-01T00:00:00"/>
        <d v="2022-01-04T00:00:00"/>
        <d v="2022-04-25T00:00:00"/>
        <d v="2022-08-10T00:00:00"/>
        <d v="2022-01-01T00:00:00"/>
        <d v="2022-03-05T00:00:00"/>
        <d v="2022-05-12T00:00:00"/>
        <d v="2022-07-17T00:00:00"/>
        <d v="2022-03-08T00:00:00"/>
        <d v="2022-08-05T00:00:00"/>
        <d v="2022-01-15T00:00:00"/>
        <d v="2022-08-24T00:00:00"/>
        <d v="2022-01-19T00:00:00"/>
        <d v="2022-08-19T00:00:00"/>
        <d v="2022-03-24T00:00:00"/>
        <d v="2022-07-18T00:00:00"/>
        <d v="2022-01-14T00:00:00"/>
        <d v="2022-02-25T00:00:00"/>
        <d v="2022-05-23T00:00:00"/>
        <d v="2022-03-28T00:00:00"/>
        <d v="2022-04-14T00:00:00"/>
        <d v="2022-05-06T00:00:00"/>
        <d v="2022-01-06T00:00:00"/>
        <d v="2022-01-21T00:00:00"/>
        <d v="2022-03-10T00:00:00"/>
        <d v="2022-08-17T00:00:00"/>
        <d v="2022-04-26T00:00:00"/>
        <d v="2022-04-07T00:00:00"/>
        <d v="2022-02-05T00:00:00"/>
        <d v="2022-07-11T00:00:00"/>
        <d v="2022-02-10T00:00:00"/>
        <d v="2022-03-17T00:00:00"/>
        <d v="2022-06-04T00:00:00"/>
        <d v="2022-03-16T00:00:00"/>
        <d v="2022-02-15T00:00:00"/>
        <d v="2022-08-03T00:00:00"/>
        <d v="2022-05-19T00:00:00"/>
      </sharedItems>
      <fieldGroup par="11" base="0">
        <rangePr groupBy="days" startDate="2022-01-01T00:00:00" endDate="2022-09-01T00:00:00"/>
        <groupItems count="368">
          <s v="&lt;01-01-2022"/>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9-2022"/>
        </groupItems>
      </fieldGroup>
    </cacheField>
    <cacheField name="Product Name" numFmtId="0">
      <sharedItems/>
    </cacheField>
    <cacheField name="Product Type" numFmtId="0">
      <sharedItems/>
    </cacheField>
    <cacheField name="Brand" numFmtId="0">
      <sharedItems/>
    </cacheField>
    <cacheField name="Gender" numFmtId="0">
      <sharedItems/>
    </cacheField>
    <cacheField name="Category" numFmtId="0">
      <sharedItems count="4">
        <s v="Limited Edition"/>
        <s v="Sportswear"/>
        <s v="Casual"/>
        <s v="Streetwear"/>
      </sharedItems>
    </cacheField>
    <cacheField name="Country" numFmtId="0">
      <sharedItems/>
    </cacheField>
    <cacheField name="Quantity" numFmtId="0">
      <sharedItems containsSemiMixedTypes="0" containsString="0" containsNumber="1" containsInteger="1" minValue="1" maxValue="5"/>
    </cacheField>
    <cacheField name="Unit Price ($)" numFmtId="0">
      <sharedItems containsSemiMixedTypes="0" containsString="0" containsNumber="1" minValue="50.1" maxValue="299.73"/>
    </cacheField>
    <cacheField name="Amount ($)" numFmtId="0">
      <sharedItems containsSemiMixedTypes="0" containsString="0" containsNumber="1" minValue="50.1" maxValue="1496.5"/>
    </cacheField>
    <cacheField name="Payment Mode" numFmtId="0">
      <sharedItems/>
    </cacheField>
    <cacheField name="Months" numFmtId="0" databaseField="0">
      <fieldGroup base="0">
        <rangePr groupBy="months" startDate="2022-01-01T00:00:00" endDate="2022-09-01T00:00:00"/>
        <groupItems count="14">
          <s v="&lt;01-01-2022"/>
          <s v="Jan"/>
          <s v="Feb"/>
          <s v="Mar"/>
          <s v="Apr"/>
          <s v="May"/>
          <s v="Jun"/>
          <s v="Jul"/>
          <s v="Aug"/>
          <s v="Sep"/>
          <s v="Oct"/>
          <s v="Nov"/>
          <s v="Dec"/>
          <s v="&gt;01-09-2022"/>
        </groupItems>
      </fieldGroup>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090.506765509257" createdVersion="6" refreshedVersion="6" minRefreshableVersion="3" recordCount="316" xr:uid="{AD593321-941F-4E8D-B624-59A4D92645CA}">
  <cacheSource type="worksheet">
    <worksheetSource name="Table134567"/>
  </cacheSource>
  <cacheFields count="12">
    <cacheField name="Date" numFmtId="14">
      <sharedItems containsSemiMixedTypes="0" containsNonDate="0" containsDate="1" containsString="0" minDate="2022-01-01T00:00:00" maxDate="2022-09-01T00:00:00" count="184">
        <d v="2022-05-27T00:00:00"/>
        <d v="2022-04-28T00:00:00"/>
        <d v="2022-03-13T00:00:00"/>
        <d v="2022-07-24T00:00:00"/>
        <d v="2022-06-11T00:00:00"/>
        <d v="2022-06-28T00:00:00"/>
        <d v="2022-07-12T00:00:00"/>
        <d v="2022-02-13T00:00:00"/>
        <d v="2022-07-10T00:00:00"/>
        <d v="2022-01-22T00:00:00"/>
        <d v="2022-06-18T00:00:00"/>
        <d v="2022-03-18T00:00:00"/>
        <d v="2022-08-21T00:00:00"/>
        <d v="2022-07-07T00:00:00"/>
        <d v="2022-05-11T00:00:00"/>
        <d v="2022-06-17T00:00:00"/>
        <d v="2022-05-24T00:00:00"/>
        <d v="2022-05-28T00:00:00"/>
        <d v="2022-06-29T00:00:00"/>
        <d v="2022-05-25T00:00:00"/>
        <d v="2022-03-09T00:00:00"/>
        <d v="2022-05-22T00:00:00"/>
        <d v="2022-06-02T00:00:00"/>
        <d v="2022-03-06T00:00:00"/>
        <d v="2022-03-21T00:00:00"/>
        <d v="2022-07-16T00:00:00"/>
        <d v="2022-03-19T00:00:00"/>
        <d v="2022-08-04T00:00:00"/>
        <d v="2022-05-03T00:00:00"/>
        <d v="2022-07-01T00:00:00"/>
        <d v="2022-06-16T00:00:00"/>
        <d v="2022-01-10T00:00:00"/>
        <d v="2022-07-08T00:00:00"/>
        <d v="2022-08-20T00:00:00"/>
        <d v="2022-07-14T00:00:00"/>
        <d v="2022-02-11T00:00:00"/>
        <d v="2022-05-26T00:00:00"/>
        <d v="2022-05-05T00:00:00"/>
        <d v="2022-08-31T00:00:00"/>
        <d v="2022-04-21T00:00:00"/>
        <d v="2022-04-15T00:00:00"/>
        <d v="2022-05-07T00:00:00"/>
        <d v="2022-03-14T00:00:00"/>
        <d v="2022-08-30T00:00:00"/>
        <d v="2022-06-06T00:00:00"/>
        <d v="2022-08-29T00:00:00"/>
        <d v="2022-08-02T00:00:00"/>
        <d v="2022-05-31T00:00:00"/>
        <d v="2022-02-01T00:00:00"/>
        <d v="2022-04-09T00:00:00"/>
        <d v="2022-07-23T00:00:00"/>
        <d v="2022-02-07T00:00:00"/>
        <d v="2022-04-27T00:00:00"/>
        <d v="2022-03-07T00:00:00"/>
        <d v="2022-07-03T00:00:00"/>
        <d v="2022-06-05T00:00:00"/>
        <d v="2022-06-26T00:00:00"/>
        <d v="2022-03-04T00:00:00"/>
        <d v="2022-01-29T00:00:00"/>
        <d v="2022-03-02T00:00:00"/>
        <d v="2022-06-01T00:00:00"/>
        <d v="2022-05-15T00:00:00"/>
        <d v="2022-04-04T00:00:00"/>
        <d v="2022-01-24T00:00:00"/>
        <d v="2022-02-14T00:00:00"/>
        <d v="2022-06-15T00:00:00"/>
        <d v="2022-02-19T00:00:00"/>
        <d v="2022-07-06T00:00:00"/>
        <d v="2022-03-25T00:00:00"/>
        <d v="2022-02-03T00:00:00"/>
        <d v="2022-06-30T00:00:00"/>
        <d v="2022-02-12T00:00:00"/>
        <d v="2022-07-15T00:00:00"/>
        <d v="2022-02-06T00:00:00"/>
        <d v="2022-01-20T00:00:00"/>
        <d v="2022-04-03T00:00:00"/>
        <d v="2022-07-02T00:00:00"/>
        <d v="2022-03-12T00:00:00"/>
        <d v="2022-01-16T00:00:00"/>
        <d v="2022-03-01T00:00:00"/>
        <d v="2022-02-27T00:00:00"/>
        <d v="2022-02-08T00:00:00"/>
        <d v="2022-06-24T00:00:00"/>
        <d v="2022-07-25T00:00:00"/>
        <d v="2022-05-29T00:00:00"/>
        <d v="2022-03-23T00:00:00"/>
        <d v="2022-02-18T00:00:00"/>
        <d v="2022-02-28T00:00:00"/>
        <d v="2022-07-13T00:00:00"/>
        <d v="2022-02-09T00:00:00"/>
        <d v="2022-08-16T00:00:00"/>
        <d v="2022-06-13T00:00:00"/>
        <d v="2022-03-03T00:00:00"/>
        <d v="2022-01-03T00:00:00"/>
        <d v="2022-07-26T00:00:00"/>
        <d v="2022-04-06T00:00:00"/>
        <d v="2022-08-11T00:00:00"/>
        <d v="2022-06-23T00:00:00"/>
        <d v="2022-04-08T00:00:00"/>
        <d v="2022-01-31T00:00:00"/>
        <d v="2022-04-16T00:00:00"/>
        <d v="2022-03-30T00:00:00"/>
        <d v="2022-03-15T00:00:00"/>
        <d v="2022-02-04T00:00:00"/>
        <d v="2022-08-06T00:00:00"/>
        <d v="2022-04-05T00:00:00"/>
        <d v="2022-03-11T00:00:00"/>
        <d v="2022-01-09T00:00:00"/>
        <d v="2022-05-02T00:00:00"/>
        <d v="2022-01-27T00:00:00"/>
        <d v="2022-07-27T00:00:00"/>
        <d v="2022-06-10T00:00:00"/>
        <d v="2022-05-04T00:00:00"/>
        <d v="2022-01-17T00:00:00"/>
        <d v="2022-06-07T00:00:00"/>
        <d v="2022-05-08T00:00:00"/>
        <d v="2022-06-12T00:00:00"/>
        <d v="2022-04-13T00:00:00"/>
        <d v="2022-05-13T00:00:00"/>
        <d v="2022-02-17T00:00:00"/>
        <d v="2022-07-31T00:00:00"/>
        <d v="2022-08-25T00:00:00"/>
        <d v="2022-07-21T00:00:00"/>
        <d v="2022-04-10T00:00:00"/>
        <d v="2022-02-26T00:00:00"/>
        <d v="2022-04-29T00:00:00"/>
        <d v="2022-02-24T00:00:00"/>
        <d v="2022-07-09T00:00:00"/>
        <d v="2022-04-18T00:00:00"/>
        <d v="2022-04-02T00:00:00"/>
        <d v="2022-08-18T00:00:00"/>
        <d v="2022-06-25T00:00:00"/>
        <d v="2022-06-03T00:00:00"/>
        <d v="2022-01-25T00:00:00"/>
        <d v="2022-01-08T00:00:00"/>
        <d v="2022-08-09T00:00:00"/>
        <d v="2022-08-13T00:00:00"/>
        <d v="2022-06-21T00:00:00"/>
        <d v="2022-08-23T00:00:00"/>
        <d v="2022-08-26T00:00:00"/>
        <d v="2022-01-23T00:00:00"/>
        <d v="2022-01-18T00:00:00"/>
        <d v="2022-04-11T00:00:00"/>
        <d v="2022-07-04T00:00:00"/>
        <d v="2022-05-21T00:00:00"/>
        <d v="2022-03-26T00:00:00"/>
        <d v="2022-01-12T00:00:00"/>
        <d v="2022-08-01T00:00:00"/>
        <d v="2022-01-04T00:00:00"/>
        <d v="2022-04-25T00:00:00"/>
        <d v="2022-08-10T00:00:00"/>
        <d v="2022-01-01T00:00:00"/>
        <d v="2022-03-05T00:00:00"/>
        <d v="2022-05-12T00:00:00"/>
        <d v="2022-07-17T00:00:00"/>
        <d v="2022-03-08T00:00:00"/>
        <d v="2022-08-05T00:00:00"/>
        <d v="2022-01-15T00:00:00"/>
        <d v="2022-08-24T00:00:00"/>
        <d v="2022-01-19T00:00:00"/>
        <d v="2022-08-19T00:00:00"/>
        <d v="2022-03-24T00:00:00"/>
        <d v="2022-07-18T00:00:00"/>
        <d v="2022-01-14T00:00:00"/>
        <d v="2022-02-25T00:00:00"/>
        <d v="2022-05-23T00:00:00"/>
        <d v="2022-03-28T00:00:00"/>
        <d v="2022-04-14T00:00:00"/>
        <d v="2022-05-06T00:00:00"/>
        <d v="2022-01-06T00:00:00"/>
        <d v="2022-01-21T00:00:00"/>
        <d v="2022-03-10T00:00:00"/>
        <d v="2022-08-17T00:00:00"/>
        <d v="2022-04-26T00:00:00"/>
        <d v="2022-04-07T00:00:00"/>
        <d v="2022-02-05T00:00:00"/>
        <d v="2022-07-11T00:00:00"/>
        <d v="2022-02-10T00:00:00"/>
        <d v="2022-03-17T00:00:00"/>
        <d v="2022-06-04T00:00:00"/>
        <d v="2022-03-16T00:00:00"/>
        <d v="2022-02-15T00:00:00"/>
        <d v="2022-08-03T00:00:00"/>
        <d v="2022-05-19T00:00:00"/>
      </sharedItems>
      <fieldGroup par="11" base="0">
        <rangePr groupBy="days" startDate="2022-01-01T00:00:00" endDate="2022-09-01T00:00:00"/>
        <groupItems count="368">
          <s v="&lt;01-01-2022"/>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9-2022"/>
        </groupItems>
      </fieldGroup>
    </cacheField>
    <cacheField name="Product Name" numFmtId="0">
      <sharedItems count="10">
        <s v="Fear of God Essentials Tee"/>
        <s v="Yeezy Boost 350"/>
        <s v="Off-White Hoodie"/>
        <s v="New Era Cap"/>
        <s v="Adidas Ultraboost"/>
        <s v="Nike Tech Fleece"/>
        <s v="Jordan 1 High"/>
        <s v="Supreme Hoodie"/>
        <s v="Nike Dunk Low"/>
        <s v="Puma Joggers"/>
      </sharedItems>
    </cacheField>
    <cacheField name="Product Type" numFmtId="0">
      <sharedItems count="5">
        <s v="T-shirt"/>
        <s v="Sneakers"/>
        <s v="Hoodie"/>
        <s v="Cap"/>
        <s v="Joggers"/>
      </sharedItems>
    </cacheField>
    <cacheField name="Brand" numFmtId="0">
      <sharedItems count="7">
        <s v="Essentials"/>
        <s v="Adidas"/>
        <s v="Off-White"/>
        <s v="New Era"/>
        <s v="Nike"/>
        <s v="Supreme"/>
        <s v="Puma"/>
      </sharedItems>
    </cacheField>
    <cacheField name="Gender" numFmtId="0">
      <sharedItems count="3">
        <s v="Unisex"/>
        <s v="Women"/>
        <s v="Men"/>
      </sharedItems>
    </cacheField>
    <cacheField name="Category" numFmtId="0">
      <sharedItems count="4">
        <s v="Limited Edition"/>
        <s v="Sportswear"/>
        <s v="Casual"/>
        <s v="Streetwear"/>
      </sharedItems>
    </cacheField>
    <cacheField name="Country" numFmtId="0">
      <sharedItems count="7">
        <s v="Japan"/>
        <s v="Australia"/>
        <s v="UK"/>
        <s v="India"/>
        <s v="Germany"/>
        <s v="Canada"/>
        <s v="USA"/>
      </sharedItems>
    </cacheField>
    <cacheField name="Quantity" numFmtId="0">
      <sharedItems containsSemiMixedTypes="0" containsString="0" containsNumber="1" containsInteger="1" minValue="1" maxValue="5"/>
    </cacheField>
    <cacheField name="Unit Price ($)" numFmtId="0">
      <sharedItems containsSemiMixedTypes="0" containsString="0" containsNumber="1" minValue="50.1" maxValue="299.73"/>
    </cacheField>
    <cacheField name="Amount ($)" numFmtId="0">
      <sharedItems containsSemiMixedTypes="0" containsString="0" containsNumber="1" minValue="50.1" maxValue="1496.5"/>
    </cacheField>
    <cacheField name="Payment Mode" numFmtId="0">
      <sharedItems count="4">
        <s v="Card"/>
        <s v="UPI"/>
        <s v="Cash on Delivery"/>
        <s v="Wallet"/>
      </sharedItems>
    </cacheField>
    <cacheField name="Months" numFmtId="0" databaseField="0">
      <fieldGroup base="0">
        <rangePr groupBy="months" startDate="2022-01-01T00:00:00" endDate="2022-09-01T00:00:00"/>
        <groupItems count="14">
          <s v="&lt;01-01-2022"/>
          <s v="Jan"/>
          <s v="Feb"/>
          <s v="Mar"/>
          <s v="Apr"/>
          <s v="May"/>
          <s v="Jun"/>
          <s v="Jul"/>
          <s v="Aug"/>
          <s v="Sep"/>
          <s v="Oct"/>
          <s v="Nov"/>
          <s v="Dec"/>
          <s v="&gt;01-09-2022"/>
        </groupItems>
      </fieldGroup>
    </cacheField>
  </cacheFields>
  <extLst>
    <ext xmlns:x14="http://schemas.microsoft.com/office/spreadsheetml/2009/9/main" uri="{725AE2AE-9491-48be-B2B4-4EB974FC3084}">
      <x14:pivotCacheDefinition pivotCacheId="1982486323"/>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090.541734953702" createdVersion="6" refreshedVersion="6" minRefreshableVersion="3" recordCount="316" xr:uid="{15F7D44C-75FD-4BD4-9252-69708F3EE46B}">
  <cacheSource type="worksheet">
    <worksheetSource name="Table13"/>
  </cacheSource>
  <cacheFields count="11">
    <cacheField name="Date" numFmtId="14">
      <sharedItems containsSemiMixedTypes="0" containsNonDate="0" containsDate="1" containsString="0" minDate="2022-01-01T00:00:00" maxDate="2022-09-01T00:00:00"/>
    </cacheField>
    <cacheField name="Product Name" numFmtId="0">
      <sharedItems/>
    </cacheField>
    <cacheField name="Product Type" numFmtId="0">
      <sharedItems/>
    </cacheField>
    <cacheField name="Brand" numFmtId="0">
      <sharedItems count="7">
        <s v="Essentials"/>
        <s v="Adidas"/>
        <s v="Off-White"/>
        <s v="New Era"/>
        <s v="Nike"/>
        <s v="Supreme"/>
        <s v="Puma"/>
      </sharedItems>
    </cacheField>
    <cacheField name="Gender" numFmtId="0">
      <sharedItems/>
    </cacheField>
    <cacheField name="Category" numFmtId="0">
      <sharedItems/>
    </cacheField>
    <cacheField name="Country" numFmtId="0">
      <sharedItems/>
    </cacheField>
    <cacheField name="Quantity" numFmtId="0">
      <sharedItems containsSemiMixedTypes="0" containsString="0" containsNumber="1" containsInteger="1" minValue="1" maxValue="5"/>
    </cacheField>
    <cacheField name="Unit Price ($)" numFmtId="164">
      <sharedItems containsSemiMixedTypes="0" containsString="0" containsNumber="1" minValue="50.1" maxValue="299.73"/>
    </cacheField>
    <cacheField name="Amount ($)" numFmtId="165">
      <sharedItems containsSemiMixedTypes="0" containsString="0" containsNumber="1" minValue="50.1" maxValue="1496.5" count="316">
        <n v="709.1"/>
        <n v="70.69"/>
        <n v="89.14"/>
        <n v="540.28"/>
        <n v="446"/>
        <n v="954.08"/>
        <n v="602.75"/>
        <n v="850.64"/>
        <n v="1281.0999999999999"/>
        <n v="497.6"/>
        <n v="160.66"/>
        <n v="293.25"/>
        <n v="917.75"/>
        <n v="421.54"/>
        <n v="875.28"/>
        <n v="668.7"/>
        <n v="208.47"/>
        <n v="180.42"/>
        <n v="382.08"/>
        <n v="448.53"/>
        <n v="409.08"/>
        <n v="811.9"/>
        <n v="519.32000000000005"/>
        <n v="180.39"/>
        <n v="241.05"/>
        <n v="444.16"/>
        <n v="287.44"/>
        <n v="689.5"/>
        <n v="644.04"/>
        <n v="539.76"/>
        <n v="96.97"/>
        <n v="1082.2"/>
        <n v="783.93"/>
        <n v="225.6"/>
        <n v="718.65"/>
        <n v="189.24"/>
        <n v="228.88"/>
        <n v="170.86"/>
        <n v="317.37"/>
        <n v="564.75"/>
        <n v="279"/>
        <n v="50.1"/>
        <n v="56.49"/>
        <n v="503.25"/>
        <n v="320.88"/>
        <n v="969.76"/>
        <n v="419.62"/>
        <n v="1047.8399999999999"/>
        <n v="728.13"/>
        <n v="1496.5"/>
        <n v="651.4"/>
        <n v="1078.1500000000001"/>
        <n v="54.99"/>
        <n v="742.8"/>
        <n v="307.5"/>
        <n v="1177.5"/>
        <n v="719.28"/>
        <n v="855.28"/>
        <n v="67.2"/>
        <n v="828.2"/>
        <n v="773.76"/>
        <n v="122.32"/>
        <n v="203.63"/>
        <n v="834.45"/>
        <n v="389.34"/>
        <n v="997.1"/>
        <n v="491.15"/>
        <n v="114.47"/>
        <n v="1123.55"/>
        <n v="312.12"/>
        <n v="701.3"/>
        <n v="1076.9000000000001"/>
        <n v="510.2"/>
        <n v="546.6"/>
        <n v="986.64"/>
        <n v="1313.4"/>
        <n v="304.17"/>
        <n v="59.05"/>
        <n v="101.32"/>
        <n v="915.52"/>
        <n v="1034.4000000000001"/>
        <n v="519.79999999999995"/>
        <n v="950.15"/>
        <n v="239.21"/>
        <n v="271.18"/>
        <n v="703.25"/>
        <n v="291.63"/>
        <n v="550.25"/>
        <n v="209.13"/>
        <n v="256.81"/>
        <n v="106.1"/>
        <n v="508.44"/>
        <n v="518.91999999999996"/>
        <n v="366.58"/>
        <n v="260.8"/>
        <n v="560.20000000000005"/>
        <n v="425.5"/>
        <n v="180.65"/>
        <n v="735.65"/>
        <n v="332.34"/>
        <n v="291.85000000000002"/>
        <n v="1208.3499999999999"/>
        <n v="179.34"/>
        <n v="132.09"/>
        <n v="404.36"/>
        <n v="270.57"/>
        <n v="358.56"/>
        <n v="943.05"/>
        <n v="222.72"/>
        <n v="161.94"/>
        <n v="962.56"/>
        <n v="977.85"/>
        <n v="673.98"/>
        <n v="195.6"/>
        <n v="471.12"/>
        <n v="859.72"/>
        <n v="498.98"/>
        <n v="565.4"/>
        <n v="792.42"/>
        <n v="367.9"/>
        <n v="106.59"/>
        <n v="179.94"/>
        <n v="263.43"/>
        <n v="567.20000000000005"/>
        <n v="388.62"/>
        <n v="798.72"/>
        <n v="727.35"/>
        <n v="141.11000000000001"/>
        <n v="376.8"/>
        <n v="581.12"/>
        <n v="554.96"/>
        <n v="614.24"/>
        <n v="149.66"/>
        <n v="136.80000000000001"/>
        <n v="629.07000000000005"/>
        <n v="602.61"/>
        <n v="221.26"/>
        <n v="884.9"/>
        <n v="385.4"/>
        <n v="958.16"/>
        <n v="897.7"/>
        <n v="822.69"/>
        <n v="499.45"/>
        <n v="592.44000000000005"/>
        <n v="409.85"/>
        <n v="873.87"/>
        <n v="694.75"/>
        <n v="832.76"/>
        <n v="1458.5"/>
        <n v="629.66999999999996"/>
        <n v="685.96"/>
        <n v="468.66"/>
        <n v="635.28"/>
        <n v="656.73"/>
        <n v="274.39999999999998"/>
        <n v="75.27"/>
        <n v="144.04"/>
        <n v="785.8"/>
        <n v="640.98"/>
        <n v="164.57"/>
        <n v="813"/>
        <n v="455.55"/>
        <n v="173.76"/>
        <n v="627.9"/>
        <n v="112.26"/>
        <n v="433.66"/>
        <n v="342.6"/>
        <n v="98.04"/>
        <n v="1021.75"/>
        <n v="1134.8"/>
        <n v="690.08"/>
        <n v="155.43"/>
        <n v="356.4"/>
        <n v="496.88"/>
        <n v="214.08"/>
        <n v="132.07"/>
        <n v="355.11"/>
        <n v="1218.7"/>
        <n v="750.1"/>
        <n v="219.93"/>
        <n v="352.48"/>
        <n v="677.5"/>
        <n v="1000.48"/>
        <n v="583.55999999999995"/>
        <n v="1126.1600000000001"/>
        <n v="485.68"/>
        <n v="1063.6400000000001"/>
        <n v="240.42"/>
        <n v="1376.35"/>
        <n v="464.37"/>
        <n v="695"/>
        <n v="237.81"/>
        <n v="474.2"/>
        <n v="913.84"/>
        <n v="209.68"/>
        <n v="811.56"/>
        <n v="477.44"/>
        <n v="375.78"/>
        <n v="889.65"/>
        <n v="56.73"/>
        <n v="91.56"/>
        <n v="305.08"/>
        <n v="245.48"/>
        <n v="487.08"/>
        <n v="515"/>
        <n v="809.12"/>
        <n v="224.83"/>
        <n v="768.81"/>
        <n v="554.52"/>
        <n v="813.57"/>
        <n v="616.86"/>
        <n v="523.88"/>
        <n v="1338.55"/>
        <n v="605.48"/>
        <n v="449.2"/>
        <n v="276.64"/>
        <n v="610.23"/>
        <n v="391.7"/>
        <n v="577.74"/>
        <n v="65.45"/>
        <n v="202.42"/>
        <n v="102.22"/>
        <n v="292.68"/>
        <n v="351.02"/>
        <n v="845.48"/>
        <n v="209.78"/>
        <n v="59.85"/>
        <n v="468.81"/>
        <n v="350"/>
        <n v="176"/>
        <n v="1173.32"/>
        <n v="1426.85"/>
        <n v="1102.95"/>
        <n v="1070"/>
        <n v="1041.2"/>
        <n v="534.79999999999995"/>
        <n v="317.39999999999998"/>
        <n v="488.26"/>
        <n v="739.95"/>
        <n v="157.81"/>
        <n v="425.52"/>
        <n v="677.7"/>
        <n v="338.94"/>
        <n v="201.68"/>
        <n v="1171"/>
        <n v="247.86"/>
        <n v="738.39"/>
        <n v="672.04"/>
        <n v="93.08"/>
        <n v="484.65"/>
        <n v="686.52"/>
        <n v="885.24"/>
        <n v="575.36"/>
        <n v="843.5"/>
        <n v="461.46"/>
        <n v="1124"/>
        <n v="562"/>
        <n v="233.16"/>
        <n v="1243.55"/>
        <n v="786"/>
        <n v="455"/>
        <n v="109.66"/>
        <n v="81.569999999999993"/>
        <n v="494.4"/>
        <n v="1001.04"/>
        <n v="137.19999999999999"/>
        <n v="492.18"/>
        <n v="793.8"/>
        <n v="324.95999999999998"/>
        <n v="973.92"/>
        <n v="733.6"/>
        <n v="271.44"/>
        <n v="270.95999999999998"/>
        <n v="742.3"/>
        <n v="1255.3"/>
        <n v="390.82"/>
        <n v="825.16"/>
        <n v="584.36"/>
        <n v="284.3"/>
        <n v="1447.35"/>
        <n v="436.5"/>
        <n v="818.48"/>
        <n v="534.84"/>
        <n v="144.59"/>
        <n v="160.94"/>
        <n v="196.34"/>
        <n v="127.52"/>
        <n v="314.24"/>
        <n v="1466.05"/>
        <n v="284.5"/>
        <n v="86.17"/>
        <n v="517.11"/>
        <n v="708.15"/>
        <n v="770.16"/>
        <n v="822.56"/>
        <n v="272.72000000000003"/>
        <n v="275.88"/>
        <n v="616.15"/>
        <n v="1365"/>
        <n v="677.52"/>
        <n v="706.08"/>
        <n v="949.7"/>
        <n v="330.6"/>
        <n v="109.52"/>
        <n v="296.56"/>
        <n v="296.51"/>
        <n v="89.5"/>
        <n v="841.92"/>
        <n v="1171.4000000000001"/>
        <n v="589.78"/>
        <n v="208.24"/>
        <n v="471.25"/>
        <n v="1295"/>
        <n v="1198.92"/>
        <n v="356.3"/>
        <n v="1350.7"/>
      </sharedItems>
    </cacheField>
    <cacheField name="Payment Mod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3">
  <r>
    <x v="0"/>
    <s v="Fear of God Essentials Tee"/>
    <s v="T-shirt"/>
    <s v="Essentials"/>
    <x v="0"/>
    <s v="Limited Edition"/>
    <x v="0"/>
    <x v="0"/>
    <n v="141.82"/>
    <x v="0"/>
    <s v="Card"/>
  </r>
  <r>
    <x v="1"/>
    <s v="Yeezy Boost 350"/>
    <s v="Sneakers"/>
    <s v="Adidas"/>
    <x v="0"/>
    <s v="Streetwear"/>
    <x v="1"/>
    <x v="1"/>
    <n v="267.33999999999997"/>
    <x v="1"/>
    <s v="Cash on Delivery"/>
  </r>
  <r>
    <x v="2"/>
    <s v="Nike Dunk Low"/>
    <s v="Sneakers"/>
    <s v="Nike"/>
    <x v="1"/>
    <s v="Limited Edition"/>
    <x v="2"/>
    <x v="2"/>
    <n v="292"/>
    <x v="2"/>
    <s v="Cash on Delivery"/>
  </r>
  <r>
    <x v="3"/>
    <s v="Nike Tech Fleece"/>
    <s v="Hoodie"/>
    <s v="Nike"/>
    <x v="2"/>
    <s v="Limited Edition"/>
    <x v="1"/>
    <x v="3"/>
    <n v="245.44"/>
    <x v="3"/>
    <s v="Cash on Delivery"/>
  </r>
  <r>
    <x v="4"/>
    <s v="Jordan 1 High"/>
    <s v="Sneakers"/>
    <s v="Nike"/>
    <x v="1"/>
    <s v="Casual"/>
    <x v="3"/>
    <x v="1"/>
    <n v="184.51"/>
    <x v="4"/>
    <s v="Cash on Delivery"/>
  </r>
  <r>
    <x v="5"/>
    <s v="Yeezy Boost 350"/>
    <s v="Sneakers"/>
    <s v="Adidas"/>
    <x v="1"/>
    <s v="Casual"/>
    <x v="4"/>
    <x v="1"/>
    <n v="128.86000000000001"/>
    <x v="5"/>
    <s v="UPI"/>
  </r>
  <r>
    <x v="6"/>
    <s v="Fear of God Essentials Tee"/>
    <s v="T-shirt"/>
    <s v="Essentials"/>
    <x v="1"/>
    <s v="Limited Edition"/>
    <x v="2"/>
    <x v="2"/>
    <n v="207.85"/>
    <x v="6"/>
    <s v="Wallet"/>
  </r>
  <r>
    <x v="7"/>
    <s v="Off-White Hoodie"/>
    <s v="Hoodie"/>
    <s v="Off-White"/>
    <x v="2"/>
    <s v="Streetwear"/>
    <x v="5"/>
    <x v="1"/>
    <n v="163.32"/>
    <x v="7"/>
    <s v="UPI"/>
  </r>
  <r>
    <x v="8"/>
    <s v="Jordan 1 High"/>
    <s v="Sneakers"/>
    <s v="Nike"/>
    <x v="1"/>
    <s v="Streetwear"/>
    <x v="1"/>
    <x v="4"/>
    <n v="199.47"/>
    <x v="8"/>
    <s v="Wallet"/>
  </r>
  <r>
    <x v="9"/>
    <s v="Jordan 1 High"/>
    <s v="Sneakers"/>
    <s v="Nike"/>
    <x v="0"/>
    <s v="Sportswear"/>
    <x v="0"/>
    <x v="3"/>
    <n v="298.22000000000003"/>
    <x v="9"/>
    <s v="Wallet"/>
  </r>
  <r>
    <x v="10"/>
    <s v="Yeezy Boost 350"/>
    <s v="Sneakers"/>
    <s v="Adidas"/>
    <x v="2"/>
    <s v="Limited Edition"/>
    <x v="1"/>
    <x v="2"/>
    <n v="117.18"/>
    <x v="10"/>
    <s v="Cash on Delivery"/>
  </r>
  <r>
    <x v="11"/>
    <s v="Supreme Hoodie"/>
    <s v="Hoodie"/>
    <s v="Supreme"/>
    <x v="1"/>
    <s v="Casual"/>
    <x v="2"/>
    <x v="1"/>
    <n v="240.23"/>
    <x v="11"/>
    <s v="Cash on Delivery"/>
  </r>
  <r>
    <x v="12"/>
    <s v="Nike Dunk Low"/>
    <s v="Sneakers"/>
    <s v="Nike"/>
    <x v="1"/>
    <s v="Casual"/>
    <x v="2"/>
    <x v="4"/>
    <n v="295.75"/>
    <x v="12"/>
    <s v="Card"/>
  </r>
  <r>
    <x v="13"/>
    <s v="Supreme Hoodie"/>
    <s v="Hoodie"/>
    <s v="Supreme"/>
    <x v="0"/>
    <s v="Casual"/>
    <x v="6"/>
    <x v="2"/>
    <n v="54.44"/>
    <x v="13"/>
    <s v="Cash on Delivery"/>
  </r>
  <r>
    <x v="4"/>
    <s v="Adidas Ultraboost"/>
    <s v="Sneakers"/>
    <s v="Adidas"/>
    <x v="0"/>
    <s v="Casual"/>
    <x v="1"/>
    <x v="2"/>
    <n v="104.16"/>
    <x v="14"/>
    <s v="Wallet"/>
  </r>
  <r>
    <x v="14"/>
    <s v="Nike Dunk Low"/>
    <s v="Sneakers"/>
    <s v="Nike"/>
    <x v="1"/>
    <s v="Casual"/>
    <x v="4"/>
    <x v="0"/>
    <n v="64.66"/>
    <x v="15"/>
    <s v="Card"/>
  </r>
  <r>
    <x v="15"/>
    <s v="Supreme Hoodie"/>
    <s v="Hoodie"/>
    <s v="Supreme"/>
    <x v="2"/>
    <s v="Streetwear"/>
    <x v="2"/>
    <x v="4"/>
    <n v="114.29"/>
    <x v="16"/>
    <s v="UPI"/>
  </r>
  <r>
    <x v="16"/>
    <s v="New Era Cap"/>
    <s v="Cap"/>
    <s v="New Era"/>
    <x v="1"/>
    <s v="Sportswear"/>
    <x v="2"/>
    <x v="2"/>
    <n v="167.77"/>
    <x v="17"/>
    <s v="Cash on Delivery"/>
  </r>
  <r>
    <x v="17"/>
    <s v="Fear of God Essentials Tee"/>
    <s v="T-shirt"/>
    <s v="Essentials"/>
    <x v="1"/>
    <s v="Sportswear"/>
    <x v="6"/>
    <x v="4"/>
    <n v="167.36"/>
    <x v="18"/>
    <s v="UPI"/>
  </r>
  <r>
    <x v="18"/>
    <s v="Nike Dunk Low"/>
    <s v="Sneakers"/>
    <s v="Nike"/>
    <x v="0"/>
    <s v="Streetwear"/>
    <x v="6"/>
    <x v="3"/>
    <n v="295.52999999999997"/>
    <x v="19"/>
    <s v="Wallet"/>
  </r>
  <r>
    <x v="19"/>
    <s v="New Era Cap"/>
    <s v="Cap"/>
    <s v="New Era"/>
    <x v="2"/>
    <s v="Limited Edition"/>
    <x v="4"/>
    <x v="3"/>
    <n v="107.31"/>
    <x v="20"/>
    <s v="UPI"/>
  </r>
  <r>
    <x v="20"/>
    <s v="Nike Tech Fleece"/>
    <s v="Hoodie"/>
    <s v="Nike"/>
    <x v="0"/>
    <s v="Sportswear"/>
    <x v="2"/>
    <x v="0"/>
    <n v="119.54"/>
    <x v="21"/>
    <s v="Card"/>
  </r>
  <r>
    <x v="21"/>
    <s v="New Era Cap"/>
    <s v="Cap"/>
    <s v="New Era"/>
    <x v="2"/>
    <s v="Sportswear"/>
    <x v="1"/>
    <x v="4"/>
    <n v="295.25"/>
    <x v="22"/>
    <s v="Wallet"/>
  </r>
  <r>
    <x v="22"/>
    <s v="Adidas Ultraboost"/>
    <s v="Sneakers"/>
    <s v="Adidas"/>
    <x v="0"/>
    <s v="Sportswear"/>
    <x v="4"/>
    <x v="3"/>
    <n v="63.73"/>
    <x v="23"/>
    <s v="Card"/>
  </r>
  <r>
    <x v="10"/>
    <s v="Nike Tech Fleece"/>
    <s v="Hoodie"/>
    <s v="Nike"/>
    <x v="2"/>
    <s v="Streetwear"/>
    <x v="4"/>
    <x v="3"/>
    <n v="86.13"/>
    <x v="24"/>
    <s v="UPI"/>
  </r>
  <r>
    <x v="23"/>
    <s v="Jordan 1 High"/>
    <s v="Sneakers"/>
    <s v="Nike"/>
    <x v="2"/>
    <s v="Limited Edition"/>
    <x v="0"/>
    <x v="3"/>
    <n v="172.68"/>
    <x v="25"/>
    <s v="UPI"/>
  </r>
  <r>
    <x v="24"/>
    <s v="Puma Joggers"/>
    <s v="Joggers"/>
    <s v="Puma"/>
    <x v="1"/>
    <s v="Streetwear"/>
    <x v="4"/>
    <x v="0"/>
    <n v="203.5"/>
    <x v="26"/>
    <s v="Card"/>
  </r>
  <r>
    <x v="14"/>
    <s v="Nike Tech Fleece"/>
    <s v="Hoodie"/>
    <s v="Nike"/>
    <x v="0"/>
    <s v="Limited Edition"/>
    <x v="2"/>
    <x v="4"/>
    <n v="200.92"/>
    <x v="27"/>
    <s v="Cash on Delivery"/>
  </r>
  <r>
    <x v="25"/>
    <s v="Supreme Hoodie"/>
    <s v="Hoodie"/>
    <s v="Supreme"/>
    <x v="1"/>
    <s v="Sportswear"/>
    <x v="2"/>
    <x v="2"/>
    <n v="251.98"/>
    <x v="28"/>
    <s v="Card"/>
  </r>
  <r>
    <x v="26"/>
    <s v="Puma Joggers"/>
    <s v="Joggers"/>
    <s v="Puma"/>
    <x v="2"/>
    <s v="Streetwear"/>
    <x v="0"/>
    <x v="3"/>
    <n v="121.9"/>
    <x v="29"/>
    <s v="Card"/>
  </r>
  <r>
    <x v="27"/>
    <s v="Off-White Hoodie"/>
    <s v="Hoodie"/>
    <s v="Off-White"/>
    <x v="0"/>
    <s v="Streetwear"/>
    <x v="1"/>
    <x v="3"/>
    <n v="258.82"/>
    <x v="30"/>
    <s v="Cash on Delivery"/>
  </r>
  <r>
    <x v="28"/>
    <s v="Nike Dunk Low"/>
    <s v="Sneakers"/>
    <s v="Nike"/>
    <x v="1"/>
    <s v="Sportswear"/>
    <x v="1"/>
    <x v="1"/>
    <n v="203.05"/>
    <x v="31"/>
    <s v="Cash on Delivery"/>
  </r>
  <r>
    <x v="29"/>
    <s v="Puma Joggers"/>
    <s v="Joggers"/>
    <s v="Puma"/>
    <x v="1"/>
    <s v="Limited Edition"/>
    <x v="4"/>
    <x v="1"/>
    <n v="130.05000000000001"/>
    <x v="32"/>
    <s v="Wallet"/>
  </r>
  <r>
    <x v="30"/>
    <s v="New Era Cap"/>
    <s v="Cap"/>
    <s v="New Era"/>
    <x v="1"/>
    <s v="Casual"/>
    <x v="5"/>
    <x v="3"/>
    <n v="185.54"/>
    <x v="33"/>
    <s v="UPI"/>
  </r>
  <r>
    <x v="31"/>
    <s v="Off-White Hoodie"/>
    <s v="Hoodie"/>
    <s v="Off-White"/>
    <x v="1"/>
    <s v="Casual"/>
    <x v="4"/>
    <x v="0"/>
    <n v="234.84"/>
    <x v="34"/>
    <s v="Card"/>
  </r>
  <r>
    <x v="32"/>
    <s v="Yeezy Boost 350"/>
    <s v="Sneakers"/>
    <s v="Adidas"/>
    <x v="1"/>
    <s v="Limited Edition"/>
    <x v="5"/>
    <x v="1"/>
    <n v="134.38999999999999"/>
    <x v="35"/>
    <s v="Cash on Delivery"/>
  </r>
  <r>
    <x v="33"/>
    <s v="Off-White Hoodie"/>
    <s v="Hoodie"/>
    <s v="Off-White"/>
    <x v="2"/>
    <s v="Limited Edition"/>
    <x v="6"/>
    <x v="4"/>
    <n v="82.56"/>
    <x v="36"/>
    <s v="UPI"/>
  </r>
  <r>
    <x v="34"/>
    <s v="Off-White Hoodie"/>
    <s v="Hoodie"/>
    <s v="Off-White"/>
    <x v="2"/>
    <s v="Limited Edition"/>
    <x v="2"/>
    <x v="3"/>
    <n v="191.11"/>
    <x v="37"/>
    <s v="Wallet"/>
  </r>
  <r>
    <x v="35"/>
    <s v="Yeezy Boost 350"/>
    <s v="Sneakers"/>
    <s v="Adidas"/>
    <x v="0"/>
    <s v="Sportswear"/>
    <x v="3"/>
    <x v="2"/>
    <n v="70.69"/>
    <x v="38"/>
    <s v="UPI"/>
  </r>
  <r>
    <x v="36"/>
    <s v="Off-White Hoodie"/>
    <s v="Hoodie"/>
    <s v="Off-White"/>
    <x v="1"/>
    <s v="Casual"/>
    <x v="4"/>
    <x v="2"/>
    <n v="89.14"/>
    <x v="39"/>
    <s v="Cash on Delivery"/>
  </r>
  <r>
    <x v="37"/>
    <s v="New Era Cap"/>
    <s v="Cap"/>
    <s v="New Era"/>
    <x v="0"/>
    <s v="Limited Edition"/>
    <x v="6"/>
    <x v="3"/>
    <n v="135.07"/>
    <x v="40"/>
    <s v="Cash on Delivery"/>
  </r>
  <r>
    <x v="38"/>
    <s v="Adidas Ultraboost"/>
    <s v="Sneakers"/>
    <s v="Adidas"/>
    <x v="2"/>
    <s v="Streetwear"/>
    <x v="2"/>
    <x v="1"/>
    <n v="223"/>
    <x v="41"/>
    <s v="Cash on Delivery"/>
  </r>
  <r>
    <x v="30"/>
    <s v="Fear of God Essentials Tee"/>
    <s v="T-shirt"/>
    <s v="Essentials"/>
    <x v="0"/>
    <s v="Limited Edition"/>
    <x v="4"/>
    <x v="3"/>
    <n v="238.52"/>
    <x v="42"/>
    <s v="Cash on Delivery"/>
  </r>
  <r>
    <x v="6"/>
    <s v="Nike Tech Fleece"/>
    <s v="Hoodie"/>
    <s v="Nike"/>
    <x v="1"/>
    <s v="Casual"/>
    <x v="3"/>
    <x v="0"/>
    <n v="120.55"/>
    <x v="43"/>
    <s v="UPI"/>
  </r>
  <r>
    <x v="39"/>
    <s v="New Era Cap"/>
    <s v="Cap"/>
    <s v="New Era"/>
    <x v="1"/>
    <s v="Streetwear"/>
    <x v="2"/>
    <x v="3"/>
    <n v="212.66"/>
    <x v="44"/>
    <s v="Wallet"/>
  </r>
  <r>
    <x v="40"/>
    <s v="Off-White Hoodie"/>
    <s v="Hoodie"/>
    <s v="Off-White"/>
    <x v="1"/>
    <s v="Streetwear"/>
    <x v="5"/>
    <x v="0"/>
    <n v="256.22000000000003"/>
    <x v="45"/>
    <s v="Wallet"/>
  </r>
  <r>
    <x v="41"/>
    <s v="Jordan 1 High"/>
    <s v="Sneakers"/>
    <s v="Nike"/>
    <x v="0"/>
    <s v="Casual"/>
    <x v="5"/>
    <x v="3"/>
    <n v="124.4"/>
    <x v="46"/>
    <s v="Wallet"/>
  </r>
  <r>
    <x v="42"/>
    <s v="Jordan 1 High"/>
    <s v="Sneakers"/>
    <s v="Nike"/>
    <x v="1"/>
    <s v="Casual"/>
    <x v="2"/>
    <x v="1"/>
    <n v="80.33"/>
    <x v="47"/>
    <s v="Card"/>
  </r>
  <r>
    <x v="43"/>
    <s v="Supreme Hoodie"/>
    <s v="Hoodie"/>
    <s v="Supreme"/>
    <x v="0"/>
    <s v="Sportswear"/>
    <x v="5"/>
    <x v="0"/>
    <n v="58.65"/>
    <x v="48"/>
    <s v="UPI"/>
  </r>
  <r>
    <x v="44"/>
    <s v="Nike Dunk Low"/>
    <s v="Sneakers"/>
    <s v="Nike"/>
    <x v="1"/>
    <s v="Streetwear"/>
    <x v="1"/>
    <x v="0"/>
    <n v="183.55"/>
    <x v="49"/>
    <s v="Cash on Delivery"/>
  </r>
  <r>
    <x v="45"/>
    <s v="Puma Joggers"/>
    <s v="Joggers"/>
    <s v="Puma"/>
    <x v="0"/>
    <s v="Streetwear"/>
    <x v="5"/>
    <x v="1"/>
    <n v="210.77"/>
    <x v="50"/>
    <s v="Card"/>
  </r>
  <r>
    <x v="46"/>
    <s v="Yeezy Boost 350"/>
    <s v="Sneakers"/>
    <s v="Adidas"/>
    <x v="0"/>
    <s v="Casual"/>
    <x v="2"/>
    <x v="3"/>
    <n v="218.82"/>
    <x v="51"/>
    <s v="Wallet"/>
  </r>
  <r>
    <x v="47"/>
    <s v="Fear of God Essentials Tee"/>
    <s v="T-shirt"/>
    <s v="Essentials"/>
    <x v="1"/>
    <s v="Sportswear"/>
    <x v="4"/>
    <x v="0"/>
    <n v="133.74"/>
    <x v="52"/>
    <s v="Card"/>
  </r>
  <r>
    <x v="48"/>
    <s v="Adidas Ultraboost"/>
    <s v="Sneakers"/>
    <s v="Adidas"/>
    <x v="1"/>
    <s v="Casual"/>
    <x v="4"/>
    <x v="2"/>
    <n v="208.47"/>
    <x v="53"/>
    <s v="Cash on Delivery"/>
  </r>
  <r>
    <x v="22"/>
    <s v="Off-White Hoodie"/>
    <s v="Hoodie"/>
    <s v="Off-White"/>
    <x v="0"/>
    <s v="Limited Edition"/>
    <x v="5"/>
    <x v="2"/>
    <n v="180.42"/>
    <x v="54"/>
    <s v="Cash on Delivery"/>
  </r>
  <r>
    <x v="49"/>
    <s v="Puma Joggers"/>
    <s v="Joggers"/>
    <s v="Puma"/>
    <x v="2"/>
    <s v="Casual"/>
    <x v="0"/>
    <x v="4"/>
    <n v="127.36"/>
    <x v="55"/>
    <s v="Card"/>
  </r>
  <r>
    <x v="50"/>
    <s v="Supreme Hoodie"/>
    <s v="Hoodie"/>
    <s v="Supreme"/>
    <x v="2"/>
    <s v="Streetwear"/>
    <x v="0"/>
    <x v="4"/>
    <n v="149.51"/>
    <x v="56"/>
    <s v="Cash on Delivery"/>
  </r>
  <r>
    <x v="51"/>
    <s v="New Era Cap"/>
    <s v="Cap"/>
    <s v="New Era"/>
    <x v="2"/>
    <s v="Casual"/>
    <x v="6"/>
    <x v="4"/>
    <n v="136.36000000000001"/>
    <x v="57"/>
    <s v="Card"/>
  </r>
  <r>
    <x v="44"/>
    <s v="Nike Tech Fleece"/>
    <s v="Hoodie"/>
    <s v="Nike"/>
    <x v="0"/>
    <s v="Casual"/>
    <x v="4"/>
    <x v="0"/>
    <n v="162.38"/>
    <x v="58"/>
    <s v="Card"/>
  </r>
  <r>
    <x v="0"/>
    <s v="Puma Joggers"/>
    <s v="Joggers"/>
    <s v="Puma"/>
    <x v="1"/>
    <s v="Sportswear"/>
    <x v="3"/>
    <x v="1"/>
    <n v="259.66000000000003"/>
    <x v="59"/>
    <s v="Wallet"/>
  </r>
  <r>
    <x v="52"/>
    <s v="Off-White Hoodie"/>
    <s v="Hoodie"/>
    <s v="Off-White"/>
    <x v="2"/>
    <s v="Streetwear"/>
    <x v="5"/>
    <x v="2"/>
    <n v="180.39"/>
    <x v="60"/>
    <s v="Card"/>
  </r>
  <r>
    <x v="53"/>
    <s v="Off-White Hoodie"/>
    <s v="Hoodie"/>
    <s v="Off-White"/>
    <x v="2"/>
    <s v="Limited Edition"/>
    <x v="5"/>
    <x v="4"/>
    <n v="80.349999999999994"/>
    <x v="61"/>
    <s v="Card"/>
  </r>
  <r>
    <x v="54"/>
    <s v="Fear of God Essentials Tee"/>
    <s v="T-shirt"/>
    <s v="Essentials"/>
    <x v="2"/>
    <s v="Streetwear"/>
    <x v="0"/>
    <x v="1"/>
    <n v="222.08"/>
    <x v="62"/>
    <s v="UPI"/>
  </r>
  <r>
    <x v="55"/>
    <s v="Puma Joggers"/>
    <s v="Joggers"/>
    <s v="Puma"/>
    <x v="1"/>
    <s v="Sportswear"/>
    <x v="2"/>
    <x v="2"/>
    <n v="287.44"/>
    <x v="63"/>
    <s v="UPI"/>
  </r>
  <r>
    <x v="56"/>
    <s v="Fear of God Essentials Tee"/>
    <s v="T-shirt"/>
    <s v="Essentials"/>
    <x v="0"/>
    <s v="Limited Edition"/>
    <x v="4"/>
    <x v="0"/>
    <n v="137.9"/>
    <x v="64"/>
    <s v="UPI"/>
  </r>
  <r>
    <x v="57"/>
    <s v="Off-White Hoodie"/>
    <s v="Hoodie"/>
    <s v="Off-White"/>
    <x v="0"/>
    <s v="Streetwear"/>
    <x v="5"/>
    <x v="4"/>
    <n v="214.68"/>
    <x v="65"/>
    <s v="UPI"/>
  </r>
  <r>
    <x v="58"/>
    <s v="Nike Tech Fleece"/>
    <s v="Hoodie"/>
    <s v="Nike"/>
    <x v="1"/>
    <s v="Limited Edition"/>
    <x v="1"/>
    <x v="1"/>
    <n v="269.88"/>
    <x v="66"/>
    <s v="Cash on Delivery"/>
  </r>
  <r>
    <x v="59"/>
    <s v="Jordan 1 High"/>
    <s v="Sneakers"/>
    <s v="Nike"/>
    <x v="0"/>
    <s v="Sportswear"/>
    <x v="6"/>
    <x v="2"/>
    <n v="96.97"/>
    <x v="67"/>
    <s v="Wallet"/>
  </r>
  <r>
    <x v="60"/>
    <s v="New Era Cap"/>
    <s v="Cap"/>
    <s v="New Era"/>
    <x v="1"/>
    <s v="Limited Edition"/>
    <x v="3"/>
    <x v="3"/>
    <n v="270.55"/>
    <x v="68"/>
    <s v="Cash on Delivery"/>
  </r>
  <r>
    <x v="61"/>
    <s v="Adidas Ultraboost"/>
    <s v="Sneakers"/>
    <s v="Adidas"/>
    <x v="0"/>
    <s v="Sportswear"/>
    <x v="3"/>
    <x v="4"/>
    <n v="261.31"/>
    <x v="69"/>
    <s v="Card"/>
  </r>
  <r>
    <x v="62"/>
    <s v="New Era Cap"/>
    <s v="Cap"/>
    <s v="New Era"/>
    <x v="0"/>
    <s v="Sportswear"/>
    <x v="1"/>
    <x v="3"/>
    <n v="56.4"/>
    <x v="70"/>
    <s v="Card"/>
  </r>
  <r>
    <x v="63"/>
    <s v="Yeezy Boost 350"/>
    <s v="Sneakers"/>
    <s v="Adidas"/>
    <x v="2"/>
    <s v="Sportswear"/>
    <x v="2"/>
    <x v="4"/>
    <n v="239.55"/>
    <x v="71"/>
    <s v="Card"/>
  </r>
  <r>
    <x v="64"/>
    <s v="Jordan 1 High"/>
    <s v="Sneakers"/>
    <s v="Nike"/>
    <x v="0"/>
    <s v="Limited Edition"/>
    <x v="2"/>
    <x v="1"/>
    <n v="94.62"/>
    <x v="72"/>
    <s v="Cash on Delivery"/>
  </r>
  <r>
    <x v="37"/>
    <s v="Fear of God Essentials Tee"/>
    <s v="T-shirt"/>
    <s v="Essentials"/>
    <x v="0"/>
    <s v="Limited Edition"/>
    <x v="2"/>
    <x v="3"/>
    <n v="57.22"/>
    <x v="73"/>
    <s v="Cash on Delivery"/>
  </r>
  <r>
    <x v="7"/>
    <s v="Nike Dunk Low"/>
    <s v="Sneakers"/>
    <s v="Nike"/>
    <x v="2"/>
    <s v="Limited Edition"/>
    <x v="2"/>
    <x v="2"/>
    <n v="170.86"/>
    <x v="74"/>
    <s v="Wallet"/>
  </r>
  <r>
    <x v="65"/>
    <s v="Adidas Ultraboost"/>
    <s v="Sneakers"/>
    <s v="Adidas"/>
    <x v="2"/>
    <s v="Streetwear"/>
    <x v="3"/>
    <x v="4"/>
    <n v="105.79"/>
    <x v="75"/>
    <s v="Wallet"/>
  </r>
  <r>
    <x v="66"/>
    <s v="Adidas Ultraboost"/>
    <s v="Sneakers"/>
    <s v="Adidas"/>
    <x v="2"/>
    <s v="Streetwear"/>
    <x v="3"/>
    <x v="0"/>
    <n v="112.95"/>
    <x v="76"/>
    <s v="Card"/>
  </r>
  <r>
    <x v="64"/>
    <s v="Off-White Hoodie"/>
    <s v="Hoodie"/>
    <s v="Off-White"/>
    <x v="0"/>
    <s v="Limited Edition"/>
    <x v="1"/>
    <x v="0"/>
    <n v="55.8"/>
    <x v="77"/>
    <s v="Card"/>
  </r>
  <r>
    <x v="67"/>
    <s v="Supreme Hoodie"/>
    <s v="Hoodie"/>
    <s v="Supreme"/>
    <x v="2"/>
    <s v="Sportswear"/>
    <x v="6"/>
    <x v="2"/>
    <n v="50.1"/>
    <x v="78"/>
    <s v="Card"/>
  </r>
  <r>
    <x v="68"/>
    <s v="Yeezy Boost 350"/>
    <s v="Sneakers"/>
    <s v="Adidas"/>
    <x v="2"/>
    <s v="Limited Edition"/>
    <x v="1"/>
    <x v="2"/>
    <n v="56.49"/>
    <x v="79"/>
    <s v="UPI"/>
  </r>
  <r>
    <x v="69"/>
    <s v="Off-White Hoodie"/>
    <s v="Hoodie"/>
    <s v="Off-White"/>
    <x v="2"/>
    <s v="Sportswear"/>
    <x v="3"/>
    <x v="0"/>
    <n v="100.65"/>
    <x v="80"/>
    <s v="Wallet"/>
  </r>
  <r>
    <x v="44"/>
    <s v="Adidas Ultraboost"/>
    <s v="Sneakers"/>
    <s v="Adidas"/>
    <x v="2"/>
    <s v="Casual"/>
    <x v="0"/>
    <x v="1"/>
    <n v="160.44"/>
    <x v="81"/>
    <s v="UPI"/>
  </r>
  <r>
    <x v="70"/>
    <s v="Puma Joggers"/>
    <s v="Joggers"/>
    <s v="Puma"/>
    <x v="1"/>
    <s v="Streetwear"/>
    <x v="0"/>
    <x v="3"/>
    <n v="242.44"/>
    <x v="82"/>
    <s v="Cash on Delivery"/>
  </r>
  <r>
    <x v="21"/>
    <s v="Yeezy Boost 350"/>
    <s v="Sneakers"/>
    <s v="Adidas"/>
    <x v="0"/>
    <s v="Streetwear"/>
    <x v="3"/>
    <x v="1"/>
    <n v="209.81"/>
    <x v="83"/>
    <s v="Card"/>
  </r>
  <r>
    <x v="71"/>
    <s v="Adidas Ultraboost"/>
    <s v="Sneakers"/>
    <s v="Adidas"/>
    <x v="2"/>
    <s v="Casual"/>
    <x v="6"/>
    <x v="3"/>
    <n v="261.95999999999998"/>
    <x v="84"/>
    <s v="Cash on Delivery"/>
  </r>
  <r>
    <x v="72"/>
    <s v="Supreme Hoodie"/>
    <s v="Hoodie"/>
    <s v="Supreme"/>
    <x v="2"/>
    <s v="Casual"/>
    <x v="1"/>
    <x v="4"/>
    <n v="242.71"/>
    <x v="85"/>
    <s v="Cash on Delivery"/>
  </r>
  <r>
    <x v="73"/>
    <s v="Jordan 1 High"/>
    <s v="Sneakers"/>
    <s v="Nike"/>
    <x v="1"/>
    <s v="Limited Edition"/>
    <x v="1"/>
    <x v="0"/>
    <n v="299.3"/>
    <x v="86"/>
    <s v="Card"/>
  </r>
  <r>
    <x v="74"/>
    <s v="Yeezy Boost 350"/>
    <s v="Sneakers"/>
    <s v="Adidas"/>
    <x v="0"/>
    <s v="Streetwear"/>
    <x v="1"/>
    <x v="3"/>
    <n v="162.85"/>
    <x v="87"/>
    <s v="UPI"/>
  </r>
  <r>
    <x v="75"/>
    <s v="Puma Joggers"/>
    <s v="Joggers"/>
    <s v="Puma"/>
    <x v="0"/>
    <s v="Streetwear"/>
    <x v="0"/>
    <x v="0"/>
    <n v="215.63"/>
    <x v="88"/>
    <s v="Card"/>
  </r>
  <r>
    <x v="76"/>
    <s v="Jordan 1 High"/>
    <s v="Sneakers"/>
    <s v="Nike"/>
    <x v="1"/>
    <s v="Limited Edition"/>
    <x v="2"/>
    <x v="2"/>
    <n v="54.99"/>
    <x v="89"/>
    <s v="Cash on Delivery"/>
  </r>
  <r>
    <x v="77"/>
    <s v="Yeezy Boost 350"/>
    <s v="Sneakers"/>
    <s v="Adidas"/>
    <x v="2"/>
    <s v="Sportswear"/>
    <x v="4"/>
    <x v="3"/>
    <n v="185.7"/>
    <x v="90"/>
    <s v="Wallet"/>
  </r>
  <r>
    <x v="78"/>
    <s v="Nike Tech Fleece"/>
    <s v="Hoodie"/>
    <s v="Nike"/>
    <x v="0"/>
    <s v="Streetwear"/>
    <x v="5"/>
    <x v="1"/>
    <n v="153.75"/>
    <x v="91"/>
    <s v="Cash on Delivery"/>
  </r>
  <r>
    <x v="55"/>
    <s v="Supreme Hoodie"/>
    <s v="Hoodie"/>
    <s v="Supreme"/>
    <x v="2"/>
    <s v="Limited Edition"/>
    <x v="3"/>
    <x v="0"/>
    <n v="235.5"/>
    <x v="92"/>
    <s v="Wallet"/>
  </r>
  <r>
    <x v="79"/>
    <s v="Supreme Hoodie"/>
    <s v="Hoodie"/>
    <s v="Supreme"/>
    <x v="1"/>
    <s v="Casual"/>
    <x v="5"/>
    <x v="4"/>
    <n v="239.76"/>
    <x v="93"/>
    <s v="Card"/>
  </r>
  <r>
    <x v="80"/>
    <s v="Off-White Hoodie"/>
    <s v="Hoodie"/>
    <s v="Off-White"/>
    <x v="2"/>
    <s v="Casual"/>
    <x v="1"/>
    <x v="3"/>
    <n v="213.82"/>
    <x v="94"/>
    <s v="Card"/>
  </r>
  <r>
    <x v="81"/>
    <s v="Yeezy Boost 350"/>
    <s v="Sneakers"/>
    <s v="Adidas"/>
    <x v="1"/>
    <s v="Casual"/>
    <x v="0"/>
    <x v="2"/>
    <n v="67.2"/>
    <x v="95"/>
    <s v="Wallet"/>
  </r>
  <r>
    <x v="82"/>
    <s v="New Era Cap"/>
    <s v="Cap"/>
    <s v="New Era"/>
    <x v="2"/>
    <s v="Sportswear"/>
    <x v="0"/>
    <x v="3"/>
    <n v="207.05"/>
    <x v="96"/>
    <s v="UPI"/>
  </r>
  <r>
    <x v="67"/>
    <s v="Nike Tech Fleece"/>
    <s v="Hoodie"/>
    <s v="Nike"/>
    <x v="0"/>
    <s v="Sportswear"/>
    <x v="0"/>
    <x v="4"/>
    <n v="257.92"/>
    <x v="97"/>
    <s v="Wallet"/>
  </r>
  <r>
    <x v="42"/>
    <s v="Yeezy Boost 350"/>
    <s v="Sneakers"/>
    <s v="Adidas"/>
    <x v="1"/>
    <s v="Limited Edition"/>
    <x v="5"/>
    <x v="2"/>
    <n v="122.32"/>
    <x v="98"/>
    <s v="Cash on Delivery"/>
  </r>
  <r>
    <x v="66"/>
    <s v="Fear of God Essentials Tee"/>
    <s v="T-shirt"/>
    <s v="Essentials"/>
    <x v="0"/>
    <s v="Casual"/>
    <x v="1"/>
    <x v="2"/>
    <n v="203.63"/>
    <x v="99"/>
    <s v="Cash on Delivery"/>
  </r>
  <r>
    <x v="22"/>
    <s v="Jordan 1 High"/>
    <s v="Sneakers"/>
    <s v="Nike"/>
    <x v="2"/>
    <s v="Sportswear"/>
    <x v="5"/>
    <x v="4"/>
    <n v="278.14999999999998"/>
    <x v="100"/>
    <s v="Wallet"/>
  </r>
  <r>
    <x v="83"/>
    <s v="Nike Tech Fleece"/>
    <s v="Hoodie"/>
    <s v="Nike"/>
    <x v="2"/>
    <s v="Sportswear"/>
    <x v="2"/>
    <x v="4"/>
    <n v="129.78"/>
    <x v="101"/>
    <s v="Card"/>
  </r>
  <r>
    <x v="84"/>
    <s v="Jordan 1 High"/>
    <s v="Sneakers"/>
    <s v="Nike"/>
    <x v="2"/>
    <s v="Casual"/>
    <x v="3"/>
    <x v="0"/>
    <n v="199.42"/>
    <x v="102"/>
    <s v="Cash on Delivery"/>
  </r>
  <r>
    <x v="85"/>
    <s v="Adidas Ultraboost"/>
    <s v="Sneakers"/>
    <s v="Adidas"/>
    <x v="2"/>
    <s v="Limited Edition"/>
    <x v="0"/>
    <x v="0"/>
    <n v="98.23"/>
    <x v="103"/>
    <s v="Cash on Delivery"/>
  </r>
  <r>
    <x v="21"/>
    <s v="Nike Dunk Low"/>
    <s v="Sneakers"/>
    <s v="Nike"/>
    <x v="0"/>
    <s v="Streetwear"/>
    <x v="3"/>
    <x v="2"/>
    <n v="114.47"/>
    <x v="104"/>
    <s v="Wallet"/>
  </r>
  <r>
    <x v="86"/>
    <s v="Puma Joggers"/>
    <s v="Joggers"/>
    <s v="Puma"/>
    <x v="1"/>
    <s v="Streetwear"/>
    <x v="0"/>
    <x v="0"/>
    <n v="224.71"/>
    <x v="105"/>
    <s v="UPI"/>
  </r>
  <r>
    <x v="87"/>
    <s v="Jordan 1 High"/>
    <s v="Sneakers"/>
    <s v="Nike"/>
    <x v="0"/>
    <s v="Limited Edition"/>
    <x v="6"/>
    <x v="4"/>
    <n v="104.04"/>
    <x v="106"/>
    <s v="Cash on Delivery"/>
  </r>
  <r>
    <x v="88"/>
    <s v="Puma Joggers"/>
    <s v="Joggers"/>
    <s v="Puma"/>
    <x v="2"/>
    <s v="Sportswear"/>
    <x v="4"/>
    <x v="0"/>
    <n v="140.26"/>
    <x v="107"/>
    <s v="Card"/>
  </r>
  <r>
    <x v="89"/>
    <s v="Adidas Ultraboost"/>
    <s v="Sneakers"/>
    <s v="Adidas"/>
    <x v="2"/>
    <s v="Streetwear"/>
    <x v="4"/>
    <x v="0"/>
    <n v="215.38"/>
    <x v="108"/>
    <s v="Card"/>
  </r>
  <r>
    <x v="14"/>
    <s v="Yeezy Boost 350"/>
    <s v="Sneakers"/>
    <s v="Adidas"/>
    <x v="1"/>
    <s v="Limited Edition"/>
    <x v="3"/>
    <x v="3"/>
    <n v="127.55"/>
    <x v="109"/>
    <s v="Cash on Delivery"/>
  </r>
  <r>
    <x v="72"/>
    <s v="Jordan 1 High"/>
    <s v="Sneakers"/>
    <s v="Nike"/>
    <x v="1"/>
    <s v="Limited Edition"/>
    <x v="4"/>
    <x v="4"/>
    <n v="182.2"/>
    <x v="110"/>
    <s v="Card"/>
  </r>
  <r>
    <x v="90"/>
    <s v="Nike Tech Fleece"/>
    <s v="Hoodie"/>
    <s v="Nike"/>
    <x v="2"/>
    <s v="Casual"/>
    <x v="2"/>
    <x v="3"/>
    <n v="246.66"/>
    <x v="111"/>
    <s v="Cash on Delivery"/>
  </r>
  <r>
    <x v="61"/>
    <s v="Yeezy Boost 350"/>
    <s v="Sneakers"/>
    <s v="Adidas"/>
    <x v="1"/>
    <s v="Casual"/>
    <x v="0"/>
    <x v="0"/>
    <n v="262.68"/>
    <x v="112"/>
    <s v="Wallet"/>
  </r>
  <r>
    <x v="91"/>
    <s v="Adidas Ultraboost"/>
    <s v="Sneakers"/>
    <s v="Adidas"/>
    <x v="2"/>
    <s v="Limited Edition"/>
    <x v="1"/>
    <x v="4"/>
    <n v="101.39"/>
    <x v="113"/>
    <s v="Cash on Delivery"/>
  </r>
  <r>
    <x v="92"/>
    <s v="Off-White Hoodie"/>
    <s v="Hoodie"/>
    <s v="Off-White"/>
    <x v="1"/>
    <s v="Casual"/>
    <x v="0"/>
    <x v="2"/>
    <n v="59.05"/>
    <x v="114"/>
    <s v="Cash on Delivery"/>
  </r>
  <r>
    <x v="51"/>
    <s v="Off-White Hoodie"/>
    <s v="Hoodie"/>
    <s v="Off-White"/>
    <x v="0"/>
    <s v="Streetwear"/>
    <x v="5"/>
    <x v="2"/>
    <n v="101.32"/>
    <x v="115"/>
    <s v="UPI"/>
  </r>
  <r>
    <x v="56"/>
    <s v="Nike Dunk Low"/>
    <s v="Sneakers"/>
    <s v="Nike"/>
    <x v="2"/>
    <s v="Sportswear"/>
    <x v="3"/>
    <x v="3"/>
    <n v="228.88"/>
    <x v="116"/>
    <s v="Card"/>
  </r>
  <r>
    <x v="93"/>
    <s v="Nike Dunk Low"/>
    <s v="Sneakers"/>
    <s v="Nike"/>
    <x v="1"/>
    <s v="Limited Edition"/>
    <x v="0"/>
    <x v="3"/>
    <n v="258.60000000000002"/>
    <x v="117"/>
    <s v="Card"/>
  </r>
  <r>
    <x v="94"/>
    <s v="Adidas Ultraboost"/>
    <s v="Sneakers"/>
    <s v="Adidas"/>
    <x v="0"/>
    <s v="Streetwear"/>
    <x v="3"/>
    <x v="3"/>
    <n v="129.94999999999999"/>
    <x v="118"/>
    <s v="Cash on Delivery"/>
  </r>
  <r>
    <x v="95"/>
    <s v="Adidas Ultraboost"/>
    <s v="Sneakers"/>
    <s v="Adidas"/>
    <x v="1"/>
    <s v="Casual"/>
    <x v="2"/>
    <x v="0"/>
    <n v="190.03"/>
    <x v="119"/>
    <s v="Cash on Delivery"/>
  </r>
  <r>
    <x v="77"/>
    <s v="New Era Cap"/>
    <s v="Cap"/>
    <s v="New Era"/>
    <x v="0"/>
    <s v="Casual"/>
    <x v="5"/>
    <x v="2"/>
    <n v="239.21"/>
    <x v="120"/>
    <s v="Wallet"/>
  </r>
  <r>
    <x v="96"/>
    <s v="Fear of God Essentials Tee"/>
    <s v="T-shirt"/>
    <s v="Essentials"/>
    <x v="0"/>
    <s v="Streetwear"/>
    <x v="3"/>
    <x v="2"/>
    <n v="271.18"/>
    <x v="121"/>
    <s v="Cash on Delivery"/>
  </r>
  <r>
    <x v="97"/>
    <s v="Puma Joggers"/>
    <s v="Joggers"/>
    <s v="Puma"/>
    <x v="1"/>
    <s v="Streetwear"/>
    <x v="0"/>
    <x v="0"/>
    <n v="140.65"/>
    <x v="122"/>
    <s v="Wallet"/>
  </r>
  <r>
    <x v="98"/>
    <s v="Fear of God Essentials Tee"/>
    <s v="T-shirt"/>
    <s v="Essentials"/>
    <x v="0"/>
    <s v="Streetwear"/>
    <x v="4"/>
    <x v="4"/>
    <n v="97.21"/>
    <x v="123"/>
    <s v="Cash on Delivery"/>
  </r>
  <r>
    <x v="99"/>
    <s v="Supreme Hoodie"/>
    <s v="Hoodie"/>
    <s v="Supreme"/>
    <x v="2"/>
    <s v="Sportswear"/>
    <x v="4"/>
    <x v="0"/>
    <n v="110.05"/>
    <x v="124"/>
    <s v="Card"/>
  </r>
  <r>
    <x v="100"/>
    <s v="Adidas Ultraboost"/>
    <s v="Sneakers"/>
    <s v="Adidas"/>
    <x v="0"/>
    <s v="Casual"/>
    <x v="2"/>
    <x v="2"/>
    <n v="209.13"/>
    <x v="125"/>
    <s v="Cash on Delivery"/>
  </r>
  <r>
    <x v="101"/>
    <s v="Nike Dunk Low"/>
    <s v="Sneakers"/>
    <s v="Nike"/>
    <x v="1"/>
    <s v="Sportswear"/>
    <x v="3"/>
    <x v="2"/>
    <n v="256.81"/>
    <x v="126"/>
    <s v="Card"/>
  </r>
  <r>
    <x v="102"/>
    <s v="Supreme Hoodie"/>
    <s v="Hoodie"/>
    <s v="Supreme"/>
    <x v="1"/>
    <s v="Limited Edition"/>
    <x v="2"/>
    <x v="1"/>
    <n v="53.05"/>
    <x v="127"/>
    <s v="Cash on Delivery"/>
  </r>
  <r>
    <x v="2"/>
    <s v="Yeezy Boost 350"/>
    <s v="Sneakers"/>
    <s v="Adidas"/>
    <x v="2"/>
    <s v="Sportswear"/>
    <x v="4"/>
    <x v="3"/>
    <n v="127.11"/>
    <x v="128"/>
    <s v="Cash on Delivery"/>
  </r>
  <r>
    <x v="103"/>
    <s v="Nike Tech Fleece"/>
    <s v="Hoodie"/>
    <s v="Nike"/>
    <x v="1"/>
    <s v="Sportswear"/>
    <x v="0"/>
    <x v="1"/>
    <n v="259.45999999999998"/>
    <x v="129"/>
    <s v="Wallet"/>
  </r>
  <r>
    <x v="104"/>
    <s v="Off-White Hoodie"/>
    <s v="Hoodie"/>
    <s v="Off-White"/>
    <x v="0"/>
    <s v="Casual"/>
    <x v="4"/>
    <x v="1"/>
    <n v="183.29"/>
    <x v="130"/>
    <s v="Wallet"/>
  </r>
  <r>
    <x v="105"/>
    <s v="Off-White Hoodie"/>
    <s v="Hoodie"/>
    <s v="Off-White"/>
    <x v="1"/>
    <s v="Sportswear"/>
    <x v="5"/>
    <x v="1"/>
    <n v="130.4"/>
    <x v="131"/>
    <s v="Cash on Delivery"/>
  </r>
  <r>
    <x v="106"/>
    <s v="Yeezy Boost 350"/>
    <s v="Sneakers"/>
    <s v="Adidas"/>
    <x v="2"/>
    <s v="Streetwear"/>
    <x v="5"/>
    <x v="0"/>
    <n v="112.04"/>
    <x v="132"/>
    <s v="Wallet"/>
  </r>
  <r>
    <x v="107"/>
    <s v="Puma Joggers"/>
    <s v="Joggers"/>
    <s v="Puma"/>
    <x v="1"/>
    <s v="Casual"/>
    <x v="0"/>
    <x v="0"/>
    <n v="85.1"/>
    <x v="133"/>
    <s v="Cash on Delivery"/>
  </r>
  <r>
    <x v="103"/>
    <s v="Puma Joggers"/>
    <s v="Joggers"/>
    <s v="Puma"/>
    <x v="0"/>
    <s v="Streetwear"/>
    <x v="3"/>
    <x v="2"/>
    <n v="180.65"/>
    <x v="134"/>
    <s v="Cash on Delivery"/>
  </r>
  <r>
    <x v="13"/>
    <s v="New Era Cap"/>
    <s v="Cap"/>
    <s v="New Era"/>
    <x v="1"/>
    <s v="Casual"/>
    <x v="4"/>
    <x v="0"/>
    <n v="147.13"/>
    <x v="135"/>
    <s v="Wallet"/>
  </r>
  <r>
    <x v="41"/>
    <s v="Puma Joggers"/>
    <s v="Joggers"/>
    <s v="Puma"/>
    <x v="1"/>
    <s v="Limited Edition"/>
    <x v="3"/>
    <x v="4"/>
    <n v="110.78"/>
    <x v="136"/>
    <s v="Cash on Delivery"/>
  </r>
  <r>
    <x v="108"/>
    <s v="Nike Tech Fleece"/>
    <s v="Hoodie"/>
    <s v="Nike"/>
    <x v="1"/>
    <s v="Streetwear"/>
    <x v="6"/>
    <x v="0"/>
    <n v="58.37"/>
    <x v="137"/>
    <s v="UPI"/>
  </r>
  <r>
    <x v="79"/>
    <s v="Supreme Hoodie"/>
    <s v="Hoodie"/>
    <s v="Supreme"/>
    <x v="1"/>
    <s v="Casual"/>
    <x v="2"/>
    <x v="0"/>
    <n v="241.67"/>
    <x v="138"/>
    <s v="Card"/>
  </r>
  <r>
    <x v="109"/>
    <s v="Off-White Hoodie"/>
    <s v="Hoodie"/>
    <s v="Off-White"/>
    <x v="1"/>
    <s v="Limited Edition"/>
    <x v="1"/>
    <x v="1"/>
    <n v="89.67"/>
    <x v="139"/>
    <s v="UPI"/>
  </r>
  <r>
    <x v="110"/>
    <s v="Nike Dunk Low"/>
    <s v="Sneakers"/>
    <s v="Nike"/>
    <x v="1"/>
    <s v="Streetwear"/>
    <x v="5"/>
    <x v="2"/>
    <n v="132.09"/>
    <x v="140"/>
    <s v="UPI"/>
  </r>
  <r>
    <x v="58"/>
    <s v="New Era Cap"/>
    <s v="Cap"/>
    <s v="New Era"/>
    <x v="1"/>
    <s v="Casual"/>
    <x v="0"/>
    <x v="1"/>
    <n v="202.18"/>
    <x v="141"/>
    <s v="UPI"/>
  </r>
  <r>
    <x v="99"/>
    <s v="Yeezy Boost 350"/>
    <s v="Sneakers"/>
    <s v="Adidas"/>
    <x v="2"/>
    <s v="Casual"/>
    <x v="4"/>
    <x v="4"/>
    <n v="90.19"/>
    <x v="142"/>
    <s v="Cash on Delivery"/>
  </r>
  <r>
    <x v="106"/>
    <s v="Nike Tech Fleece"/>
    <s v="Hoodie"/>
    <s v="Nike"/>
    <x v="0"/>
    <s v="Streetwear"/>
    <x v="1"/>
    <x v="1"/>
    <n v="179.28"/>
    <x v="143"/>
    <s v="Cash on Delivery"/>
  </r>
  <r>
    <x v="111"/>
    <s v="Nike Tech Fleece"/>
    <s v="Hoodie"/>
    <s v="Nike"/>
    <x v="2"/>
    <s v="Sportswear"/>
    <x v="1"/>
    <x v="0"/>
    <n v="188.61"/>
    <x v="144"/>
    <s v="Wallet"/>
  </r>
  <r>
    <x v="72"/>
    <s v="Fear of God Essentials Tee"/>
    <s v="T-shirt"/>
    <s v="Essentials"/>
    <x v="2"/>
    <s v="Sportswear"/>
    <x v="4"/>
    <x v="1"/>
    <n v="111.36"/>
    <x v="145"/>
    <s v="Card"/>
  </r>
  <r>
    <x v="112"/>
    <s v="New Era Cap"/>
    <s v="Cap"/>
    <s v="New Era"/>
    <x v="1"/>
    <s v="Sportswear"/>
    <x v="4"/>
    <x v="4"/>
    <n v="53.98"/>
    <x v="146"/>
    <s v="Cash on Delivery"/>
  </r>
  <r>
    <x v="22"/>
    <s v="Off-White Hoodie"/>
    <s v="Hoodie"/>
    <s v="Off-White"/>
    <x v="0"/>
    <s v="Streetwear"/>
    <x v="5"/>
    <x v="3"/>
    <n v="240.64"/>
    <x v="147"/>
    <s v="Cash on Delivery"/>
  </r>
  <r>
    <x v="113"/>
    <s v="Off-White Hoodie"/>
    <s v="Hoodie"/>
    <s v="Off-White"/>
    <x v="1"/>
    <s v="Casual"/>
    <x v="1"/>
    <x v="0"/>
    <n v="195.57"/>
    <x v="148"/>
    <s v="Cash on Delivery"/>
  </r>
  <r>
    <x v="51"/>
    <s v="Nike Tech Fleece"/>
    <s v="Hoodie"/>
    <s v="Nike"/>
    <x v="0"/>
    <s v="Streetwear"/>
    <x v="5"/>
    <x v="4"/>
    <n v="224.66"/>
    <x v="149"/>
    <s v="Cash on Delivery"/>
  </r>
  <r>
    <x v="35"/>
    <s v="Puma Joggers"/>
    <s v="Joggers"/>
    <s v="Puma"/>
    <x v="1"/>
    <s v="Sportswear"/>
    <x v="5"/>
    <x v="4"/>
    <n v="65.2"/>
    <x v="150"/>
    <s v="Wallet"/>
  </r>
  <r>
    <x v="3"/>
    <s v="Adidas Ultraboost"/>
    <s v="Sneakers"/>
    <s v="Adidas"/>
    <x v="1"/>
    <s v="Limited Edition"/>
    <x v="5"/>
    <x v="3"/>
    <n v="117.78"/>
    <x v="151"/>
    <s v="UPI"/>
  </r>
  <r>
    <x v="114"/>
    <s v="Jordan 1 High"/>
    <s v="Sneakers"/>
    <s v="Nike"/>
    <x v="1"/>
    <s v="Streetwear"/>
    <x v="6"/>
    <x v="3"/>
    <n v="214.93"/>
    <x v="152"/>
    <s v="Card"/>
  </r>
  <r>
    <x v="115"/>
    <s v="Puma Joggers"/>
    <s v="Joggers"/>
    <s v="Puma"/>
    <x v="0"/>
    <s v="Limited Edition"/>
    <x v="0"/>
    <x v="1"/>
    <n v="249.49"/>
    <x v="153"/>
    <s v="Cash on Delivery"/>
  </r>
  <r>
    <x v="116"/>
    <s v="Yeezy Boost 350"/>
    <s v="Sneakers"/>
    <s v="Adidas"/>
    <x v="2"/>
    <s v="Casual"/>
    <x v="6"/>
    <x v="3"/>
    <n v="141.35"/>
    <x v="154"/>
    <s v="UPI"/>
  </r>
  <r>
    <x v="117"/>
    <s v="Puma Joggers"/>
    <s v="Joggers"/>
    <s v="Puma"/>
    <x v="0"/>
    <s v="Limited Edition"/>
    <x v="0"/>
    <x v="4"/>
    <n v="264.14"/>
    <x v="155"/>
    <s v="Card"/>
  </r>
  <r>
    <x v="118"/>
    <s v="Fear of God Essentials Tee"/>
    <s v="T-shirt"/>
    <s v="Essentials"/>
    <x v="0"/>
    <s v="Casual"/>
    <x v="4"/>
    <x v="0"/>
    <n v="73.58"/>
    <x v="156"/>
    <s v="UPI"/>
  </r>
  <r>
    <x v="32"/>
    <s v="Fear of God Essentials Tee"/>
    <s v="T-shirt"/>
    <s v="Essentials"/>
    <x v="0"/>
    <s v="Streetwear"/>
    <x v="1"/>
    <x v="2"/>
    <n v="106.59"/>
    <x v="157"/>
    <s v="Card"/>
  </r>
  <r>
    <x v="99"/>
    <s v="Nike Tech Fleece"/>
    <s v="Hoodie"/>
    <s v="Nike"/>
    <x v="2"/>
    <s v="Streetwear"/>
    <x v="5"/>
    <x v="4"/>
    <n v="59.98"/>
    <x v="158"/>
    <s v="UPI"/>
  </r>
  <r>
    <x v="88"/>
    <s v="Puma Joggers"/>
    <s v="Joggers"/>
    <s v="Puma"/>
    <x v="1"/>
    <s v="Casual"/>
    <x v="0"/>
    <x v="4"/>
    <n v="87.81"/>
    <x v="159"/>
    <s v="Card"/>
  </r>
  <r>
    <x v="119"/>
    <s v="Nike Tech Fleece"/>
    <s v="Hoodie"/>
    <s v="Nike"/>
    <x v="2"/>
    <s v="Sportswear"/>
    <x v="0"/>
    <x v="1"/>
    <n v="283.60000000000002"/>
    <x v="160"/>
    <s v="UPI"/>
  </r>
  <r>
    <x v="120"/>
    <s v="Puma Joggers"/>
    <s v="Joggers"/>
    <s v="Puma"/>
    <x v="2"/>
    <s v="Limited Edition"/>
    <x v="0"/>
    <x v="1"/>
    <n v="194.31"/>
    <x v="161"/>
    <s v="UPI"/>
  </r>
  <r>
    <x v="121"/>
    <s v="Supreme Hoodie"/>
    <s v="Hoodie"/>
    <s v="Supreme"/>
    <x v="0"/>
    <s v="Limited Edition"/>
    <x v="0"/>
    <x v="3"/>
    <n v="199.68"/>
    <x v="162"/>
    <s v="Wallet"/>
  </r>
  <r>
    <x v="19"/>
    <s v="Fear of God Essentials Tee"/>
    <s v="T-shirt"/>
    <s v="Essentials"/>
    <x v="1"/>
    <s v="Sportswear"/>
    <x v="0"/>
    <x v="0"/>
    <n v="145.47"/>
    <x v="163"/>
    <s v="Card"/>
  </r>
  <r>
    <x v="11"/>
    <s v="Supreme Hoodie"/>
    <s v="Hoodie"/>
    <s v="Supreme"/>
    <x v="1"/>
    <s v="Limited Edition"/>
    <x v="3"/>
    <x v="2"/>
    <n v="141.11000000000001"/>
    <x v="164"/>
    <s v="UPI"/>
  </r>
  <r>
    <x v="122"/>
    <s v="Jordan 1 High"/>
    <s v="Sneakers"/>
    <s v="Nike"/>
    <x v="1"/>
    <s v="Casual"/>
    <x v="4"/>
    <x v="1"/>
    <n v="188.4"/>
    <x v="165"/>
    <s v="Card"/>
  </r>
  <r>
    <x v="123"/>
    <s v="Supreme Hoodie"/>
    <s v="Hoodie"/>
    <s v="Supreme"/>
    <x v="2"/>
    <s v="Limited Edition"/>
    <x v="2"/>
    <x v="3"/>
    <n v="145.28"/>
    <x v="166"/>
    <s v="Card"/>
  </r>
  <r>
    <x v="100"/>
    <s v="Adidas Ultraboost"/>
    <s v="Sneakers"/>
    <s v="Adidas"/>
    <x v="2"/>
    <s v="Streetwear"/>
    <x v="3"/>
    <x v="1"/>
    <n v="277.48"/>
    <x v="167"/>
    <s v="Card"/>
  </r>
  <r>
    <x v="115"/>
    <s v="Nike Tech Fleece"/>
    <s v="Hoodie"/>
    <s v="Nike"/>
    <x v="1"/>
    <s v="Limited Edition"/>
    <x v="0"/>
    <x v="3"/>
    <n v="153.56"/>
    <x v="168"/>
    <s v="Wallet"/>
  </r>
  <r>
    <x v="124"/>
    <s v="Fear of God Essentials Tee"/>
    <s v="T-shirt"/>
    <s v="Essentials"/>
    <x v="2"/>
    <s v="Casual"/>
    <x v="0"/>
    <x v="1"/>
    <n v="74.83"/>
    <x v="169"/>
    <s v="Card"/>
  </r>
  <r>
    <x v="95"/>
    <s v="Supreme Hoodie"/>
    <s v="Hoodie"/>
    <s v="Supreme"/>
    <x v="1"/>
    <s v="Limited Edition"/>
    <x v="2"/>
    <x v="2"/>
    <n v="136.80000000000001"/>
    <x v="170"/>
    <s v="UPI"/>
  </r>
  <r>
    <x v="85"/>
    <s v="Yeezy Boost 350"/>
    <s v="Sneakers"/>
    <s v="Adidas"/>
    <x v="0"/>
    <s v="Casual"/>
    <x v="1"/>
    <x v="4"/>
    <n v="209.69"/>
    <x v="171"/>
    <s v="Wallet"/>
  </r>
  <r>
    <x v="43"/>
    <s v="Supreme Hoodie"/>
    <s v="Hoodie"/>
    <s v="Supreme"/>
    <x v="2"/>
    <s v="Casual"/>
    <x v="6"/>
    <x v="4"/>
    <n v="200.87"/>
    <x v="172"/>
    <s v="Cash on Delivery"/>
  </r>
  <r>
    <x v="125"/>
    <s v="Puma Joggers"/>
    <s v="Joggers"/>
    <s v="Puma"/>
    <x v="2"/>
    <s v="Streetwear"/>
    <x v="0"/>
    <x v="2"/>
    <n v="221.26"/>
    <x v="173"/>
    <s v="Card"/>
  </r>
  <r>
    <x v="118"/>
    <s v="Nike Dunk Low"/>
    <s v="Sneakers"/>
    <s v="Nike"/>
    <x v="1"/>
    <s v="Streetwear"/>
    <x v="1"/>
    <x v="0"/>
    <n v="176.98"/>
    <x v="174"/>
    <s v="Card"/>
  </r>
  <r>
    <x v="126"/>
    <s v="New Era Cap"/>
    <s v="Cap"/>
    <s v="New Era"/>
    <x v="2"/>
    <s v="Casual"/>
    <x v="4"/>
    <x v="0"/>
    <n v="77.08"/>
    <x v="175"/>
    <s v="Wallet"/>
  </r>
  <r>
    <x v="54"/>
    <s v="Jordan 1 High"/>
    <s v="Sneakers"/>
    <s v="Nike"/>
    <x v="2"/>
    <s v="Casual"/>
    <x v="5"/>
    <x v="3"/>
    <n v="239.54"/>
    <x v="176"/>
    <s v="Wallet"/>
  </r>
  <r>
    <x v="57"/>
    <s v="Supreme Hoodie"/>
    <s v="Hoodie"/>
    <s v="Supreme"/>
    <x v="2"/>
    <s v="Streetwear"/>
    <x v="6"/>
    <x v="0"/>
    <n v="179.54"/>
    <x v="177"/>
    <s v="UPI"/>
  </r>
  <r>
    <x v="127"/>
    <s v="Off-White Hoodie"/>
    <s v="Hoodie"/>
    <s v="Off-White"/>
    <x v="1"/>
    <s v="Streetwear"/>
    <x v="5"/>
    <x v="4"/>
    <n v="274.23"/>
    <x v="178"/>
    <s v="Cash on Delivery"/>
  </r>
  <r>
    <x v="128"/>
    <s v="Nike Tech Fleece"/>
    <s v="Hoodie"/>
    <s v="Nike"/>
    <x v="1"/>
    <s v="Limited Edition"/>
    <x v="6"/>
    <x v="0"/>
    <n v="99.89"/>
    <x v="179"/>
    <s v="Cash on Delivery"/>
  </r>
  <r>
    <x v="2"/>
    <s v="Yeezy Boost 350"/>
    <s v="Sneakers"/>
    <s v="Adidas"/>
    <x v="1"/>
    <s v="Sportswear"/>
    <x v="4"/>
    <x v="3"/>
    <n v="148.11000000000001"/>
    <x v="180"/>
    <s v="Cash on Delivery"/>
  </r>
  <r>
    <x v="98"/>
    <s v="Jordan 1 High"/>
    <s v="Sneakers"/>
    <s v="Nike"/>
    <x v="0"/>
    <s v="Sportswear"/>
    <x v="6"/>
    <x v="0"/>
    <n v="81.97"/>
    <x v="181"/>
    <s v="Cash on Delivery"/>
  </r>
  <r>
    <x v="129"/>
    <s v="Yeezy Boost 350"/>
    <s v="Sneakers"/>
    <s v="Adidas"/>
    <x v="1"/>
    <s v="Limited Edition"/>
    <x v="6"/>
    <x v="4"/>
    <n v="291.29000000000002"/>
    <x v="182"/>
    <s v="Wallet"/>
  </r>
  <r>
    <x v="130"/>
    <s v="Adidas Ultraboost"/>
    <s v="Sneakers"/>
    <s v="Adidas"/>
    <x v="2"/>
    <s v="Streetwear"/>
    <x v="5"/>
    <x v="0"/>
    <n v="138.94999999999999"/>
    <x v="183"/>
    <s v="UPI"/>
  </r>
  <r>
    <x v="15"/>
    <s v="Adidas Ultraboost"/>
    <s v="Sneakers"/>
    <s v="Adidas"/>
    <x v="2"/>
    <s v="Streetwear"/>
    <x v="0"/>
    <x v="3"/>
    <n v="208.19"/>
    <x v="184"/>
    <s v="Wallet"/>
  </r>
  <r>
    <x v="131"/>
    <s v="Jordan 1 High"/>
    <s v="Sneakers"/>
    <s v="Nike"/>
    <x v="2"/>
    <s v="Limited Edition"/>
    <x v="6"/>
    <x v="0"/>
    <n v="291.7"/>
    <x v="185"/>
    <s v="Wallet"/>
  </r>
  <r>
    <x v="132"/>
    <s v="Fear of God Essentials Tee"/>
    <s v="T-shirt"/>
    <s v="Essentials"/>
    <x v="1"/>
    <s v="Sportswear"/>
    <x v="3"/>
    <x v="4"/>
    <n v="209.89"/>
    <x v="186"/>
    <s v="UPI"/>
  </r>
  <r>
    <x v="133"/>
    <s v="Jordan 1 High"/>
    <s v="Sneakers"/>
    <s v="Nike"/>
    <x v="0"/>
    <s v="Casual"/>
    <x v="0"/>
    <x v="3"/>
    <n v="171.49"/>
    <x v="187"/>
    <s v="Cash on Delivery"/>
  </r>
  <r>
    <x v="134"/>
    <s v="Nike Tech Fleece"/>
    <s v="Hoodie"/>
    <s v="Nike"/>
    <x v="2"/>
    <s v="Casual"/>
    <x v="2"/>
    <x v="4"/>
    <n v="156.22"/>
    <x v="188"/>
    <s v="Wallet"/>
  </r>
  <r>
    <x v="20"/>
    <s v="Yeezy Boost 350"/>
    <s v="Sneakers"/>
    <s v="Adidas"/>
    <x v="2"/>
    <s v="Streetwear"/>
    <x v="0"/>
    <x v="3"/>
    <n v="158.82"/>
    <x v="189"/>
    <s v="UPI"/>
  </r>
  <r>
    <x v="6"/>
    <s v="Off-White Hoodie"/>
    <s v="Hoodie"/>
    <s v="Off-White"/>
    <x v="2"/>
    <s v="Sportswear"/>
    <x v="4"/>
    <x v="4"/>
    <n v="218.91"/>
    <x v="190"/>
    <s v="Wallet"/>
  </r>
  <r>
    <x v="131"/>
    <s v="Supreme Hoodie"/>
    <s v="Hoodie"/>
    <s v="Supreme"/>
    <x v="1"/>
    <s v="Limited Edition"/>
    <x v="3"/>
    <x v="0"/>
    <n v="54.88"/>
    <x v="191"/>
    <s v="Wallet"/>
  </r>
  <r>
    <x v="135"/>
    <s v="New Era Cap"/>
    <s v="Cap"/>
    <s v="New Era"/>
    <x v="1"/>
    <s v="Sportswear"/>
    <x v="5"/>
    <x v="2"/>
    <n v="75.27"/>
    <x v="192"/>
    <s v="Card"/>
  </r>
  <r>
    <x v="136"/>
    <s v="Puma Joggers"/>
    <s v="Joggers"/>
    <s v="Puma"/>
    <x v="2"/>
    <s v="Limited Edition"/>
    <x v="6"/>
    <x v="2"/>
    <n v="144.04"/>
    <x v="193"/>
    <s v="Cash on Delivery"/>
  </r>
  <r>
    <x v="32"/>
    <s v="Jordan 1 High"/>
    <s v="Sneakers"/>
    <s v="Nike"/>
    <x v="2"/>
    <s v="Streetwear"/>
    <x v="2"/>
    <x v="3"/>
    <n v="196.45"/>
    <x v="194"/>
    <s v="UPI"/>
  </r>
  <r>
    <x v="134"/>
    <s v="Nike Dunk Low"/>
    <s v="Sneakers"/>
    <s v="Nike"/>
    <x v="2"/>
    <s v="Limited Edition"/>
    <x v="1"/>
    <x v="4"/>
    <n v="213.66"/>
    <x v="195"/>
    <s v="Card"/>
  </r>
  <r>
    <x v="115"/>
    <s v="Yeezy Boost 350"/>
    <s v="Sneakers"/>
    <s v="Adidas"/>
    <x v="2"/>
    <s v="Streetwear"/>
    <x v="4"/>
    <x v="2"/>
    <n v="164.57"/>
    <x v="196"/>
    <s v="Cash on Delivery"/>
  </r>
  <r>
    <x v="137"/>
    <s v="Jordan 1 High"/>
    <s v="Sneakers"/>
    <s v="Nike"/>
    <x v="2"/>
    <s v="Casual"/>
    <x v="5"/>
    <x v="3"/>
    <n v="203.25"/>
    <x v="197"/>
    <s v="Wallet"/>
  </r>
  <r>
    <x v="138"/>
    <s v="Off-White Hoodie"/>
    <s v="Hoodie"/>
    <s v="Off-White"/>
    <x v="1"/>
    <s v="Sportswear"/>
    <x v="4"/>
    <x v="0"/>
    <n v="91.11"/>
    <x v="198"/>
    <s v="Cash on Delivery"/>
  </r>
  <r>
    <x v="139"/>
    <s v="Off-White Hoodie"/>
    <s v="Hoodie"/>
    <s v="Off-White"/>
    <x v="0"/>
    <s v="Streetwear"/>
    <x v="1"/>
    <x v="4"/>
    <n v="57.92"/>
    <x v="199"/>
    <s v="Cash on Delivery"/>
  </r>
  <r>
    <x v="140"/>
    <s v="Jordan 1 High"/>
    <s v="Sneakers"/>
    <s v="Nike"/>
    <x v="1"/>
    <s v="Limited Edition"/>
    <x v="0"/>
    <x v="4"/>
    <n v="209.3"/>
    <x v="200"/>
    <s v="Wallet"/>
  </r>
  <r>
    <x v="4"/>
    <s v="Adidas Ultraboost"/>
    <s v="Sneakers"/>
    <s v="Adidas"/>
    <x v="0"/>
    <s v="Casual"/>
    <x v="2"/>
    <x v="2"/>
    <n v="112.26"/>
    <x v="201"/>
    <s v="UPI"/>
  </r>
  <r>
    <x v="72"/>
    <s v="Nike Dunk Low"/>
    <s v="Sneakers"/>
    <s v="Nike"/>
    <x v="1"/>
    <s v="Limited Edition"/>
    <x v="5"/>
    <x v="1"/>
    <n v="216.83"/>
    <x v="202"/>
    <s v="UPI"/>
  </r>
  <r>
    <x v="141"/>
    <s v="Puma Joggers"/>
    <s v="Joggers"/>
    <s v="Puma"/>
    <x v="0"/>
    <s v="Limited Edition"/>
    <x v="5"/>
    <x v="0"/>
    <n v="68.52"/>
    <x v="203"/>
    <s v="UPI"/>
  </r>
  <r>
    <x v="75"/>
    <s v="Supreme Hoodie"/>
    <s v="Hoodie"/>
    <s v="Supreme"/>
    <x v="2"/>
    <s v="Casual"/>
    <x v="5"/>
    <x v="2"/>
    <n v="98.04"/>
    <x v="204"/>
    <s v="Cash on Delivery"/>
  </r>
  <r>
    <x v="98"/>
    <s v="Fear of God Essentials Tee"/>
    <s v="T-shirt"/>
    <s v="Essentials"/>
    <x v="2"/>
    <s v="Casual"/>
    <x v="6"/>
    <x v="0"/>
    <n v="204.35"/>
    <x v="205"/>
    <s v="Wallet"/>
  </r>
  <r>
    <x v="142"/>
    <s v="Nike Dunk Low"/>
    <s v="Sneakers"/>
    <s v="Nike"/>
    <x v="1"/>
    <s v="Streetwear"/>
    <x v="2"/>
    <x v="3"/>
    <n v="283.7"/>
    <x v="206"/>
    <s v="Card"/>
  </r>
  <r>
    <x v="83"/>
    <s v="Off-White Hoodie"/>
    <s v="Hoodie"/>
    <s v="Off-White"/>
    <x v="1"/>
    <s v="Limited Edition"/>
    <x v="6"/>
    <x v="3"/>
    <n v="172.52"/>
    <x v="207"/>
    <s v="UPI"/>
  </r>
  <r>
    <x v="143"/>
    <s v="Jordan 1 High"/>
    <s v="Sneakers"/>
    <s v="Nike"/>
    <x v="2"/>
    <s v="Limited Edition"/>
    <x v="1"/>
    <x v="4"/>
    <n v="51.81"/>
    <x v="208"/>
    <s v="Wallet"/>
  </r>
  <r>
    <x v="144"/>
    <s v="Nike Tech Fleece"/>
    <s v="Hoodie"/>
    <s v="Nike"/>
    <x v="2"/>
    <s v="Sportswear"/>
    <x v="0"/>
    <x v="0"/>
    <n v="71.28"/>
    <x v="209"/>
    <s v="Cash on Delivery"/>
  </r>
  <r>
    <x v="28"/>
    <s v="Yeezy Boost 350"/>
    <s v="Sneakers"/>
    <s v="Adidas"/>
    <x v="0"/>
    <s v="Sportswear"/>
    <x v="5"/>
    <x v="1"/>
    <n v="248.44"/>
    <x v="210"/>
    <s v="Cash on Delivery"/>
  </r>
  <r>
    <x v="83"/>
    <s v="Yeezy Boost 350"/>
    <s v="Sneakers"/>
    <s v="Adidas"/>
    <x v="1"/>
    <s v="Sportswear"/>
    <x v="6"/>
    <x v="1"/>
    <n v="107.04"/>
    <x v="211"/>
    <s v="Card"/>
  </r>
  <r>
    <x v="72"/>
    <s v="Puma Joggers"/>
    <s v="Joggers"/>
    <s v="Puma"/>
    <x v="1"/>
    <s v="Sportswear"/>
    <x v="3"/>
    <x v="2"/>
    <n v="132.07"/>
    <x v="212"/>
    <s v="Wallet"/>
  </r>
  <r>
    <x v="145"/>
    <s v="Nike Dunk Low"/>
    <s v="Sneakers"/>
    <s v="Nike"/>
    <x v="2"/>
    <s v="Casual"/>
    <x v="0"/>
    <x v="4"/>
    <n v="118.37"/>
    <x v="213"/>
    <s v="Card"/>
  </r>
  <r>
    <x v="146"/>
    <s v="Nike Tech Fleece"/>
    <s v="Hoodie"/>
    <s v="Nike"/>
    <x v="1"/>
    <s v="Streetwear"/>
    <x v="2"/>
    <x v="0"/>
    <n v="243.74"/>
    <x v="214"/>
    <s v="Wallet"/>
  </r>
  <r>
    <x v="105"/>
    <s v="Nike Dunk Low"/>
    <s v="Sneakers"/>
    <s v="Nike"/>
    <x v="0"/>
    <s v="Limited Edition"/>
    <x v="0"/>
    <x v="0"/>
    <n v="150.02000000000001"/>
    <x v="215"/>
    <s v="Cash on Delivery"/>
  </r>
  <r>
    <x v="16"/>
    <s v="Nike Tech Fleece"/>
    <s v="Hoodie"/>
    <s v="Nike"/>
    <x v="1"/>
    <s v="Streetwear"/>
    <x v="3"/>
    <x v="4"/>
    <n v="73.31"/>
    <x v="216"/>
    <s v="Wallet"/>
  </r>
  <r>
    <x v="4"/>
    <s v="Puma Joggers"/>
    <s v="Joggers"/>
    <s v="Puma"/>
    <x v="2"/>
    <s v="Casual"/>
    <x v="3"/>
    <x v="1"/>
    <n v="176.24"/>
    <x v="217"/>
    <s v="Cash on Delivery"/>
  </r>
  <r>
    <x v="0"/>
    <s v="Adidas Ultraboost"/>
    <s v="Sneakers"/>
    <s v="Adidas"/>
    <x v="1"/>
    <s v="Sportswear"/>
    <x v="4"/>
    <x v="0"/>
    <n v="135.5"/>
    <x v="218"/>
    <s v="UPI"/>
  </r>
  <r>
    <x v="18"/>
    <s v="Fear of God Essentials Tee"/>
    <s v="T-shirt"/>
    <s v="Essentials"/>
    <x v="2"/>
    <s v="Sportswear"/>
    <x v="5"/>
    <x v="3"/>
    <n v="250.12"/>
    <x v="219"/>
    <s v="Card"/>
  </r>
  <r>
    <x v="83"/>
    <s v="Yeezy Boost 350"/>
    <s v="Sneakers"/>
    <s v="Adidas"/>
    <x v="1"/>
    <s v="Casual"/>
    <x v="3"/>
    <x v="3"/>
    <n v="145.88999999999999"/>
    <x v="220"/>
    <s v="Card"/>
  </r>
  <r>
    <x v="21"/>
    <s v="Nike Tech Fleece"/>
    <s v="Hoodie"/>
    <s v="Nike"/>
    <x v="0"/>
    <s v="Casual"/>
    <x v="1"/>
    <x v="3"/>
    <n v="281.54000000000002"/>
    <x v="221"/>
    <s v="Wallet"/>
  </r>
  <r>
    <x v="10"/>
    <s v="Jordan 1 High"/>
    <s v="Sneakers"/>
    <s v="Nike"/>
    <x v="0"/>
    <s v="Casual"/>
    <x v="3"/>
    <x v="3"/>
    <n v="121.42"/>
    <x v="222"/>
    <s v="Card"/>
  </r>
  <r>
    <x v="147"/>
    <s v="Jordan 1 High"/>
    <s v="Sneakers"/>
    <s v="Nike"/>
    <x v="1"/>
    <s v="Streetwear"/>
    <x v="6"/>
    <x v="3"/>
    <n v="265.91000000000003"/>
    <x v="223"/>
    <s v="UPI"/>
  </r>
  <r>
    <x v="148"/>
    <s v="Fear of God Essentials Tee"/>
    <s v="T-shirt"/>
    <s v="Essentials"/>
    <x v="1"/>
    <s v="Limited Edition"/>
    <x v="2"/>
    <x v="2"/>
    <n v="240.42"/>
    <x v="224"/>
    <s v="Card"/>
  </r>
  <r>
    <x v="149"/>
    <s v="Adidas Ultraboost"/>
    <s v="Sneakers"/>
    <s v="Adidas"/>
    <x v="1"/>
    <s v="Sportswear"/>
    <x v="1"/>
    <x v="0"/>
    <n v="275.27"/>
    <x v="225"/>
    <s v="Card"/>
  </r>
  <r>
    <x v="150"/>
    <s v="Supreme Hoodie"/>
    <s v="Hoodie"/>
    <s v="Supreme"/>
    <x v="1"/>
    <s v="Streetwear"/>
    <x v="6"/>
    <x v="4"/>
    <n v="154.79"/>
    <x v="226"/>
    <s v="Card"/>
  </r>
  <r>
    <x v="151"/>
    <s v="Supreme Hoodie"/>
    <s v="Hoodie"/>
    <s v="Supreme"/>
    <x v="0"/>
    <s v="Sportswear"/>
    <x v="6"/>
    <x v="0"/>
    <n v="139"/>
    <x v="227"/>
    <s v="UPI"/>
  </r>
  <r>
    <x v="152"/>
    <s v="Nike Tech Fleece"/>
    <s v="Hoodie"/>
    <s v="Nike"/>
    <x v="0"/>
    <s v="Streetwear"/>
    <x v="3"/>
    <x v="4"/>
    <n v="79.27"/>
    <x v="228"/>
    <s v="Card"/>
  </r>
  <r>
    <x v="153"/>
    <s v="Off-White Hoodie"/>
    <s v="Hoodie"/>
    <s v="Off-White"/>
    <x v="2"/>
    <s v="Casual"/>
    <x v="5"/>
    <x v="1"/>
    <n v="237.1"/>
    <x v="229"/>
    <s v="Cash on Delivery"/>
  </r>
  <r>
    <x v="87"/>
    <s v="Off-White Hoodie"/>
    <s v="Hoodie"/>
    <s v="Off-White"/>
    <x v="2"/>
    <s v="Casual"/>
    <x v="4"/>
    <x v="3"/>
    <n v="228.46"/>
    <x v="230"/>
    <s v="Cash on Delivery"/>
  </r>
  <r>
    <x v="136"/>
    <s v="Supreme Hoodie"/>
    <s v="Hoodie"/>
    <s v="Supreme"/>
    <x v="2"/>
    <s v="Sportswear"/>
    <x v="5"/>
    <x v="3"/>
    <n v="52.42"/>
    <x v="231"/>
    <s v="Wallet"/>
  </r>
  <r>
    <x v="12"/>
    <s v="Nike Dunk Low"/>
    <s v="Sneakers"/>
    <s v="Nike"/>
    <x v="2"/>
    <s v="Limited Edition"/>
    <x v="0"/>
    <x v="4"/>
    <n v="270.52"/>
    <x v="232"/>
    <s v="UPI"/>
  </r>
  <r>
    <x v="149"/>
    <s v="Jordan 1 High"/>
    <s v="Sneakers"/>
    <s v="Nike"/>
    <x v="0"/>
    <s v="Limited Edition"/>
    <x v="4"/>
    <x v="3"/>
    <n v="119.36"/>
    <x v="233"/>
    <s v="Cash on Delivery"/>
  </r>
  <r>
    <x v="154"/>
    <s v="New Era Cap"/>
    <s v="Cap"/>
    <s v="New Era"/>
    <x v="1"/>
    <s v="Limited Edition"/>
    <x v="4"/>
    <x v="4"/>
    <n v="125.26"/>
    <x v="234"/>
    <s v="Wallet"/>
  </r>
  <r>
    <x v="53"/>
    <s v="Off-White Hoodie"/>
    <s v="Hoodie"/>
    <s v="Off-White"/>
    <x v="1"/>
    <s v="Casual"/>
    <x v="5"/>
    <x v="4"/>
    <n v="296.55"/>
    <x v="235"/>
    <s v="Card"/>
  </r>
  <r>
    <x v="116"/>
    <s v="Puma Joggers"/>
    <s v="Joggers"/>
    <s v="Puma"/>
    <x v="1"/>
    <s v="Casual"/>
    <x v="4"/>
    <x v="2"/>
    <n v="56.73"/>
    <x v="236"/>
    <s v="Wallet"/>
  </r>
  <r>
    <x v="155"/>
    <s v="Supreme Hoodie"/>
    <s v="Hoodie"/>
    <s v="Supreme"/>
    <x v="0"/>
    <s v="Casual"/>
    <x v="4"/>
    <x v="2"/>
    <n v="91.56"/>
    <x v="237"/>
    <s v="UPI"/>
  </r>
  <r>
    <x v="156"/>
    <s v="New Era Cap"/>
    <s v="Cap"/>
    <s v="New Era"/>
    <x v="1"/>
    <s v="Streetwear"/>
    <x v="1"/>
    <x v="1"/>
    <n v="152.54"/>
    <x v="238"/>
    <s v="Card"/>
  </r>
  <r>
    <x v="157"/>
    <s v="New Era Cap"/>
    <s v="Cap"/>
    <s v="New Era"/>
    <x v="1"/>
    <s v="Casual"/>
    <x v="3"/>
    <x v="3"/>
    <n v="61.37"/>
    <x v="239"/>
    <s v="Cash on Delivery"/>
  </r>
  <r>
    <x v="82"/>
    <s v="Off-White Hoodie"/>
    <s v="Hoodie"/>
    <s v="Off-White"/>
    <x v="2"/>
    <s v="Streetwear"/>
    <x v="0"/>
    <x v="4"/>
    <n v="162.36000000000001"/>
    <x v="240"/>
    <s v="Wallet"/>
  </r>
  <r>
    <x v="49"/>
    <s v="Supreme Hoodie"/>
    <s v="Hoodie"/>
    <s v="Supreme"/>
    <x v="2"/>
    <s v="Streetwear"/>
    <x v="1"/>
    <x v="1"/>
    <n v="257.5"/>
    <x v="241"/>
    <s v="UPI"/>
  </r>
  <r>
    <x v="158"/>
    <s v="Nike Dunk Low"/>
    <s v="Sneakers"/>
    <s v="Nike"/>
    <x v="1"/>
    <s v="Casual"/>
    <x v="2"/>
    <x v="3"/>
    <n v="202.28"/>
    <x v="242"/>
    <s v="Card"/>
  </r>
  <r>
    <x v="45"/>
    <s v="New Era Cap"/>
    <s v="Cap"/>
    <s v="New Era"/>
    <x v="0"/>
    <s v="Casual"/>
    <x v="6"/>
    <x v="2"/>
    <n v="224.83"/>
    <x v="243"/>
    <s v="Cash on Delivery"/>
  </r>
  <r>
    <x v="16"/>
    <s v="Puma Joggers"/>
    <s v="Joggers"/>
    <s v="Puma"/>
    <x v="2"/>
    <s v="Streetwear"/>
    <x v="5"/>
    <x v="4"/>
    <n v="256.27"/>
    <x v="244"/>
    <s v="Cash on Delivery"/>
  </r>
  <r>
    <x v="159"/>
    <s v="Yeezy Boost 350"/>
    <s v="Sneakers"/>
    <s v="Adidas"/>
    <x v="1"/>
    <s v="Limited Edition"/>
    <x v="4"/>
    <x v="1"/>
    <n v="277.26"/>
    <x v="245"/>
    <s v="UPI"/>
  </r>
  <r>
    <x v="157"/>
    <s v="Puma Joggers"/>
    <s v="Joggers"/>
    <s v="Puma"/>
    <x v="0"/>
    <s v="Streetwear"/>
    <x v="5"/>
    <x v="4"/>
    <n v="271.19"/>
    <x v="246"/>
    <s v="Cash on Delivery"/>
  </r>
  <r>
    <x v="160"/>
    <s v="Off-White Hoodie"/>
    <s v="Hoodie"/>
    <s v="Off-White"/>
    <x v="2"/>
    <s v="Streetwear"/>
    <x v="5"/>
    <x v="4"/>
    <n v="205.62"/>
    <x v="247"/>
    <s v="Wallet"/>
  </r>
  <r>
    <x v="161"/>
    <s v="Jordan 1 High"/>
    <s v="Sneakers"/>
    <s v="Nike"/>
    <x v="2"/>
    <s v="Streetwear"/>
    <x v="1"/>
    <x v="3"/>
    <n v="130.97"/>
    <x v="248"/>
    <s v="Card"/>
  </r>
  <r>
    <x v="159"/>
    <s v="Fear of God Essentials Tee"/>
    <s v="T-shirt"/>
    <s v="Essentials"/>
    <x v="2"/>
    <s v="Streetwear"/>
    <x v="5"/>
    <x v="0"/>
    <n v="267.70999999999998"/>
    <x v="249"/>
    <s v="Cash on Delivery"/>
  </r>
  <r>
    <x v="162"/>
    <s v="Nike Dunk Low"/>
    <s v="Sneakers"/>
    <s v="Nike"/>
    <x v="2"/>
    <s v="Sportswear"/>
    <x v="1"/>
    <x v="3"/>
    <n v="151.37"/>
    <x v="250"/>
    <s v="UPI"/>
  </r>
  <r>
    <x v="82"/>
    <s v="Off-White Hoodie"/>
    <s v="Hoodie"/>
    <s v="Off-White"/>
    <x v="2"/>
    <s v="Sportswear"/>
    <x v="5"/>
    <x v="0"/>
    <n v="89.84"/>
    <x v="251"/>
    <s v="Wallet"/>
  </r>
  <r>
    <x v="163"/>
    <s v="Puma Joggers"/>
    <s v="Joggers"/>
    <s v="Puma"/>
    <x v="2"/>
    <s v="Streetwear"/>
    <x v="5"/>
    <x v="2"/>
    <n v="276.64"/>
    <x v="252"/>
    <s v="Card"/>
  </r>
  <r>
    <x v="124"/>
    <s v="Puma Joggers"/>
    <s v="Joggers"/>
    <s v="Puma"/>
    <x v="0"/>
    <s v="Limited Edition"/>
    <x v="6"/>
    <x v="4"/>
    <n v="203.41"/>
    <x v="253"/>
    <s v="Card"/>
  </r>
  <r>
    <x v="26"/>
    <s v="Nike Tech Fleece"/>
    <s v="Hoodie"/>
    <s v="Nike"/>
    <x v="2"/>
    <s v="Limited Edition"/>
    <x v="4"/>
    <x v="1"/>
    <n v="195.85"/>
    <x v="254"/>
    <s v="Wallet"/>
  </r>
  <r>
    <x v="58"/>
    <s v="Puma Joggers"/>
    <s v="Joggers"/>
    <s v="Puma"/>
    <x v="2"/>
    <s v="Sportswear"/>
    <x v="3"/>
    <x v="1"/>
    <n v="288.87"/>
    <x v="255"/>
    <s v="UPI"/>
  </r>
  <r>
    <x v="46"/>
    <s v="Nike Tech Fleece"/>
    <s v="Hoodie"/>
    <s v="Nike"/>
    <x v="2"/>
    <s v="Sportswear"/>
    <x v="3"/>
    <x v="2"/>
    <n v="65.45"/>
    <x v="256"/>
    <s v="Cash on Delivery"/>
  </r>
  <r>
    <x v="164"/>
    <s v="Yeezy Boost 350"/>
    <s v="Sneakers"/>
    <s v="Adidas"/>
    <x v="0"/>
    <s v="Casual"/>
    <x v="1"/>
    <x v="2"/>
    <n v="202.42"/>
    <x v="257"/>
    <s v="Wallet"/>
  </r>
  <r>
    <x v="165"/>
    <s v="Nike Tech Fleece"/>
    <s v="Hoodie"/>
    <s v="Nike"/>
    <x v="2"/>
    <s v="Streetwear"/>
    <x v="3"/>
    <x v="1"/>
    <n v="51.11"/>
    <x v="258"/>
    <s v="Cash on Delivery"/>
  </r>
  <r>
    <x v="37"/>
    <s v="New Era Cap"/>
    <s v="Cap"/>
    <s v="New Era"/>
    <x v="2"/>
    <s v="Limited Edition"/>
    <x v="0"/>
    <x v="2"/>
    <n v="292.68"/>
    <x v="259"/>
    <s v="UPI"/>
  </r>
  <r>
    <x v="26"/>
    <s v="Puma Joggers"/>
    <s v="Joggers"/>
    <s v="Puma"/>
    <x v="1"/>
    <s v="Casual"/>
    <x v="1"/>
    <x v="1"/>
    <n v="175.51"/>
    <x v="260"/>
    <s v="UPI"/>
  </r>
  <r>
    <x v="36"/>
    <s v="Yeezy Boost 350"/>
    <s v="Sneakers"/>
    <s v="Adidas"/>
    <x v="1"/>
    <s v="Sportswear"/>
    <x v="2"/>
    <x v="3"/>
    <n v="211.37"/>
    <x v="261"/>
    <s v="Card"/>
  </r>
  <r>
    <x v="111"/>
    <s v="Nike Tech Fleece"/>
    <s v="Hoodie"/>
    <s v="Nike"/>
    <x v="0"/>
    <s v="Casual"/>
    <x v="2"/>
    <x v="2"/>
    <n v="209.78"/>
    <x v="262"/>
    <s v="UPI"/>
  </r>
  <r>
    <x v="166"/>
    <s v="Nike Dunk Low"/>
    <s v="Sneakers"/>
    <s v="Nike"/>
    <x v="0"/>
    <s v="Casual"/>
    <x v="6"/>
    <x v="2"/>
    <n v="59.85"/>
    <x v="263"/>
    <s v="Wallet"/>
  </r>
  <r>
    <x v="34"/>
    <s v="Nike Dunk Low"/>
    <s v="Sneakers"/>
    <s v="Nike"/>
    <x v="0"/>
    <s v="Streetwear"/>
    <x v="5"/>
    <x v="4"/>
    <n v="156.27000000000001"/>
    <x v="264"/>
    <s v="UPI"/>
  </r>
  <r>
    <x v="31"/>
    <s v="Yeezy Boost 350"/>
    <s v="Sneakers"/>
    <s v="Adidas"/>
    <x v="0"/>
    <s v="Limited Edition"/>
    <x v="3"/>
    <x v="1"/>
    <n v="175"/>
    <x v="265"/>
    <s v="Card"/>
  </r>
  <r>
    <x v="167"/>
    <s v="Off-White Hoodie"/>
    <s v="Hoodie"/>
    <s v="Off-White"/>
    <x v="2"/>
    <s v="Casual"/>
    <x v="4"/>
    <x v="1"/>
    <n v="88"/>
    <x v="266"/>
    <s v="Wallet"/>
  </r>
  <r>
    <x v="103"/>
    <s v="Nike Dunk Low"/>
    <s v="Sneakers"/>
    <s v="Nike"/>
    <x v="2"/>
    <s v="Casual"/>
    <x v="4"/>
    <x v="3"/>
    <n v="293.33"/>
    <x v="267"/>
    <s v="Card"/>
  </r>
  <r>
    <x v="34"/>
    <s v="Nike Dunk Low"/>
    <s v="Sneakers"/>
    <s v="Nike"/>
    <x v="0"/>
    <s v="Limited Edition"/>
    <x v="2"/>
    <x v="0"/>
    <n v="285.37"/>
    <x v="268"/>
    <s v="UPI"/>
  </r>
  <r>
    <x v="168"/>
    <s v="Off-White Hoodie"/>
    <s v="Hoodie"/>
    <s v="Off-White"/>
    <x v="1"/>
    <s v="Sportswear"/>
    <x v="1"/>
    <x v="0"/>
    <n v="220.59"/>
    <x v="269"/>
    <s v="Wallet"/>
  </r>
  <r>
    <x v="117"/>
    <s v="Nike Dunk Low"/>
    <s v="Sneakers"/>
    <s v="Nike"/>
    <x v="2"/>
    <s v="Streetwear"/>
    <x v="3"/>
    <x v="0"/>
    <n v="214"/>
    <x v="270"/>
    <s v="Wallet"/>
  </r>
  <r>
    <x v="18"/>
    <s v="Yeezy Boost 350"/>
    <s v="Sneakers"/>
    <s v="Adidas"/>
    <x v="0"/>
    <s v="Limited Edition"/>
    <x v="2"/>
    <x v="0"/>
    <n v="208.24"/>
    <x v="271"/>
    <s v="Card"/>
  </r>
  <r>
    <x v="20"/>
    <s v="Supreme Hoodie"/>
    <s v="Hoodie"/>
    <s v="Supreme"/>
    <x v="0"/>
    <s v="Casual"/>
    <x v="2"/>
    <x v="3"/>
    <n v="133.69999999999999"/>
    <x v="272"/>
    <s v="UPI"/>
  </r>
  <r>
    <x v="169"/>
    <s v="Fear of God Essentials Tee"/>
    <s v="T-shirt"/>
    <s v="Essentials"/>
    <x v="2"/>
    <s v="Casual"/>
    <x v="6"/>
    <x v="1"/>
    <n v="158.69999999999999"/>
    <x v="273"/>
    <s v="Wallet"/>
  </r>
  <r>
    <x v="170"/>
    <s v="Nike Tech Fleece"/>
    <s v="Hoodie"/>
    <s v="Nike"/>
    <x v="1"/>
    <s v="Streetwear"/>
    <x v="4"/>
    <x v="1"/>
    <n v="244.13"/>
    <x v="274"/>
    <s v="Cash on Delivery"/>
  </r>
  <r>
    <x v="171"/>
    <s v="Nike Tech Fleece"/>
    <s v="Hoodie"/>
    <s v="Nike"/>
    <x v="1"/>
    <s v="Casual"/>
    <x v="3"/>
    <x v="0"/>
    <n v="147.99"/>
    <x v="275"/>
    <s v="UPI"/>
  </r>
  <r>
    <x v="120"/>
    <s v="Fear of God Essentials Tee"/>
    <s v="T-shirt"/>
    <s v="Essentials"/>
    <x v="0"/>
    <s v="Casual"/>
    <x v="0"/>
    <x v="2"/>
    <n v="157.81"/>
    <x v="276"/>
    <s v="Cash on Delivery"/>
  </r>
  <r>
    <x v="23"/>
    <s v="Puma Joggers"/>
    <s v="Joggers"/>
    <s v="Puma"/>
    <x v="0"/>
    <s v="Streetwear"/>
    <x v="2"/>
    <x v="1"/>
    <n v="212.76"/>
    <x v="277"/>
    <s v="Wallet"/>
  </r>
  <r>
    <x v="134"/>
    <s v="Adidas Ultraboost"/>
    <s v="Sneakers"/>
    <s v="Adidas"/>
    <x v="1"/>
    <s v="Casual"/>
    <x v="3"/>
    <x v="4"/>
    <n v="225.9"/>
    <x v="278"/>
    <s v="Wallet"/>
  </r>
  <r>
    <x v="114"/>
    <s v="New Era Cap"/>
    <s v="Cap"/>
    <s v="New Era"/>
    <x v="2"/>
    <s v="Streetwear"/>
    <x v="5"/>
    <x v="4"/>
    <n v="112.98"/>
    <x v="279"/>
    <s v="Wallet"/>
  </r>
  <r>
    <x v="138"/>
    <s v="New Era Cap"/>
    <s v="Cap"/>
    <s v="New Era"/>
    <x v="0"/>
    <s v="Casual"/>
    <x v="5"/>
    <x v="1"/>
    <n v="100.84"/>
    <x v="280"/>
    <s v="Cash on Delivery"/>
  </r>
  <r>
    <x v="97"/>
    <s v="Jordan 1 High"/>
    <s v="Sneakers"/>
    <s v="Nike"/>
    <x v="1"/>
    <s v="Casual"/>
    <x v="5"/>
    <x v="3"/>
    <n v="292.75"/>
    <x v="281"/>
    <s v="Wallet"/>
  </r>
  <r>
    <x v="13"/>
    <s v="Nike Tech Fleece"/>
    <s v="Hoodie"/>
    <s v="Nike"/>
    <x v="2"/>
    <s v="Streetwear"/>
    <x v="4"/>
    <x v="4"/>
    <n v="82.62"/>
    <x v="282"/>
    <s v="Cash on Delivery"/>
  </r>
  <r>
    <x v="172"/>
    <s v="Off-White Hoodie"/>
    <s v="Hoodie"/>
    <s v="Off-White"/>
    <x v="2"/>
    <s v="Sportswear"/>
    <x v="3"/>
    <x v="4"/>
    <n v="246.13"/>
    <x v="283"/>
    <s v="UPI"/>
  </r>
  <r>
    <x v="144"/>
    <s v="Nike Dunk Low"/>
    <s v="Sneakers"/>
    <s v="Nike"/>
    <x v="2"/>
    <s v="Streetwear"/>
    <x v="2"/>
    <x v="3"/>
    <n v="168.01"/>
    <x v="284"/>
    <s v="Wallet"/>
  </r>
  <r>
    <x v="12"/>
    <s v="Adidas Ultraboost"/>
    <s v="Sneakers"/>
    <s v="Adidas"/>
    <x v="2"/>
    <s v="Sportswear"/>
    <x v="0"/>
    <x v="2"/>
    <n v="93.08"/>
    <x v="285"/>
    <s v="Wallet"/>
  </r>
  <r>
    <x v="173"/>
    <s v="Off-White Hoodie"/>
    <s v="Hoodie"/>
    <s v="Off-White"/>
    <x v="1"/>
    <s v="Limited Edition"/>
    <x v="3"/>
    <x v="4"/>
    <n v="161.55000000000001"/>
    <x v="286"/>
    <s v="UPI"/>
  </r>
  <r>
    <x v="24"/>
    <s v="New Era Cap"/>
    <s v="Cap"/>
    <s v="New Era"/>
    <x v="2"/>
    <s v="Casual"/>
    <x v="2"/>
    <x v="4"/>
    <n v="228.84"/>
    <x v="287"/>
    <s v="UPI"/>
  </r>
  <r>
    <x v="174"/>
    <s v="Off-White Hoodie"/>
    <s v="Hoodie"/>
    <s v="Off-White"/>
    <x v="1"/>
    <s v="Sportswear"/>
    <x v="1"/>
    <x v="3"/>
    <n v="221.31"/>
    <x v="288"/>
    <s v="Card"/>
  </r>
  <r>
    <x v="32"/>
    <s v="New Era Cap"/>
    <s v="Cap"/>
    <s v="New Era"/>
    <x v="1"/>
    <s v="Sportswear"/>
    <x v="4"/>
    <x v="1"/>
    <n v="287.68"/>
    <x v="289"/>
    <s v="Cash on Delivery"/>
  </r>
  <r>
    <x v="105"/>
    <s v="Nike Dunk Low"/>
    <s v="Sneakers"/>
    <s v="Nike"/>
    <x v="1"/>
    <s v="Limited Edition"/>
    <x v="4"/>
    <x v="0"/>
    <n v="168.7"/>
    <x v="290"/>
    <s v="Wallet"/>
  </r>
  <r>
    <x v="89"/>
    <s v="Fear of God Essentials Tee"/>
    <s v="T-shirt"/>
    <s v="Essentials"/>
    <x v="1"/>
    <s v="Streetwear"/>
    <x v="4"/>
    <x v="4"/>
    <n v="153.82"/>
    <x v="291"/>
    <s v="Cash on Delivery"/>
  </r>
  <r>
    <x v="39"/>
    <s v="Adidas Ultraboost"/>
    <s v="Sneakers"/>
    <s v="Adidas"/>
    <x v="0"/>
    <s v="Casual"/>
    <x v="0"/>
    <x v="3"/>
    <n v="281"/>
    <x v="292"/>
    <s v="UPI"/>
  </r>
  <r>
    <x v="175"/>
    <s v="Puma Joggers"/>
    <s v="Joggers"/>
    <s v="Puma"/>
    <x v="1"/>
    <s v="Streetwear"/>
    <x v="6"/>
    <x v="0"/>
    <n v="112.4"/>
    <x v="293"/>
    <s v="Wallet"/>
  </r>
  <r>
    <x v="102"/>
    <s v="Off-White Hoodie"/>
    <s v="Hoodie"/>
    <s v="Off-White"/>
    <x v="0"/>
    <s v="Limited Edition"/>
    <x v="5"/>
    <x v="2"/>
    <n v="233.16"/>
    <x v="294"/>
    <s v="Cash on Delivery"/>
  </r>
  <r>
    <x v="107"/>
    <s v="Yeezy Boost 350"/>
    <s v="Sneakers"/>
    <s v="Adidas"/>
    <x v="0"/>
    <s v="Sportswear"/>
    <x v="1"/>
    <x v="0"/>
    <n v="248.71"/>
    <x v="295"/>
    <s v="Wallet"/>
  </r>
  <r>
    <x v="66"/>
    <s v="Nike Tech Fleece"/>
    <s v="Hoodie"/>
    <s v="Nike"/>
    <x v="2"/>
    <s v="Casual"/>
    <x v="3"/>
    <x v="0"/>
    <n v="157.19999999999999"/>
    <x v="296"/>
    <s v="Wallet"/>
  </r>
  <r>
    <x v="87"/>
    <s v="Yeezy Boost 350"/>
    <s v="Sneakers"/>
    <s v="Adidas"/>
    <x v="2"/>
    <s v="Limited Edition"/>
    <x v="3"/>
    <x v="3"/>
    <n v="113.75"/>
    <x v="297"/>
    <s v="Wallet"/>
  </r>
  <r>
    <x v="176"/>
    <s v="Yeezy Boost 350"/>
    <s v="Sneakers"/>
    <s v="Adidas"/>
    <x v="1"/>
    <s v="Streetwear"/>
    <x v="2"/>
    <x v="2"/>
    <n v="109.66"/>
    <x v="298"/>
    <s v="Cash on Delivery"/>
  </r>
  <r>
    <x v="73"/>
    <s v="Puma Joggers"/>
    <s v="Joggers"/>
    <s v="Puma"/>
    <x v="1"/>
    <s v="Casual"/>
    <x v="6"/>
    <x v="2"/>
    <n v="81.569999999999993"/>
    <x v="299"/>
    <s v="UPI"/>
  </r>
  <r>
    <x v="13"/>
    <s v="Fear of God Essentials Tee"/>
    <s v="T-shirt"/>
    <s v="Essentials"/>
    <x v="2"/>
    <s v="Casual"/>
    <x v="5"/>
    <x v="1"/>
    <n v="247.2"/>
    <x v="300"/>
    <s v="UPI"/>
  </r>
  <r>
    <x v="177"/>
    <s v="Puma Joggers"/>
    <s v="Joggers"/>
    <s v="Puma"/>
    <x v="1"/>
    <s v="Sportswear"/>
    <x v="0"/>
    <x v="3"/>
    <n v="250.26"/>
    <x v="301"/>
    <s v="Card"/>
  </r>
  <r>
    <x v="178"/>
    <s v="Adidas Ultraboost"/>
    <s v="Sneakers"/>
    <s v="Adidas"/>
    <x v="0"/>
    <s v="Sportswear"/>
    <x v="2"/>
    <x v="2"/>
    <n v="137.19999999999999"/>
    <x v="302"/>
    <s v="Card"/>
  </r>
  <r>
    <x v="43"/>
    <s v="Adidas Ultraboost"/>
    <s v="Sneakers"/>
    <s v="Adidas"/>
    <x v="1"/>
    <s v="Streetwear"/>
    <x v="5"/>
    <x v="4"/>
    <n v="164.06"/>
    <x v="303"/>
    <s v="UPI"/>
  </r>
  <r>
    <x v="80"/>
    <s v="Off-White Hoodie"/>
    <s v="Hoodie"/>
    <s v="Off-White"/>
    <x v="0"/>
    <s v="Streetwear"/>
    <x v="1"/>
    <x v="3"/>
    <n v="198.45"/>
    <x v="304"/>
    <s v="Wallet"/>
  </r>
  <r>
    <x v="84"/>
    <s v="Puma Joggers"/>
    <s v="Joggers"/>
    <s v="Puma"/>
    <x v="0"/>
    <s v="Limited Edition"/>
    <x v="2"/>
    <x v="1"/>
    <n v="162.47999999999999"/>
    <x v="305"/>
    <s v="Cash on Delivery"/>
  </r>
  <r>
    <x v="116"/>
    <s v="Supreme Hoodie"/>
    <s v="Hoodie"/>
    <s v="Supreme"/>
    <x v="2"/>
    <s v="Casual"/>
    <x v="4"/>
    <x v="3"/>
    <n v="243.48"/>
    <x v="306"/>
    <s v="Wallet"/>
  </r>
  <r>
    <x v="26"/>
    <s v="Nike Dunk Low"/>
    <s v="Sneakers"/>
    <s v="Nike"/>
    <x v="1"/>
    <s v="Limited Edition"/>
    <x v="4"/>
    <x v="3"/>
    <n v="183.4"/>
    <x v="307"/>
    <s v="Card"/>
  </r>
  <r>
    <x v="67"/>
    <s v="Off-White Hoodie"/>
    <s v="Hoodie"/>
    <s v="Off-White"/>
    <x v="2"/>
    <s v="Streetwear"/>
    <x v="4"/>
    <x v="2"/>
    <n v="271.44"/>
    <x v="308"/>
    <s v="Cash on Delivery"/>
  </r>
  <r>
    <x v="106"/>
    <s v="Off-White Hoodie"/>
    <s v="Hoodie"/>
    <s v="Off-White"/>
    <x v="0"/>
    <s v="Limited Edition"/>
    <x v="1"/>
    <x v="1"/>
    <n v="135.47999999999999"/>
    <x v="309"/>
    <s v="Cash on Delivery"/>
  </r>
  <r>
    <x v="179"/>
    <s v="Fear of God Essentials Tee"/>
    <s v="T-shirt"/>
    <s v="Essentials"/>
    <x v="2"/>
    <s v="Sportswear"/>
    <x v="0"/>
    <x v="0"/>
    <n v="148.46"/>
    <x v="310"/>
    <s v="Card"/>
  </r>
  <r>
    <x v="40"/>
    <s v="New Era Cap"/>
    <s v="Cap"/>
    <s v="New Era"/>
    <x v="2"/>
    <s v="Casual"/>
    <x v="5"/>
    <x v="0"/>
    <n v="251.06"/>
    <x v="311"/>
    <s v="UPI"/>
  </r>
  <r>
    <x v="104"/>
    <s v="New Era Cap"/>
    <s v="Cap"/>
    <s v="New Era"/>
    <x v="0"/>
    <s v="Streetwear"/>
    <x v="2"/>
    <x v="1"/>
    <n v="195.41"/>
    <x v="312"/>
    <s v="Card"/>
  </r>
  <r>
    <x v="41"/>
    <s v="Yeezy Boost 350"/>
    <s v="Sneakers"/>
    <s v="Adidas"/>
    <x v="0"/>
    <s v="Limited Edition"/>
    <x v="6"/>
    <x v="3"/>
    <n v="206.29"/>
    <x v="313"/>
    <s v="Wallet"/>
  </r>
  <r>
    <x v="138"/>
    <s v="New Era Cap"/>
    <s v="Cap"/>
    <s v="New Era"/>
    <x v="1"/>
    <s v="Streetwear"/>
    <x v="0"/>
    <x v="3"/>
    <n v="146.09"/>
    <x v="314"/>
    <s v="Cash on Delivery"/>
  </r>
  <r>
    <x v="66"/>
    <s v="Yeezy Boost 350"/>
    <s v="Sneakers"/>
    <s v="Adidas"/>
    <x v="1"/>
    <s v="Limited Edition"/>
    <x v="1"/>
    <x v="2"/>
    <n v="284.3"/>
    <x v="315"/>
    <s v="Card"/>
  </r>
  <r>
    <x v="173"/>
    <s v="Puma Joggers"/>
    <s v="Joggers"/>
    <s v="Puma"/>
    <x v="0"/>
    <s v="Limited Edition"/>
    <x v="3"/>
    <x v="0"/>
    <n v="289.47000000000003"/>
    <x v="316"/>
    <s v="Card"/>
  </r>
  <r>
    <x v="180"/>
    <s v="Nike Tech Fleece"/>
    <s v="Hoodie"/>
    <s v="Nike"/>
    <x v="1"/>
    <s v="Sportswear"/>
    <x v="4"/>
    <x v="1"/>
    <n v="218.25"/>
    <x v="317"/>
    <s v="Wallet"/>
  </r>
  <r>
    <x v="63"/>
    <s v="Jordan 1 High"/>
    <s v="Sneakers"/>
    <s v="Nike"/>
    <x v="2"/>
    <s v="Streetwear"/>
    <x v="6"/>
    <x v="3"/>
    <n v="204.62"/>
    <x v="318"/>
    <s v="Wallet"/>
  </r>
  <r>
    <x v="118"/>
    <s v="Puma Joggers"/>
    <s v="Joggers"/>
    <s v="Puma"/>
    <x v="1"/>
    <s v="Limited Edition"/>
    <x v="0"/>
    <x v="1"/>
    <n v="267.42"/>
    <x v="319"/>
    <s v="Cash on Delivery"/>
  </r>
  <r>
    <x v="16"/>
    <s v="Supreme Hoodie"/>
    <s v="Hoodie"/>
    <s v="Supreme"/>
    <x v="2"/>
    <s v="Casual"/>
    <x v="2"/>
    <x v="2"/>
    <n v="144.59"/>
    <x v="320"/>
    <s v="UPI"/>
  </r>
  <r>
    <x v="181"/>
    <s v="Yeezy Boost 350"/>
    <s v="Sneakers"/>
    <s v="Adidas"/>
    <x v="2"/>
    <s v="Sportswear"/>
    <x v="5"/>
    <x v="1"/>
    <n v="80.47"/>
    <x v="321"/>
    <s v="Card"/>
  </r>
  <r>
    <x v="27"/>
    <s v="Nike Tech Fleece"/>
    <s v="Hoodie"/>
    <s v="Nike"/>
    <x v="2"/>
    <s v="Casual"/>
    <x v="5"/>
    <x v="1"/>
    <n v="98.17"/>
    <x v="322"/>
    <s v="Card"/>
  </r>
  <r>
    <x v="93"/>
    <s v="Off-White Hoodie"/>
    <s v="Hoodie"/>
    <s v="Off-White"/>
    <x v="2"/>
    <s v="Sportswear"/>
    <x v="4"/>
    <x v="1"/>
    <n v="63.76"/>
    <x v="323"/>
    <s v="Cash on Delivery"/>
  </r>
  <r>
    <x v="119"/>
    <s v="Supreme Hoodie"/>
    <s v="Hoodie"/>
    <s v="Supreme"/>
    <x v="2"/>
    <s v="Casual"/>
    <x v="4"/>
    <x v="1"/>
    <n v="157.12"/>
    <x v="324"/>
    <s v="Card"/>
  </r>
  <r>
    <x v="182"/>
    <s v="Supreme Hoodie"/>
    <s v="Hoodie"/>
    <s v="Supreme"/>
    <x v="1"/>
    <s v="Casual"/>
    <x v="2"/>
    <x v="0"/>
    <n v="293.20999999999998"/>
    <x v="325"/>
    <s v="Cash on Delivery"/>
  </r>
  <r>
    <x v="123"/>
    <s v="Off-White Hoodie"/>
    <s v="Hoodie"/>
    <s v="Off-White"/>
    <x v="2"/>
    <s v="Streetwear"/>
    <x v="4"/>
    <x v="1"/>
    <n v="142.25"/>
    <x v="326"/>
    <s v="UPI"/>
  </r>
  <r>
    <x v="103"/>
    <s v="Off-White Hoodie"/>
    <s v="Hoodie"/>
    <s v="Off-White"/>
    <x v="2"/>
    <s v="Sportswear"/>
    <x v="0"/>
    <x v="2"/>
    <n v="86.17"/>
    <x v="327"/>
    <s v="Wallet"/>
  </r>
  <r>
    <x v="145"/>
    <s v="Nike Tech Fleece"/>
    <s v="Hoodie"/>
    <s v="Nike"/>
    <x v="1"/>
    <s v="Limited Edition"/>
    <x v="5"/>
    <x v="4"/>
    <n v="172.37"/>
    <x v="328"/>
    <s v="Card"/>
  </r>
  <r>
    <x v="183"/>
    <s v="Off-White Hoodie"/>
    <s v="Hoodie"/>
    <s v="Off-White"/>
    <x v="2"/>
    <s v="Sportswear"/>
    <x v="6"/>
    <x v="4"/>
    <n v="236.05"/>
    <x v="329"/>
    <s v="UPI"/>
  </r>
  <r>
    <x v="17"/>
    <s v="Nike Tech Fleece"/>
    <s v="Hoodie"/>
    <s v="Nike"/>
    <x v="2"/>
    <s v="Streetwear"/>
    <x v="4"/>
    <x v="4"/>
    <n v="256.72000000000003"/>
    <x v="330"/>
    <s v="UPI"/>
  </r>
  <r>
    <x v="53"/>
    <s v="Nike Dunk Low"/>
    <s v="Sneakers"/>
    <s v="Nike"/>
    <x v="2"/>
    <s v="Limited Edition"/>
    <x v="4"/>
    <x v="3"/>
    <n v="205.64"/>
    <x v="331"/>
    <s v="Wallet"/>
  </r>
  <r>
    <x v="110"/>
    <s v="Off-White Hoodie"/>
    <s v="Hoodie"/>
    <s v="Off-White"/>
    <x v="2"/>
    <s v="Streetwear"/>
    <x v="2"/>
    <x v="3"/>
    <n v="68.180000000000007"/>
    <x v="332"/>
    <s v="Cash on Delivery"/>
  </r>
  <r>
    <x v="55"/>
    <s v="New Era Cap"/>
    <s v="Cap"/>
    <s v="New Era"/>
    <x v="2"/>
    <s v="Limited Edition"/>
    <x v="3"/>
    <x v="3"/>
    <n v="68.97"/>
    <x v="333"/>
    <s v="Card"/>
  </r>
  <r>
    <x v="73"/>
    <s v="Nike Tech Fleece"/>
    <s v="Hoodie"/>
    <s v="Nike"/>
    <x v="0"/>
    <s v="Limited Edition"/>
    <x v="2"/>
    <x v="0"/>
    <n v="123.23"/>
    <x v="334"/>
    <s v="Wallet"/>
  </r>
  <r>
    <x v="169"/>
    <s v="Nike Dunk Low"/>
    <s v="Sneakers"/>
    <s v="Nike"/>
    <x v="1"/>
    <s v="Streetwear"/>
    <x v="3"/>
    <x v="0"/>
    <n v="273"/>
    <x v="335"/>
    <s v="Card"/>
  </r>
  <r>
    <x v="184"/>
    <s v="Yeezy Boost 350"/>
    <s v="Sneakers"/>
    <s v="Adidas"/>
    <x v="1"/>
    <s v="Casual"/>
    <x v="5"/>
    <x v="4"/>
    <n v="225.84"/>
    <x v="336"/>
    <s v="Card"/>
  </r>
  <r>
    <x v="106"/>
    <s v="Jordan 1 High"/>
    <s v="Sneakers"/>
    <s v="Nike"/>
    <x v="1"/>
    <s v="Sportswear"/>
    <x v="5"/>
    <x v="4"/>
    <n v="235.36"/>
    <x v="337"/>
    <s v="Wallet"/>
  </r>
  <r>
    <x v="185"/>
    <s v="Yeezy Boost 350"/>
    <s v="Sneakers"/>
    <s v="Adidas"/>
    <x v="1"/>
    <s v="Sportswear"/>
    <x v="6"/>
    <x v="0"/>
    <n v="189.94"/>
    <x v="338"/>
    <s v="Cash on Delivery"/>
  </r>
  <r>
    <x v="118"/>
    <s v="Off-White Hoodie"/>
    <s v="Hoodie"/>
    <s v="Off-White"/>
    <x v="1"/>
    <s v="Casual"/>
    <x v="1"/>
    <x v="4"/>
    <n v="110.2"/>
    <x v="339"/>
    <s v="Card"/>
  </r>
  <r>
    <x v="49"/>
    <s v="Off-White Hoodie"/>
    <s v="Hoodie"/>
    <s v="Off-White"/>
    <x v="0"/>
    <s v="Sportswear"/>
    <x v="2"/>
    <x v="1"/>
    <n v="54.76"/>
    <x v="340"/>
    <s v="Wallet"/>
  </r>
  <r>
    <x v="53"/>
    <s v="Supreme Hoodie"/>
    <s v="Hoodie"/>
    <s v="Supreme"/>
    <x v="1"/>
    <s v="Sportswear"/>
    <x v="3"/>
    <x v="2"/>
    <n v="296.56"/>
    <x v="341"/>
    <s v="UPI"/>
  </r>
  <r>
    <x v="186"/>
    <s v="Yeezy Boost 350"/>
    <s v="Sneakers"/>
    <s v="Adidas"/>
    <x v="1"/>
    <s v="Sportswear"/>
    <x v="3"/>
    <x v="2"/>
    <n v="296.51"/>
    <x v="342"/>
    <s v="Wallet"/>
  </r>
  <r>
    <x v="2"/>
    <s v="Puma Joggers"/>
    <s v="Joggers"/>
    <s v="Puma"/>
    <x v="2"/>
    <s v="Casual"/>
    <x v="6"/>
    <x v="2"/>
    <n v="89.5"/>
    <x v="343"/>
    <s v="UPI"/>
  </r>
  <r>
    <x v="187"/>
    <s v="Yeezy Boost 350"/>
    <s v="Sneakers"/>
    <s v="Adidas"/>
    <x v="0"/>
    <s v="Casual"/>
    <x v="4"/>
    <x v="4"/>
    <n v="280.64"/>
    <x v="344"/>
    <s v="Card"/>
  </r>
  <r>
    <x v="188"/>
    <s v="Nike Tech Fleece"/>
    <s v="Hoodie"/>
    <s v="Nike"/>
    <x v="1"/>
    <s v="Streetwear"/>
    <x v="5"/>
    <x v="0"/>
    <n v="234.28"/>
    <x v="345"/>
    <s v="Cash on Delivery"/>
  </r>
  <r>
    <x v="164"/>
    <s v="Nike Dunk Low"/>
    <s v="Sneakers"/>
    <s v="Nike"/>
    <x v="1"/>
    <s v="Streetwear"/>
    <x v="0"/>
    <x v="1"/>
    <n v="294.89"/>
    <x v="346"/>
    <s v="Wallet"/>
  </r>
  <r>
    <x v="180"/>
    <s v="Jordan 1 High"/>
    <s v="Sneakers"/>
    <s v="Nike"/>
    <x v="1"/>
    <s v="Sportswear"/>
    <x v="1"/>
    <x v="2"/>
    <n v="208.24"/>
    <x v="347"/>
    <s v="Cash on Delivery"/>
  </r>
  <r>
    <x v="19"/>
    <s v="Jordan 1 High"/>
    <s v="Sneakers"/>
    <s v="Nike"/>
    <x v="2"/>
    <s v="Casual"/>
    <x v="6"/>
    <x v="0"/>
    <n v="94.25"/>
    <x v="348"/>
    <s v="Wallet"/>
  </r>
  <r>
    <x v="189"/>
    <s v="Nike Tech Fleece"/>
    <s v="Hoodie"/>
    <s v="Nike"/>
    <x v="1"/>
    <s v="Casual"/>
    <x v="2"/>
    <x v="0"/>
    <n v="259"/>
    <x v="349"/>
    <s v="Card"/>
  </r>
  <r>
    <x v="67"/>
    <s v="Puma Joggers"/>
    <s v="Joggers"/>
    <s v="Puma"/>
    <x v="1"/>
    <s v="Casual"/>
    <x v="2"/>
    <x v="3"/>
    <n v="299.73"/>
    <x v="350"/>
    <s v="Cash on Delivery"/>
  </r>
  <r>
    <x v="190"/>
    <s v="Adidas Ultraboost"/>
    <s v="Sneakers"/>
    <s v="Adidas"/>
    <x v="2"/>
    <s v="Casual"/>
    <x v="5"/>
    <x v="0"/>
    <n v="71.260000000000005"/>
    <x v="351"/>
    <s v="Cash on Delivery"/>
  </r>
  <r>
    <x v="34"/>
    <s v="Nike Dunk Low"/>
    <s v="Sneakers"/>
    <s v="Nike"/>
    <x v="1"/>
    <s v="Limited Edition"/>
    <x v="0"/>
    <x v="0"/>
    <n v="270.14"/>
    <x v="352"/>
    <s v="Wallet"/>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6">
  <r>
    <d v="2022-05-27T00:00:00"/>
    <x v="0"/>
    <s v="Fear of God Essentials Tee"/>
    <s v="T-shirt"/>
    <s v="Essentials"/>
    <s v="Unisex"/>
    <x v="0"/>
    <s v="Japan"/>
    <n v="5"/>
    <n v="141.82"/>
    <n v="709.1"/>
    <s v="Card"/>
  </r>
  <r>
    <d v="2022-04-28T00:00:00"/>
    <x v="1"/>
    <s v="Yeezy Boost 350"/>
    <s v="Sneakers"/>
    <s v="Adidas"/>
    <s v="Unisex"/>
    <x v="1"/>
    <s v="Australia"/>
    <n v="1"/>
    <n v="70.69"/>
    <n v="70.69"/>
    <s v="UPI"/>
  </r>
  <r>
    <d v="2022-03-13T00:00:00"/>
    <x v="2"/>
    <s v="Off-White Hoodie"/>
    <s v="Hoodie"/>
    <s v="Off-White"/>
    <s v="Women"/>
    <x v="2"/>
    <s v="UK"/>
    <n v="1"/>
    <n v="89.14"/>
    <n v="89.14"/>
    <s v="Cash on Delivery"/>
  </r>
  <r>
    <d v="2022-07-24T00:00:00"/>
    <x v="3"/>
    <s v="New Era Cap"/>
    <s v="Cap"/>
    <s v="New Era"/>
    <s v="Unisex"/>
    <x v="0"/>
    <s v="India"/>
    <n v="4"/>
    <n v="135.07"/>
    <n v="540.28"/>
    <s v="Cash on Delivery"/>
  </r>
  <r>
    <d v="2022-06-11T00:00:00"/>
    <x v="4"/>
    <s v="Adidas Ultraboost"/>
    <s v="Sneakers"/>
    <s v="Adidas"/>
    <s v="Men"/>
    <x v="3"/>
    <s v="Germany"/>
    <n v="2"/>
    <n v="223"/>
    <n v="446"/>
    <s v="Cash on Delivery"/>
  </r>
  <r>
    <d v="2022-06-28T00:00:00"/>
    <x v="4"/>
    <s v="Fear of God Essentials Tee"/>
    <s v="T-shirt"/>
    <s v="Essentials"/>
    <s v="Unisex"/>
    <x v="0"/>
    <s v="UK"/>
    <n v="4"/>
    <n v="238.52"/>
    <n v="954.08"/>
    <s v="Cash on Delivery"/>
  </r>
  <r>
    <d v="2022-07-12T00:00:00"/>
    <x v="3"/>
    <s v="Nike Tech Fleece"/>
    <s v="Hoodie"/>
    <s v="Nike"/>
    <s v="Women"/>
    <x v="2"/>
    <s v="Australia"/>
    <n v="5"/>
    <n v="120.55"/>
    <n v="602.75"/>
    <s v="UPI"/>
  </r>
  <r>
    <d v="2022-02-13T00:00:00"/>
    <x v="5"/>
    <s v="New Era Cap"/>
    <s v="Cap"/>
    <s v="New Era"/>
    <s v="Women"/>
    <x v="3"/>
    <s v="Germany"/>
    <n v="4"/>
    <n v="212.66"/>
    <n v="850.64"/>
    <s v="Wallet"/>
  </r>
  <r>
    <d v="2022-07-10T00:00:00"/>
    <x v="3"/>
    <s v="Off-White Hoodie"/>
    <s v="Hoodie"/>
    <s v="Off-White"/>
    <s v="Women"/>
    <x v="3"/>
    <s v="Canada"/>
    <n v="5"/>
    <n v="256.22000000000003"/>
    <n v="1281.0999999999999"/>
    <s v="Wallet"/>
  </r>
  <r>
    <d v="2022-01-22T00:00:00"/>
    <x v="6"/>
    <s v="Jordan 1 High"/>
    <s v="Sneakers"/>
    <s v="Nike"/>
    <s v="Unisex"/>
    <x v="2"/>
    <s v="Canada"/>
    <n v="4"/>
    <n v="124.4"/>
    <n v="497.6"/>
    <s v="Wallet"/>
  </r>
  <r>
    <d v="2022-06-18T00:00:00"/>
    <x v="4"/>
    <s v="Jordan 1 High"/>
    <s v="Sneakers"/>
    <s v="Nike"/>
    <s v="Women"/>
    <x v="2"/>
    <s v="Germany"/>
    <n v="2"/>
    <n v="80.33"/>
    <n v="160.66"/>
    <s v="Card"/>
  </r>
  <r>
    <d v="2022-03-18T00:00:00"/>
    <x v="2"/>
    <s v="Supreme Hoodie"/>
    <s v="Hoodie"/>
    <s v="Supreme"/>
    <s v="Unisex"/>
    <x v="1"/>
    <s v="Canada"/>
    <n v="5"/>
    <n v="58.65"/>
    <n v="293.25"/>
    <s v="UPI"/>
  </r>
  <r>
    <d v="2022-08-21T00:00:00"/>
    <x v="7"/>
    <s v="Nike Dunk Low"/>
    <s v="Sneakers"/>
    <s v="Nike"/>
    <s v="Women"/>
    <x v="3"/>
    <s v="USA"/>
    <n v="5"/>
    <n v="183.55"/>
    <n v="917.75"/>
    <s v="Cash on Delivery"/>
  </r>
  <r>
    <d v="2022-07-07T00:00:00"/>
    <x v="3"/>
    <s v="Puma Joggers"/>
    <s v="Joggers"/>
    <s v="Puma"/>
    <s v="Unisex"/>
    <x v="3"/>
    <s v="Canada"/>
    <n v="2"/>
    <n v="210.77"/>
    <n v="421.54"/>
    <s v="Card"/>
  </r>
  <r>
    <d v="2022-05-11T00:00:00"/>
    <x v="0"/>
    <s v="Yeezy Boost 350"/>
    <s v="Sneakers"/>
    <s v="Adidas"/>
    <s v="Unisex"/>
    <x v="2"/>
    <s v="Germany"/>
    <n v="4"/>
    <n v="218.82"/>
    <n v="875.28"/>
    <s v="Wallet"/>
  </r>
  <r>
    <d v="2022-06-17T00:00:00"/>
    <x v="4"/>
    <s v="Fear of God Essentials Tee"/>
    <s v="T-shirt"/>
    <s v="Essentials"/>
    <s v="Women"/>
    <x v="1"/>
    <s v="UK"/>
    <n v="5"/>
    <n v="133.74"/>
    <n v="668.7"/>
    <s v="Card"/>
  </r>
  <r>
    <d v="2022-05-24T00:00:00"/>
    <x v="0"/>
    <s v="Adidas Ultraboost"/>
    <s v="Sneakers"/>
    <s v="Adidas"/>
    <s v="Women"/>
    <x v="2"/>
    <s v="UK"/>
    <n v="1"/>
    <n v="208.47"/>
    <n v="208.47"/>
    <s v="Cash on Delivery"/>
  </r>
  <r>
    <d v="2022-05-28T00:00:00"/>
    <x v="0"/>
    <s v="Off-White Hoodie"/>
    <s v="Hoodie"/>
    <s v="Off-White"/>
    <s v="Unisex"/>
    <x v="0"/>
    <s v="Canada"/>
    <n v="1"/>
    <n v="180.42"/>
    <n v="180.42"/>
    <s v="Cash on Delivery"/>
  </r>
  <r>
    <d v="2022-06-29T00:00:00"/>
    <x v="4"/>
    <s v="Puma Joggers"/>
    <s v="Joggers"/>
    <s v="Puma"/>
    <s v="Men"/>
    <x v="2"/>
    <s v="Japan"/>
    <n v="3"/>
    <n v="127.36"/>
    <n v="382.08"/>
    <s v="Card"/>
  </r>
  <r>
    <d v="2022-05-25T00:00:00"/>
    <x v="0"/>
    <s v="Supreme Hoodie"/>
    <s v="Hoodie"/>
    <s v="Supreme"/>
    <s v="Men"/>
    <x v="3"/>
    <s v="Japan"/>
    <n v="3"/>
    <n v="149.51"/>
    <n v="448.53"/>
    <s v="Cash on Delivery"/>
  </r>
  <r>
    <d v="2022-03-09T00:00:00"/>
    <x v="2"/>
    <s v="New Era Cap"/>
    <s v="Cap"/>
    <s v="New Era"/>
    <s v="Men"/>
    <x v="2"/>
    <s v="India"/>
    <n v="3"/>
    <n v="136.36000000000001"/>
    <n v="409.08"/>
    <s v="Card"/>
  </r>
  <r>
    <d v="2022-08-21T00:00:00"/>
    <x v="7"/>
    <s v="Nike Tech Fleece"/>
    <s v="Hoodie"/>
    <s v="Nike"/>
    <s v="Unisex"/>
    <x v="2"/>
    <s v="UK"/>
    <n v="5"/>
    <n v="162.38"/>
    <n v="811.9"/>
    <s v="Card"/>
  </r>
  <r>
    <d v="2022-05-27T00:00:00"/>
    <x v="0"/>
    <s v="Puma Joggers"/>
    <s v="Joggers"/>
    <s v="Puma"/>
    <s v="Women"/>
    <x v="1"/>
    <s v="Australia"/>
    <n v="2"/>
    <n v="259.66000000000003"/>
    <n v="519.32000000000005"/>
    <s v="Wallet"/>
  </r>
  <r>
    <d v="2022-05-22T00:00:00"/>
    <x v="0"/>
    <s v="Off-White Hoodie"/>
    <s v="Hoodie"/>
    <s v="Off-White"/>
    <s v="Men"/>
    <x v="3"/>
    <s v="Canada"/>
    <n v="1"/>
    <n v="180.39"/>
    <n v="180.39"/>
    <s v="Card"/>
  </r>
  <r>
    <d v="2022-06-02T00:00:00"/>
    <x v="4"/>
    <s v="Off-White Hoodie"/>
    <s v="Hoodie"/>
    <s v="Off-White"/>
    <s v="Men"/>
    <x v="0"/>
    <s v="Canada"/>
    <n v="3"/>
    <n v="80.349999999999994"/>
    <n v="241.05"/>
    <s v="Card"/>
  </r>
  <r>
    <d v="2022-03-06T00:00:00"/>
    <x v="2"/>
    <s v="Fear of God Essentials Tee"/>
    <s v="T-shirt"/>
    <s v="Essentials"/>
    <s v="Men"/>
    <x v="3"/>
    <s v="Japan"/>
    <n v="2"/>
    <n v="222.08"/>
    <n v="444.16"/>
    <s v="UPI"/>
  </r>
  <r>
    <d v="2022-03-21T00:00:00"/>
    <x v="2"/>
    <s v="Puma Joggers"/>
    <s v="Joggers"/>
    <s v="Puma"/>
    <s v="Women"/>
    <x v="1"/>
    <s v="Germany"/>
    <n v="1"/>
    <n v="287.44"/>
    <n v="287.44"/>
    <s v="UPI"/>
  </r>
  <r>
    <d v="2022-07-16T00:00:00"/>
    <x v="3"/>
    <s v="Fear of God Essentials Tee"/>
    <s v="T-shirt"/>
    <s v="Essentials"/>
    <s v="Unisex"/>
    <x v="0"/>
    <s v="UK"/>
    <n v="5"/>
    <n v="137.9"/>
    <n v="689.5"/>
    <s v="UPI"/>
  </r>
  <r>
    <d v="2022-03-19T00:00:00"/>
    <x v="2"/>
    <s v="Off-White Hoodie"/>
    <s v="Hoodie"/>
    <s v="Off-White"/>
    <s v="Unisex"/>
    <x v="3"/>
    <s v="Canada"/>
    <n v="3"/>
    <n v="214.68"/>
    <n v="644.04"/>
    <s v="UPI"/>
  </r>
  <r>
    <d v="2022-08-04T00:00:00"/>
    <x v="7"/>
    <s v="Nike Tech Fleece"/>
    <s v="Hoodie"/>
    <s v="Nike"/>
    <s v="Women"/>
    <x v="0"/>
    <s v="USA"/>
    <n v="2"/>
    <n v="269.88"/>
    <n v="539.76"/>
    <s v="Cash on Delivery"/>
  </r>
  <r>
    <d v="2022-05-03T00:00:00"/>
    <x v="0"/>
    <s v="Jordan 1 High"/>
    <s v="Sneakers"/>
    <s v="Nike"/>
    <s v="Unisex"/>
    <x v="1"/>
    <s v="India"/>
    <n v="1"/>
    <n v="96.97"/>
    <n v="96.97"/>
    <s v="Wallet"/>
  </r>
  <r>
    <d v="2022-07-01T00:00:00"/>
    <x v="3"/>
    <s v="New Era Cap"/>
    <s v="Cap"/>
    <s v="New Era"/>
    <s v="Women"/>
    <x v="0"/>
    <s v="Australia"/>
    <n v="4"/>
    <n v="270.55"/>
    <n v="1082.2"/>
    <s v="Cash on Delivery"/>
  </r>
  <r>
    <d v="2022-06-16T00:00:00"/>
    <x v="4"/>
    <s v="Adidas Ultraboost"/>
    <s v="Sneakers"/>
    <s v="Adidas"/>
    <s v="Unisex"/>
    <x v="1"/>
    <s v="Australia"/>
    <n v="3"/>
    <n v="261.31"/>
    <n v="783.93"/>
    <s v="Card"/>
  </r>
  <r>
    <d v="2022-01-10T00:00:00"/>
    <x v="6"/>
    <s v="New Era Cap"/>
    <s v="Cap"/>
    <s v="New Era"/>
    <s v="Unisex"/>
    <x v="1"/>
    <s v="USA"/>
    <n v="4"/>
    <n v="56.4"/>
    <n v="225.6"/>
    <s v="Card"/>
  </r>
  <r>
    <d v="2022-07-08T00:00:00"/>
    <x v="3"/>
    <s v="Yeezy Boost 350"/>
    <s v="Sneakers"/>
    <s v="Adidas"/>
    <s v="Men"/>
    <x v="1"/>
    <s v="Germany"/>
    <n v="3"/>
    <n v="239.55"/>
    <n v="718.65"/>
    <s v="Card"/>
  </r>
  <r>
    <d v="2022-08-20T00:00:00"/>
    <x v="7"/>
    <s v="Jordan 1 High"/>
    <s v="Sneakers"/>
    <s v="Nike"/>
    <s v="Unisex"/>
    <x v="0"/>
    <s v="Germany"/>
    <n v="2"/>
    <n v="94.62"/>
    <n v="189.24"/>
    <s v="Cash on Delivery"/>
  </r>
  <r>
    <d v="2022-07-24T00:00:00"/>
    <x v="3"/>
    <s v="Fear of God Essentials Tee"/>
    <s v="T-shirt"/>
    <s v="Essentials"/>
    <s v="Unisex"/>
    <x v="0"/>
    <s v="Germany"/>
    <n v="4"/>
    <n v="57.22"/>
    <n v="228.88"/>
    <s v="Cash on Delivery"/>
  </r>
  <r>
    <d v="2022-07-14T00:00:00"/>
    <x v="3"/>
    <s v="Nike Dunk Low"/>
    <s v="Sneakers"/>
    <s v="Nike"/>
    <s v="Men"/>
    <x v="0"/>
    <s v="Germany"/>
    <n v="1"/>
    <n v="170.86"/>
    <n v="170.86"/>
    <s v="Wallet"/>
  </r>
  <r>
    <d v="2022-02-11T00:00:00"/>
    <x v="5"/>
    <s v="Adidas Ultraboost"/>
    <s v="Sneakers"/>
    <s v="Adidas"/>
    <s v="Men"/>
    <x v="3"/>
    <s v="Australia"/>
    <n v="3"/>
    <n v="105.79"/>
    <n v="317.37"/>
    <s v="Wallet"/>
  </r>
  <r>
    <d v="2022-05-26T00:00:00"/>
    <x v="0"/>
    <s v="Adidas Ultraboost"/>
    <s v="Sneakers"/>
    <s v="Adidas"/>
    <s v="Men"/>
    <x v="3"/>
    <s v="Australia"/>
    <n v="5"/>
    <n v="112.95"/>
    <n v="564.75"/>
    <s v="Card"/>
  </r>
  <r>
    <d v="2022-08-20T00:00:00"/>
    <x v="7"/>
    <s v="Off-White Hoodie"/>
    <s v="Hoodie"/>
    <s v="Off-White"/>
    <s v="Unisex"/>
    <x v="0"/>
    <s v="USA"/>
    <n v="5"/>
    <n v="55.8"/>
    <n v="279"/>
    <s v="Card"/>
  </r>
  <r>
    <d v="2022-05-05T00:00:00"/>
    <x v="0"/>
    <s v="Supreme Hoodie"/>
    <s v="Hoodie"/>
    <s v="Supreme"/>
    <s v="Men"/>
    <x v="1"/>
    <s v="India"/>
    <n v="1"/>
    <n v="50.1"/>
    <n v="50.1"/>
    <s v="Card"/>
  </r>
  <r>
    <d v="2022-08-31T00:00:00"/>
    <x v="7"/>
    <s v="Yeezy Boost 350"/>
    <s v="Sneakers"/>
    <s v="Adidas"/>
    <s v="Men"/>
    <x v="0"/>
    <s v="USA"/>
    <n v="1"/>
    <n v="56.49"/>
    <n v="56.49"/>
    <s v="UPI"/>
  </r>
  <r>
    <d v="2022-04-21T00:00:00"/>
    <x v="1"/>
    <s v="Off-White Hoodie"/>
    <s v="Hoodie"/>
    <s v="Off-White"/>
    <s v="Men"/>
    <x v="1"/>
    <s v="Australia"/>
    <n v="5"/>
    <n v="100.65"/>
    <n v="503.25"/>
    <s v="Wallet"/>
  </r>
  <r>
    <d v="2022-08-21T00:00:00"/>
    <x v="7"/>
    <s v="Adidas Ultraboost"/>
    <s v="Sneakers"/>
    <s v="Adidas"/>
    <s v="Men"/>
    <x v="2"/>
    <s v="Japan"/>
    <n v="2"/>
    <n v="160.44"/>
    <n v="320.88"/>
    <s v="UPI"/>
  </r>
  <r>
    <d v="2022-04-15T00:00:00"/>
    <x v="1"/>
    <s v="Puma Joggers"/>
    <s v="Joggers"/>
    <s v="Puma"/>
    <s v="Women"/>
    <x v="3"/>
    <s v="Japan"/>
    <n v="4"/>
    <n v="242.44"/>
    <n v="969.76"/>
    <s v="Cash on Delivery"/>
  </r>
  <r>
    <d v="2022-05-07T00:00:00"/>
    <x v="0"/>
    <s v="Yeezy Boost 350"/>
    <s v="Sneakers"/>
    <s v="Adidas"/>
    <s v="Unisex"/>
    <x v="3"/>
    <s v="Australia"/>
    <n v="2"/>
    <n v="209.81"/>
    <n v="419.62"/>
    <s v="Card"/>
  </r>
  <r>
    <d v="2022-03-14T00:00:00"/>
    <x v="2"/>
    <s v="Adidas Ultraboost"/>
    <s v="Sneakers"/>
    <s v="Adidas"/>
    <s v="Men"/>
    <x v="2"/>
    <s v="India"/>
    <n v="4"/>
    <n v="261.95999999999998"/>
    <n v="1047.8399999999999"/>
    <s v="Cash on Delivery"/>
  </r>
  <r>
    <d v="2022-08-30T00:00:00"/>
    <x v="7"/>
    <s v="Supreme Hoodie"/>
    <s v="Hoodie"/>
    <s v="Supreme"/>
    <s v="Men"/>
    <x v="2"/>
    <s v="USA"/>
    <n v="3"/>
    <n v="242.71"/>
    <n v="728.13"/>
    <s v="Cash on Delivery"/>
  </r>
  <r>
    <d v="2022-06-06T00:00:00"/>
    <x v="4"/>
    <s v="Jordan 1 High"/>
    <s v="Sneakers"/>
    <s v="Nike"/>
    <s v="Women"/>
    <x v="0"/>
    <s v="USA"/>
    <n v="5"/>
    <n v="299.3"/>
    <n v="1496.5"/>
    <s v="Card"/>
  </r>
  <r>
    <d v="2022-08-29T00:00:00"/>
    <x v="7"/>
    <s v="Yeezy Boost 350"/>
    <s v="Sneakers"/>
    <s v="Adidas"/>
    <s v="Unisex"/>
    <x v="3"/>
    <s v="USA"/>
    <n v="4"/>
    <n v="162.85"/>
    <n v="651.4"/>
    <s v="UPI"/>
  </r>
  <r>
    <d v="2022-08-02T00:00:00"/>
    <x v="7"/>
    <s v="Puma Joggers"/>
    <s v="Joggers"/>
    <s v="Puma"/>
    <s v="Unisex"/>
    <x v="3"/>
    <s v="Japan"/>
    <n v="5"/>
    <n v="215.63"/>
    <n v="1078.1500000000001"/>
    <s v="Card"/>
  </r>
  <r>
    <d v="2022-05-31T00:00:00"/>
    <x v="0"/>
    <s v="Jordan 1 High"/>
    <s v="Sneakers"/>
    <s v="Nike"/>
    <s v="Women"/>
    <x v="0"/>
    <s v="Germany"/>
    <n v="1"/>
    <n v="54.99"/>
    <n v="54.99"/>
    <s v="Cash on Delivery"/>
  </r>
  <r>
    <d v="2022-02-01T00:00:00"/>
    <x v="5"/>
    <s v="Yeezy Boost 350"/>
    <s v="Sneakers"/>
    <s v="Adidas"/>
    <s v="Men"/>
    <x v="1"/>
    <s v="UK"/>
    <n v="4"/>
    <n v="185.7"/>
    <n v="742.8"/>
    <s v="Wallet"/>
  </r>
  <r>
    <d v="2022-04-09T00:00:00"/>
    <x v="1"/>
    <s v="Nike Tech Fleece"/>
    <s v="Hoodie"/>
    <s v="Nike"/>
    <s v="Unisex"/>
    <x v="3"/>
    <s v="Canada"/>
    <n v="2"/>
    <n v="153.75"/>
    <n v="307.5"/>
    <s v="Cash on Delivery"/>
  </r>
  <r>
    <d v="2022-03-21T00:00:00"/>
    <x v="2"/>
    <s v="Supreme Hoodie"/>
    <s v="Hoodie"/>
    <s v="Supreme"/>
    <s v="Men"/>
    <x v="0"/>
    <s v="Australia"/>
    <n v="5"/>
    <n v="235.5"/>
    <n v="1177.5"/>
    <s v="Wallet"/>
  </r>
  <r>
    <d v="2022-07-23T00:00:00"/>
    <x v="3"/>
    <s v="Supreme Hoodie"/>
    <s v="Hoodie"/>
    <s v="Supreme"/>
    <s v="Women"/>
    <x v="2"/>
    <s v="Canada"/>
    <n v="3"/>
    <n v="239.76"/>
    <n v="719.28"/>
    <s v="Card"/>
  </r>
  <r>
    <d v="2022-02-07T00:00:00"/>
    <x v="5"/>
    <s v="Off-White Hoodie"/>
    <s v="Hoodie"/>
    <s v="Off-White"/>
    <s v="Men"/>
    <x v="2"/>
    <s v="USA"/>
    <n v="4"/>
    <n v="213.82"/>
    <n v="855.28"/>
    <s v="Card"/>
  </r>
  <r>
    <d v="2022-04-27T00:00:00"/>
    <x v="1"/>
    <s v="Yeezy Boost 350"/>
    <s v="Sneakers"/>
    <s v="Adidas"/>
    <s v="Women"/>
    <x v="2"/>
    <s v="Japan"/>
    <n v="1"/>
    <n v="67.2"/>
    <n v="67.2"/>
    <s v="Wallet"/>
  </r>
  <r>
    <d v="2022-03-07T00:00:00"/>
    <x v="2"/>
    <s v="New Era Cap"/>
    <s v="Cap"/>
    <s v="New Era"/>
    <s v="Men"/>
    <x v="1"/>
    <s v="Japan"/>
    <n v="4"/>
    <n v="207.05"/>
    <n v="828.2"/>
    <s v="UPI"/>
  </r>
  <r>
    <d v="2022-05-05T00:00:00"/>
    <x v="0"/>
    <s v="Nike Tech Fleece"/>
    <s v="Hoodie"/>
    <s v="Nike"/>
    <s v="Unisex"/>
    <x v="1"/>
    <s v="Japan"/>
    <n v="3"/>
    <n v="257.92"/>
    <n v="773.76"/>
    <s v="Wallet"/>
  </r>
  <r>
    <d v="2022-06-18T00:00:00"/>
    <x v="4"/>
    <s v="Yeezy Boost 350"/>
    <s v="Sneakers"/>
    <s v="Adidas"/>
    <s v="Women"/>
    <x v="0"/>
    <s v="Canada"/>
    <n v="1"/>
    <n v="122.32"/>
    <n v="122.32"/>
    <s v="Cash on Delivery"/>
  </r>
  <r>
    <d v="2022-05-26T00:00:00"/>
    <x v="0"/>
    <s v="Fear of God Essentials Tee"/>
    <s v="T-shirt"/>
    <s v="Essentials"/>
    <s v="Unisex"/>
    <x v="2"/>
    <s v="USA"/>
    <n v="1"/>
    <n v="203.63"/>
    <n v="203.63"/>
    <s v="Cash on Delivery"/>
  </r>
  <r>
    <d v="2022-05-28T00:00:00"/>
    <x v="0"/>
    <s v="Jordan 1 High"/>
    <s v="Sneakers"/>
    <s v="Nike"/>
    <s v="Men"/>
    <x v="1"/>
    <s v="Canada"/>
    <n v="3"/>
    <n v="278.14999999999998"/>
    <n v="834.45"/>
    <s v="Wallet"/>
  </r>
  <r>
    <d v="2022-07-03T00:00:00"/>
    <x v="3"/>
    <s v="Nike Tech Fleece"/>
    <s v="Hoodie"/>
    <s v="Nike"/>
    <s v="Men"/>
    <x v="1"/>
    <s v="Germany"/>
    <n v="3"/>
    <n v="129.78"/>
    <n v="389.34"/>
    <s v="Card"/>
  </r>
  <r>
    <d v="2022-06-05T00:00:00"/>
    <x v="4"/>
    <s v="Jordan 1 High"/>
    <s v="Sneakers"/>
    <s v="Nike"/>
    <s v="Men"/>
    <x v="2"/>
    <s v="Australia"/>
    <n v="5"/>
    <n v="199.42"/>
    <n v="997.1"/>
    <s v="Cash on Delivery"/>
  </r>
  <r>
    <d v="2022-06-26T00:00:00"/>
    <x v="4"/>
    <s v="Adidas Ultraboost"/>
    <s v="Sneakers"/>
    <s v="Adidas"/>
    <s v="Men"/>
    <x v="0"/>
    <s v="Japan"/>
    <n v="5"/>
    <n v="98.23"/>
    <n v="491.15"/>
    <s v="Cash on Delivery"/>
  </r>
  <r>
    <d v="2022-05-07T00:00:00"/>
    <x v="0"/>
    <s v="Nike Dunk Low"/>
    <s v="Sneakers"/>
    <s v="Nike"/>
    <s v="Unisex"/>
    <x v="3"/>
    <s v="Australia"/>
    <n v="1"/>
    <n v="114.47"/>
    <n v="114.47"/>
    <s v="Wallet"/>
  </r>
  <r>
    <d v="2022-03-04T00:00:00"/>
    <x v="2"/>
    <s v="Puma Joggers"/>
    <s v="Joggers"/>
    <s v="Puma"/>
    <s v="Women"/>
    <x v="3"/>
    <s v="Japan"/>
    <n v="5"/>
    <n v="224.71"/>
    <n v="1123.55"/>
    <s v="UPI"/>
  </r>
  <r>
    <d v="2022-01-29T00:00:00"/>
    <x v="6"/>
    <s v="Jordan 1 High"/>
    <s v="Sneakers"/>
    <s v="Nike"/>
    <s v="Unisex"/>
    <x v="0"/>
    <s v="India"/>
    <n v="3"/>
    <n v="104.04"/>
    <n v="312.12"/>
    <s v="Cash on Delivery"/>
  </r>
  <r>
    <d v="2022-03-02T00:00:00"/>
    <x v="2"/>
    <s v="Puma Joggers"/>
    <s v="Joggers"/>
    <s v="Puma"/>
    <s v="Men"/>
    <x v="1"/>
    <s v="UK"/>
    <n v="5"/>
    <n v="140.26"/>
    <n v="701.3"/>
    <s v="Card"/>
  </r>
  <r>
    <d v="2022-06-01T00:00:00"/>
    <x v="4"/>
    <s v="Adidas Ultraboost"/>
    <s v="Sneakers"/>
    <s v="Adidas"/>
    <s v="Men"/>
    <x v="3"/>
    <s v="UK"/>
    <n v="5"/>
    <n v="215.38"/>
    <n v="1076.9000000000001"/>
    <s v="Card"/>
  </r>
  <r>
    <d v="2022-05-15T00:00:00"/>
    <x v="0"/>
    <s v="Yeezy Boost 350"/>
    <s v="Sneakers"/>
    <s v="Adidas"/>
    <s v="Women"/>
    <x v="0"/>
    <s v="Australia"/>
    <n v="4"/>
    <n v="127.55"/>
    <n v="510.2"/>
    <s v="Cash on Delivery"/>
  </r>
  <r>
    <d v="2022-08-30T00:00:00"/>
    <x v="7"/>
    <s v="Jordan 1 High"/>
    <s v="Sneakers"/>
    <s v="Nike"/>
    <s v="Women"/>
    <x v="0"/>
    <s v="UK"/>
    <n v="3"/>
    <n v="182.2"/>
    <n v="546.6"/>
    <s v="Card"/>
  </r>
  <r>
    <d v="2022-04-04T00:00:00"/>
    <x v="1"/>
    <s v="Nike Tech Fleece"/>
    <s v="Hoodie"/>
    <s v="Nike"/>
    <s v="Men"/>
    <x v="2"/>
    <s v="Germany"/>
    <n v="4"/>
    <n v="246.66"/>
    <n v="986.64"/>
    <s v="Cash on Delivery"/>
  </r>
  <r>
    <d v="2022-06-16T00:00:00"/>
    <x v="4"/>
    <s v="Yeezy Boost 350"/>
    <s v="Sneakers"/>
    <s v="Adidas"/>
    <s v="Women"/>
    <x v="2"/>
    <s v="Japan"/>
    <n v="5"/>
    <n v="262.68"/>
    <n v="1313.4"/>
    <s v="Wallet"/>
  </r>
  <r>
    <d v="2022-01-24T00:00:00"/>
    <x v="6"/>
    <s v="Adidas Ultraboost"/>
    <s v="Sneakers"/>
    <s v="Adidas"/>
    <s v="Men"/>
    <x v="0"/>
    <s v="USA"/>
    <n v="3"/>
    <n v="101.39"/>
    <n v="304.17"/>
    <s v="Cash on Delivery"/>
  </r>
  <r>
    <d v="2022-02-14T00:00:00"/>
    <x v="5"/>
    <s v="Off-White Hoodie"/>
    <s v="Hoodie"/>
    <s v="Off-White"/>
    <s v="Women"/>
    <x v="2"/>
    <s v="Japan"/>
    <n v="1"/>
    <n v="59.05"/>
    <n v="59.05"/>
    <s v="Cash on Delivery"/>
  </r>
  <r>
    <d v="2022-03-09T00:00:00"/>
    <x v="2"/>
    <s v="Off-White Hoodie"/>
    <s v="Hoodie"/>
    <s v="Off-White"/>
    <s v="Unisex"/>
    <x v="3"/>
    <s v="Canada"/>
    <n v="1"/>
    <n v="101.32"/>
    <n v="101.32"/>
    <s v="UPI"/>
  </r>
  <r>
    <d v="2022-07-16T00:00:00"/>
    <x v="3"/>
    <s v="Nike Dunk Low"/>
    <s v="Sneakers"/>
    <s v="Nike"/>
    <s v="Men"/>
    <x v="1"/>
    <s v="Australia"/>
    <n v="4"/>
    <n v="228.88"/>
    <n v="915.52"/>
    <s v="Card"/>
  </r>
  <r>
    <d v="2022-06-15T00:00:00"/>
    <x v="4"/>
    <s v="Nike Dunk Low"/>
    <s v="Sneakers"/>
    <s v="Nike"/>
    <s v="Women"/>
    <x v="0"/>
    <s v="Japan"/>
    <n v="4"/>
    <n v="258.60000000000002"/>
    <n v="1034.4000000000001"/>
    <s v="Card"/>
  </r>
  <r>
    <d v="2022-02-19T00:00:00"/>
    <x v="5"/>
    <s v="Adidas Ultraboost"/>
    <s v="Sneakers"/>
    <s v="Adidas"/>
    <s v="Unisex"/>
    <x v="3"/>
    <s v="Australia"/>
    <n v="4"/>
    <n v="129.94999999999999"/>
    <n v="519.79999999999995"/>
    <s v="Cash on Delivery"/>
  </r>
  <r>
    <d v="2022-07-06T00:00:00"/>
    <x v="3"/>
    <s v="Adidas Ultraboost"/>
    <s v="Sneakers"/>
    <s v="Adidas"/>
    <s v="Women"/>
    <x v="2"/>
    <s v="Germany"/>
    <n v="5"/>
    <n v="190.03"/>
    <n v="950.15"/>
    <s v="Cash on Delivery"/>
  </r>
  <r>
    <d v="2022-02-01T00:00:00"/>
    <x v="5"/>
    <s v="New Era Cap"/>
    <s v="Cap"/>
    <s v="New Era"/>
    <s v="Unisex"/>
    <x v="2"/>
    <s v="Canada"/>
    <n v="1"/>
    <n v="239.21"/>
    <n v="239.21"/>
    <s v="Wallet"/>
  </r>
  <r>
    <d v="2022-03-25T00:00:00"/>
    <x v="2"/>
    <s v="Fear of God Essentials Tee"/>
    <s v="T-shirt"/>
    <s v="Essentials"/>
    <s v="Unisex"/>
    <x v="3"/>
    <s v="Australia"/>
    <n v="1"/>
    <n v="271.18"/>
    <n v="271.18"/>
    <s v="Cash on Delivery"/>
  </r>
  <r>
    <d v="2022-02-03T00:00:00"/>
    <x v="5"/>
    <s v="Puma Joggers"/>
    <s v="Joggers"/>
    <s v="Puma"/>
    <s v="Women"/>
    <x v="3"/>
    <s v="Japan"/>
    <n v="5"/>
    <n v="140.65"/>
    <n v="703.25"/>
    <s v="Wallet"/>
  </r>
  <r>
    <d v="2022-06-30T00:00:00"/>
    <x v="4"/>
    <s v="Fear of God Essentials Tee"/>
    <s v="T-shirt"/>
    <s v="Essentials"/>
    <s v="Unisex"/>
    <x v="3"/>
    <s v="UK"/>
    <n v="3"/>
    <n v="97.21"/>
    <n v="291.63"/>
    <s v="Cash on Delivery"/>
  </r>
  <r>
    <d v="2022-02-12T00:00:00"/>
    <x v="5"/>
    <s v="Supreme Hoodie"/>
    <s v="Hoodie"/>
    <s v="Supreme"/>
    <s v="Men"/>
    <x v="1"/>
    <s v="UK"/>
    <n v="5"/>
    <n v="110.05"/>
    <n v="550.25"/>
    <s v="Card"/>
  </r>
  <r>
    <d v="2022-07-15T00:00:00"/>
    <x v="3"/>
    <s v="Adidas Ultraboost"/>
    <s v="Sneakers"/>
    <s v="Adidas"/>
    <s v="Unisex"/>
    <x v="2"/>
    <s v="Germany"/>
    <n v="1"/>
    <n v="209.13"/>
    <n v="209.13"/>
    <s v="Cash on Delivery"/>
  </r>
  <r>
    <d v="2022-02-06T00:00:00"/>
    <x v="5"/>
    <s v="Nike Dunk Low"/>
    <s v="Sneakers"/>
    <s v="Nike"/>
    <s v="Women"/>
    <x v="1"/>
    <s v="Australia"/>
    <n v="1"/>
    <n v="256.81"/>
    <n v="256.81"/>
    <s v="Card"/>
  </r>
  <r>
    <d v="2022-01-20T00:00:00"/>
    <x v="6"/>
    <s v="Supreme Hoodie"/>
    <s v="Hoodie"/>
    <s v="Supreme"/>
    <s v="Women"/>
    <x v="0"/>
    <s v="Germany"/>
    <n v="2"/>
    <n v="53.05"/>
    <n v="106.1"/>
    <s v="Cash on Delivery"/>
  </r>
  <r>
    <d v="2022-04-03T00:00:00"/>
    <x v="1"/>
    <s v="Yeezy Boost 350"/>
    <s v="Sneakers"/>
    <s v="Adidas"/>
    <s v="Men"/>
    <x v="1"/>
    <s v="UK"/>
    <n v="4"/>
    <n v="127.11"/>
    <n v="508.44"/>
    <s v="Cash on Delivery"/>
  </r>
  <r>
    <d v="2022-07-02T00:00:00"/>
    <x v="3"/>
    <s v="Nike Tech Fleece"/>
    <s v="Hoodie"/>
    <s v="Nike"/>
    <s v="Women"/>
    <x v="1"/>
    <s v="Japan"/>
    <n v="2"/>
    <n v="259.45999999999998"/>
    <n v="518.91999999999996"/>
    <s v="Wallet"/>
  </r>
  <r>
    <d v="2022-03-12T00:00:00"/>
    <x v="2"/>
    <s v="Off-White Hoodie"/>
    <s v="Hoodie"/>
    <s v="Off-White"/>
    <s v="Unisex"/>
    <x v="2"/>
    <s v="UK"/>
    <n v="2"/>
    <n v="183.29"/>
    <n v="366.58"/>
    <s v="Wallet"/>
  </r>
  <r>
    <d v="2022-01-16T00:00:00"/>
    <x v="6"/>
    <s v="Off-White Hoodie"/>
    <s v="Hoodie"/>
    <s v="Off-White"/>
    <s v="Women"/>
    <x v="1"/>
    <s v="Canada"/>
    <n v="2"/>
    <n v="130.4"/>
    <n v="260.8"/>
    <s v="Cash on Delivery"/>
  </r>
  <r>
    <d v="2022-03-01T00:00:00"/>
    <x v="2"/>
    <s v="Yeezy Boost 350"/>
    <s v="Sneakers"/>
    <s v="Adidas"/>
    <s v="Men"/>
    <x v="3"/>
    <s v="Canada"/>
    <n v="5"/>
    <n v="112.04"/>
    <n v="560.20000000000005"/>
    <s v="Wallet"/>
  </r>
  <r>
    <d v="2022-02-27T00:00:00"/>
    <x v="5"/>
    <s v="Puma Joggers"/>
    <s v="Joggers"/>
    <s v="Puma"/>
    <s v="Women"/>
    <x v="2"/>
    <s v="Japan"/>
    <n v="5"/>
    <n v="85.1"/>
    <n v="425.5"/>
    <s v="Cash on Delivery"/>
  </r>
  <r>
    <d v="2022-07-02T00:00:00"/>
    <x v="3"/>
    <s v="Puma Joggers"/>
    <s v="Joggers"/>
    <s v="Puma"/>
    <s v="Unisex"/>
    <x v="3"/>
    <s v="Australia"/>
    <n v="1"/>
    <n v="180.65"/>
    <n v="180.65"/>
    <s v="Cash on Delivery"/>
  </r>
  <r>
    <d v="2022-02-08T00:00:00"/>
    <x v="5"/>
    <s v="New Era Cap"/>
    <s v="Cap"/>
    <s v="New Era"/>
    <s v="Women"/>
    <x v="2"/>
    <s v="UK"/>
    <n v="5"/>
    <n v="147.13"/>
    <n v="735.65"/>
    <s v="Wallet"/>
  </r>
  <r>
    <d v="2022-01-22T00:00:00"/>
    <x v="6"/>
    <s v="Puma Joggers"/>
    <s v="Joggers"/>
    <s v="Puma"/>
    <s v="Women"/>
    <x v="0"/>
    <s v="Australia"/>
    <n v="3"/>
    <n v="110.78"/>
    <n v="332.34"/>
    <s v="Cash on Delivery"/>
  </r>
  <r>
    <d v="2022-06-24T00:00:00"/>
    <x v="4"/>
    <s v="Nike Tech Fleece"/>
    <s v="Hoodie"/>
    <s v="Nike"/>
    <s v="Women"/>
    <x v="3"/>
    <s v="India"/>
    <n v="5"/>
    <n v="58.37"/>
    <n v="291.85000000000002"/>
    <s v="UPI"/>
  </r>
  <r>
    <d v="2022-07-23T00:00:00"/>
    <x v="3"/>
    <s v="Supreme Hoodie"/>
    <s v="Hoodie"/>
    <s v="Supreme"/>
    <s v="Women"/>
    <x v="2"/>
    <s v="Germany"/>
    <n v="5"/>
    <n v="241.67"/>
    <n v="1208.3499999999999"/>
    <s v="Card"/>
  </r>
  <r>
    <d v="2022-07-25T00:00:00"/>
    <x v="3"/>
    <s v="Off-White Hoodie"/>
    <s v="Hoodie"/>
    <s v="Off-White"/>
    <s v="Women"/>
    <x v="0"/>
    <s v="USA"/>
    <n v="2"/>
    <n v="89.67"/>
    <n v="179.34"/>
    <s v="UPI"/>
  </r>
  <r>
    <d v="2022-05-29T00:00:00"/>
    <x v="0"/>
    <s v="Nike Dunk Low"/>
    <s v="Sneakers"/>
    <s v="Nike"/>
    <s v="Women"/>
    <x v="3"/>
    <s v="Canada"/>
    <n v="1"/>
    <n v="132.09"/>
    <n v="132.09"/>
    <s v="UPI"/>
  </r>
  <r>
    <d v="2022-08-04T00:00:00"/>
    <x v="7"/>
    <s v="New Era Cap"/>
    <s v="Cap"/>
    <s v="New Era"/>
    <s v="Women"/>
    <x v="2"/>
    <s v="Japan"/>
    <n v="2"/>
    <n v="202.18"/>
    <n v="404.36"/>
    <s v="UPI"/>
  </r>
  <r>
    <d v="2022-02-12T00:00:00"/>
    <x v="5"/>
    <s v="Yeezy Boost 350"/>
    <s v="Sneakers"/>
    <s v="Adidas"/>
    <s v="Men"/>
    <x v="2"/>
    <s v="UK"/>
    <n v="3"/>
    <n v="90.19"/>
    <n v="270.57"/>
    <s v="Cash on Delivery"/>
  </r>
  <r>
    <d v="2022-03-01T00:00:00"/>
    <x v="2"/>
    <s v="Nike Tech Fleece"/>
    <s v="Hoodie"/>
    <s v="Nike"/>
    <s v="Unisex"/>
    <x v="3"/>
    <s v="USA"/>
    <n v="2"/>
    <n v="179.28"/>
    <n v="358.56"/>
    <s v="Cash on Delivery"/>
  </r>
  <r>
    <d v="2022-03-23T00:00:00"/>
    <x v="2"/>
    <s v="Nike Tech Fleece"/>
    <s v="Hoodie"/>
    <s v="Nike"/>
    <s v="Men"/>
    <x v="1"/>
    <s v="USA"/>
    <n v="5"/>
    <n v="188.61"/>
    <n v="943.05"/>
    <s v="Wallet"/>
  </r>
  <r>
    <d v="2022-08-30T00:00:00"/>
    <x v="7"/>
    <s v="Fear of God Essentials Tee"/>
    <s v="T-shirt"/>
    <s v="Essentials"/>
    <s v="Men"/>
    <x v="1"/>
    <s v="UK"/>
    <n v="2"/>
    <n v="111.36"/>
    <n v="222.72"/>
    <s v="Card"/>
  </r>
  <r>
    <d v="2022-02-18T00:00:00"/>
    <x v="5"/>
    <s v="New Era Cap"/>
    <s v="Cap"/>
    <s v="New Era"/>
    <s v="Women"/>
    <x v="1"/>
    <s v="UK"/>
    <n v="3"/>
    <n v="53.98"/>
    <n v="161.94"/>
    <s v="Cash on Delivery"/>
  </r>
  <r>
    <d v="2022-05-28T00:00:00"/>
    <x v="0"/>
    <s v="Off-White Hoodie"/>
    <s v="Hoodie"/>
    <s v="Off-White"/>
    <s v="Unisex"/>
    <x v="3"/>
    <s v="Canada"/>
    <n v="4"/>
    <n v="240.64"/>
    <n v="962.56"/>
    <s v="Cash on Delivery"/>
  </r>
  <r>
    <d v="2022-02-28T00:00:00"/>
    <x v="5"/>
    <s v="Off-White Hoodie"/>
    <s v="Hoodie"/>
    <s v="Off-White"/>
    <s v="Women"/>
    <x v="2"/>
    <s v="USA"/>
    <n v="5"/>
    <n v="195.57"/>
    <n v="977.85"/>
    <s v="Cash on Delivery"/>
  </r>
  <r>
    <d v="2022-03-09T00:00:00"/>
    <x v="2"/>
    <s v="Nike Tech Fleece"/>
    <s v="Hoodie"/>
    <s v="Nike"/>
    <s v="Unisex"/>
    <x v="3"/>
    <s v="Canada"/>
    <n v="3"/>
    <n v="224.66"/>
    <n v="673.98"/>
    <s v="Cash on Delivery"/>
  </r>
  <r>
    <d v="2022-04-28T00:00:00"/>
    <x v="1"/>
    <s v="Puma Joggers"/>
    <s v="Joggers"/>
    <s v="Puma"/>
    <s v="Women"/>
    <x v="1"/>
    <s v="Canada"/>
    <n v="3"/>
    <n v="65.2"/>
    <n v="195.6"/>
    <s v="Wallet"/>
  </r>
  <r>
    <d v="2022-07-13T00:00:00"/>
    <x v="3"/>
    <s v="Adidas Ultraboost"/>
    <s v="Sneakers"/>
    <s v="Adidas"/>
    <s v="Women"/>
    <x v="0"/>
    <s v="Canada"/>
    <n v="4"/>
    <n v="117.78"/>
    <n v="471.12"/>
    <s v="UPI"/>
  </r>
  <r>
    <d v="2022-02-09T00:00:00"/>
    <x v="5"/>
    <s v="Jordan 1 High"/>
    <s v="Sneakers"/>
    <s v="Nike"/>
    <s v="Women"/>
    <x v="3"/>
    <s v="India"/>
    <n v="4"/>
    <n v="214.93"/>
    <n v="859.72"/>
    <s v="Card"/>
  </r>
  <r>
    <d v="2022-08-16T00:00:00"/>
    <x v="7"/>
    <s v="Puma Joggers"/>
    <s v="Joggers"/>
    <s v="Puma"/>
    <s v="Unisex"/>
    <x v="0"/>
    <s v="Japan"/>
    <n v="2"/>
    <n v="249.49"/>
    <n v="498.98"/>
    <s v="Cash on Delivery"/>
  </r>
  <r>
    <d v="2022-06-13T00:00:00"/>
    <x v="4"/>
    <s v="Yeezy Boost 350"/>
    <s v="Sneakers"/>
    <s v="Adidas"/>
    <s v="Men"/>
    <x v="2"/>
    <s v="India"/>
    <n v="4"/>
    <n v="141.35"/>
    <n v="565.4"/>
    <s v="UPI"/>
  </r>
  <r>
    <d v="2022-03-03T00:00:00"/>
    <x v="2"/>
    <s v="Puma Joggers"/>
    <s v="Joggers"/>
    <s v="Puma"/>
    <s v="Unisex"/>
    <x v="0"/>
    <s v="Japan"/>
    <n v="3"/>
    <n v="264.14"/>
    <n v="792.42"/>
    <s v="Card"/>
  </r>
  <r>
    <d v="2022-01-03T00:00:00"/>
    <x v="6"/>
    <s v="Fear of God Essentials Tee"/>
    <s v="T-shirt"/>
    <s v="Essentials"/>
    <s v="Unisex"/>
    <x v="2"/>
    <s v="UK"/>
    <n v="5"/>
    <n v="73.58"/>
    <n v="367.9"/>
    <s v="UPI"/>
  </r>
  <r>
    <d v="2022-07-26T00:00:00"/>
    <x v="3"/>
    <s v="Fear of God Essentials Tee"/>
    <s v="T-shirt"/>
    <s v="Essentials"/>
    <s v="Unisex"/>
    <x v="3"/>
    <s v="USA"/>
    <n v="1"/>
    <n v="106.59"/>
    <n v="106.59"/>
    <s v="Card"/>
  </r>
  <r>
    <d v="2022-02-12T00:00:00"/>
    <x v="5"/>
    <s v="Nike Tech Fleece"/>
    <s v="Hoodie"/>
    <s v="Nike"/>
    <s v="Men"/>
    <x v="3"/>
    <s v="Canada"/>
    <n v="3"/>
    <n v="59.98"/>
    <n v="179.94"/>
    <s v="UPI"/>
  </r>
  <r>
    <d v="2022-03-02T00:00:00"/>
    <x v="2"/>
    <s v="Puma Joggers"/>
    <s v="Joggers"/>
    <s v="Puma"/>
    <s v="Women"/>
    <x v="2"/>
    <s v="Japan"/>
    <n v="3"/>
    <n v="87.81"/>
    <n v="263.43"/>
    <s v="Card"/>
  </r>
  <r>
    <d v="2022-04-06T00:00:00"/>
    <x v="1"/>
    <s v="Nike Tech Fleece"/>
    <s v="Hoodie"/>
    <s v="Nike"/>
    <s v="Men"/>
    <x v="1"/>
    <s v="Japan"/>
    <n v="2"/>
    <n v="283.60000000000002"/>
    <n v="567.20000000000005"/>
    <s v="UPI"/>
  </r>
  <r>
    <d v="2022-08-11T00:00:00"/>
    <x v="7"/>
    <s v="Puma Joggers"/>
    <s v="Joggers"/>
    <s v="Puma"/>
    <s v="Men"/>
    <x v="0"/>
    <s v="Japan"/>
    <n v="2"/>
    <n v="194.31"/>
    <n v="388.62"/>
    <s v="UPI"/>
  </r>
  <r>
    <d v="2022-06-23T00:00:00"/>
    <x v="4"/>
    <s v="Supreme Hoodie"/>
    <s v="Hoodie"/>
    <s v="Supreme"/>
    <s v="Unisex"/>
    <x v="0"/>
    <s v="Japan"/>
    <n v="4"/>
    <n v="199.68"/>
    <n v="798.72"/>
    <s v="Wallet"/>
  </r>
  <r>
    <d v="2022-04-08T00:00:00"/>
    <x v="1"/>
    <s v="Fear of God Essentials Tee"/>
    <s v="T-shirt"/>
    <s v="Essentials"/>
    <s v="Women"/>
    <x v="1"/>
    <s v="Japan"/>
    <n v="5"/>
    <n v="145.47"/>
    <n v="727.35"/>
    <s v="Card"/>
  </r>
  <r>
    <d v="2022-01-31T00:00:00"/>
    <x v="6"/>
    <s v="Supreme Hoodie"/>
    <s v="Hoodie"/>
    <s v="Supreme"/>
    <s v="Women"/>
    <x v="0"/>
    <s v="Australia"/>
    <n v="1"/>
    <n v="141.11000000000001"/>
    <n v="141.11000000000001"/>
    <s v="UPI"/>
  </r>
  <r>
    <d v="2022-04-16T00:00:00"/>
    <x v="1"/>
    <s v="Jordan 1 High"/>
    <s v="Sneakers"/>
    <s v="Nike"/>
    <s v="Women"/>
    <x v="2"/>
    <s v="UK"/>
    <n v="2"/>
    <n v="188.4"/>
    <n v="376.8"/>
    <s v="Card"/>
  </r>
  <r>
    <d v="2022-03-30T00:00:00"/>
    <x v="2"/>
    <s v="Supreme Hoodie"/>
    <s v="Hoodie"/>
    <s v="Supreme"/>
    <s v="Men"/>
    <x v="0"/>
    <s v="Germany"/>
    <n v="4"/>
    <n v="145.28"/>
    <n v="581.12"/>
    <s v="Card"/>
  </r>
  <r>
    <d v="2022-07-15T00:00:00"/>
    <x v="3"/>
    <s v="Adidas Ultraboost"/>
    <s v="Sneakers"/>
    <s v="Adidas"/>
    <s v="Men"/>
    <x v="3"/>
    <s v="Australia"/>
    <n v="2"/>
    <n v="277.48"/>
    <n v="554.96"/>
    <s v="Card"/>
  </r>
  <r>
    <d v="2022-08-16T00:00:00"/>
    <x v="7"/>
    <s v="Nike Tech Fleece"/>
    <s v="Hoodie"/>
    <s v="Nike"/>
    <s v="Women"/>
    <x v="0"/>
    <s v="Japan"/>
    <n v="4"/>
    <n v="153.56"/>
    <n v="614.24"/>
    <s v="Wallet"/>
  </r>
  <r>
    <d v="2022-03-15T00:00:00"/>
    <x v="2"/>
    <s v="Fear of God Essentials Tee"/>
    <s v="T-shirt"/>
    <s v="Essentials"/>
    <s v="Men"/>
    <x v="2"/>
    <s v="Japan"/>
    <n v="2"/>
    <n v="74.83"/>
    <n v="149.66"/>
    <s v="Card"/>
  </r>
  <r>
    <d v="2022-07-06T00:00:00"/>
    <x v="3"/>
    <s v="Supreme Hoodie"/>
    <s v="Hoodie"/>
    <s v="Supreme"/>
    <s v="Women"/>
    <x v="0"/>
    <s v="Germany"/>
    <n v="1"/>
    <n v="136.80000000000001"/>
    <n v="136.80000000000001"/>
    <s v="UPI"/>
  </r>
  <r>
    <d v="2022-06-26T00:00:00"/>
    <x v="4"/>
    <s v="Yeezy Boost 350"/>
    <s v="Sneakers"/>
    <s v="Adidas"/>
    <s v="Unisex"/>
    <x v="2"/>
    <s v="USA"/>
    <n v="3"/>
    <n v="209.69"/>
    <n v="629.07000000000005"/>
    <s v="Wallet"/>
  </r>
  <r>
    <d v="2022-03-18T00:00:00"/>
    <x v="2"/>
    <s v="Supreme Hoodie"/>
    <s v="Hoodie"/>
    <s v="Supreme"/>
    <s v="Men"/>
    <x v="2"/>
    <s v="India"/>
    <n v="3"/>
    <n v="200.87"/>
    <n v="602.61"/>
    <s v="Cash on Delivery"/>
  </r>
  <r>
    <d v="2022-02-04T00:00:00"/>
    <x v="5"/>
    <s v="Puma Joggers"/>
    <s v="Joggers"/>
    <s v="Puma"/>
    <s v="Men"/>
    <x v="3"/>
    <s v="Japan"/>
    <n v="1"/>
    <n v="221.26"/>
    <n v="221.26"/>
    <s v="Card"/>
  </r>
  <r>
    <d v="2022-01-03T00:00:00"/>
    <x v="6"/>
    <s v="Nike Dunk Low"/>
    <s v="Sneakers"/>
    <s v="Nike"/>
    <s v="Women"/>
    <x v="3"/>
    <s v="USA"/>
    <n v="5"/>
    <n v="176.98"/>
    <n v="884.9"/>
    <s v="Card"/>
  </r>
  <r>
    <d v="2022-08-06T00:00:00"/>
    <x v="7"/>
    <s v="New Era Cap"/>
    <s v="Cap"/>
    <s v="New Era"/>
    <s v="Men"/>
    <x v="2"/>
    <s v="UK"/>
    <n v="5"/>
    <n v="77.08"/>
    <n v="385.4"/>
    <s v="Wallet"/>
  </r>
  <r>
    <d v="2022-03-06T00:00:00"/>
    <x v="2"/>
    <s v="Jordan 1 High"/>
    <s v="Sneakers"/>
    <s v="Nike"/>
    <s v="Men"/>
    <x v="2"/>
    <s v="Canada"/>
    <n v="4"/>
    <n v="239.54"/>
    <n v="958.16"/>
    <s v="Wallet"/>
  </r>
  <r>
    <d v="2022-03-19T00:00:00"/>
    <x v="2"/>
    <s v="Supreme Hoodie"/>
    <s v="Hoodie"/>
    <s v="Supreme"/>
    <s v="Men"/>
    <x v="3"/>
    <s v="India"/>
    <n v="5"/>
    <n v="179.54"/>
    <n v="897.7"/>
    <s v="UPI"/>
  </r>
  <r>
    <d v="2022-04-05T00:00:00"/>
    <x v="1"/>
    <s v="Off-White Hoodie"/>
    <s v="Hoodie"/>
    <s v="Off-White"/>
    <s v="Women"/>
    <x v="3"/>
    <s v="Canada"/>
    <n v="3"/>
    <n v="274.23"/>
    <n v="822.69"/>
    <s v="Cash on Delivery"/>
  </r>
  <r>
    <d v="2022-03-11T00:00:00"/>
    <x v="2"/>
    <s v="Nike Tech Fleece"/>
    <s v="Hoodie"/>
    <s v="Nike"/>
    <s v="Women"/>
    <x v="0"/>
    <s v="India"/>
    <n v="5"/>
    <n v="99.89"/>
    <n v="499.45"/>
    <s v="Cash on Delivery"/>
  </r>
  <r>
    <d v="2022-04-03T00:00:00"/>
    <x v="1"/>
    <s v="Yeezy Boost 350"/>
    <s v="Sneakers"/>
    <s v="Adidas"/>
    <s v="Women"/>
    <x v="1"/>
    <s v="UK"/>
    <n v="4"/>
    <n v="148.11000000000001"/>
    <n v="592.44000000000005"/>
    <s v="Cash on Delivery"/>
  </r>
  <r>
    <d v="2022-06-30T00:00:00"/>
    <x v="4"/>
    <s v="Jordan 1 High"/>
    <s v="Sneakers"/>
    <s v="Nike"/>
    <s v="Unisex"/>
    <x v="1"/>
    <s v="India"/>
    <n v="5"/>
    <n v="81.97"/>
    <n v="409.85"/>
    <s v="Cash on Delivery"/>
  </r>
  <r>
    <d v="2022-01-09T00:00:00"/>
    <x v="6"/>
    <s v="Yeezy Boost 350"/>
    <s v="Sneakers"/>
    <s v="Adidas"/>
    <s v="Women"/>
    <x v="0"/>
    <s v="India"/>
    <n v="3"/>
    <n v="291.29000000000002"/>
    <n v="873.87"/>
    <s v="Wallet"/>
  </r>
  <r>
    <d v="2022-05-02T00:00:00"/>
    <x v="0"/>
    <s v="Adidas Ultraboost"/>
    <s v="Sneakers"/>
    <s v="Adidas"/>
    <s v="Men"/>
    <x v="3"/>
    <s v="Canada"/>
    <n v="5"/>
    <n v="138.94999999999999"/>
    <n v="694.75"/>
    <s v="UPI"/>
  </r>
  <r>
    <d v="2022-01-27T00:00:00"/>
    <x v="6"/>
    <s v="Adidas Ultraboost"/>
    <s v="Sneakers"/>
    <s v="Adidas"/>
    <s v="Men"/>
    <x v="3"/>
    <s v="Japan"/>
    <n v="4"/>
    <n v="208.19"/>
    <n v="832.76"/>
    <s v="Wallet"/>
  </r>
  <r>
    <d v="2022-07-27T00:00:00"/>
    <x v="3"/>
    <s v="Jordan 1 High"/>
    <s v="Sneakers"/>
    <s v="Nike"/>
    <s v="Men"/>
    <x v="0"/>
    <s v="India"/>
    <n v="5"/>
    <n v="291.7"/>
    <n v="1458.5"/>
    <s v="Wallet"/>
  </r>
  <r>
    <d v="2022-06-10T00:00:00"/>
    <x v="4"/>
    <s v="Fear of God Essentials Tee"/>
    <s v="T-shirt"/>
    <s v="Essentials"/>
    <s v="Women"/>
    <x v="1"/>
    <s v="Australia"/>
    <n v="3"/>
    <n v="209.89"/>
    <n v="629.66999999999996"/>
    <s v="UPI"/>
  </r>
  <r>
    <d v="2022-05-04T00:00:00"/>
    <x v="0"/>
    <s v="Jordan 1 High"/>
    <s v="Sneakers"/>
    <s v="Nike"/>
    <s v="Unisex"/>
    <x v="2"/>
    <s v="Japan"/>
    <n v="4"/>
    <n v="171.49"/>
    <n v="685.96"/>
    <s v="Cash on Delivery"/>
  </r>
  <r>
    <d v="2022-01-17T00:00:00"/>
    <x v="6"/>
    <s v="Nike Tech Fleece"/>
    <s v="Hoodie"/>
    <s v="Nike"/>
    <s v="Men"/>
    <x v="2"/>
    <s v="Germany"/>
    <n v="3"/>
    <n v="156.22"/>
    <n v="468.66"/>
    <s v="Wallet"/>
  </r>
  <r>
    <d v="2022-06-07T00:00:00"/>
    <x v="4"/>
    <s v="Yeezy Boost 350"/>
    <s v="Sneakers"/>
    <s v="Adidas"/>
    <s v="Men"/>
    <x v="3"/>
    <s v="Japan"/>
    <n v="4"/>
    <n v="158.82"/>
    <n v="635.28"/>
    <s v="UPI"/>
  </r>
  <r>
    <d v="2022-07-12T00:00:00"/>
    <x v="3"/>
    <s v="Off-White Hoodie"/>
    <s v="Hoodie"/>
    <s v="Off-White"/>
    <s v="Men"/>
    <x v="1"/>
    <s v="UK"/>
    <n v="3"/>
    <n v="218.91"/>
    <n v="656.73"/>
    <s v="Wallet"/>
  </r>
  <r>
    <d v="2022-07-27T00:00:00"/>
    <x v="3"/>
    <s v="Supreme Hoodie"/>
    <s v="Hoodie"/>
    <s v="Supreme"/>
    <s v="Women"/>
    <x v="0"/>
    <s v="Australia"/>
    <n v="5"/>
    <n v="54.88"/>
    <n v="274.39999999999998"/>
    <s v="Wallet"/>
  </r>
  <r>
    <d v="2022-05-08T00:00:00"/>
    <x v="0"/>
    <s v="New Era Cap"/>
    <s v="Cap"/>
    <s v="New Era"/>
    <s v="Women"/>
    <x v="1"/>
    <s v="Canada"/>
    <n v="1"/>
    <n v="75.27"/>
    <n v="75.27"/>
    <s v="Card"/>
  </r>
  <r>
    <d v="2022-06-12T00:00:00"/>
    <x v="4"/>
    <s v="Puma Joggers"/>
    <s v="Joggers"/>
    <s v="Puma"/>
    <s v="Men"/>
    <x v="0"/>
    <s v="India"/>
    <n v="1"/>
    <n v="144.04"/>
    <n v="144.04"/>
    <s v="Cash on Delivery"/>
  </r>
  <r>
    <d v="2022-07-26T00:00:00"/>
    <x v="3"/>
    <s v="Jordan 1 High"/>
    <s v="Sneakers"/>
    <s v="Nike"/>
    <s v="Men"/>
    <x v="3"/>
    <s v="Germany"/>
    <n v="4"/>
    <n v="196.45"/>
    <n v="785.8"/>
    <s v="UPI"/>
  </r>
  <r>
    <d v="2022-01-17T00:00:00"/>
    <x v="6"/>
    <s v="Nike Dunk Low"/>
    <s v="Sneakers"/>
    <s v="Nike"/>
    <s v="Men"/>
    <x v="0"/>
    <s v="USA"/>
    <n v="3"/>
    <n v="213.66"/>
    <n v="640.98"/>
    <s v="Card"/>
  </r>
  <r>
    <d v="2022-08-16T00:00:00"/>
    <x v="7"/>
    <s v="Yeezy Boost 350"/>
    <s v="Sneakers"/>
    <s v="Adidas"/>
    <s v="Men"/>
    <x v="3"/>
    <s v="UK"/>
    <n v="1"/>
    <n v="164.57"/>
    <n v="164.57"/>
    <s v="Cash on Delivery"/>
  </r>
  <r>
    <d v="2022-04-13T00:00:00"/>
    <x v="1"/>
    <s v="Jordan 1 High"/>
    <s v="Sneakers"/>
    <s v="Nike"/>
    <s v="Men"/>
    <x v="2"/>
    <s v="Canada"/>
    <n v="4"/>
    <n v="203.25"/>
    <n v="813"/>
    <s v="Wallet"/>
  </r>
  <r>
    <d v="2022-05-13T00:00:00"/>
    <x v="0"/>
    <s v="Off-White Hoodie"/>
    <s v="Hoodie"/>
    <s v="Off-White"/>
    <s v="Women"/>
    <x v="1"/>
    <s v="UK"/>
    <n v="5"/>
    <n v="91.11"/>
    <n v="455.55"/>
    <s v="Cash on Delivery"/>
  </r>
  <r>
    <d v="2022-02-17T00:00:00"/>
    <x v="5"/>
    <s v="Off-White Hoodie"/>
    <s v="Hoodie"/>
    <s v="Off-White"/>
    <s v="Unisex"/>
    <x v="3"/>
    <s v="USA"/>
    <n v="3"/>
    <n v="57.92"/>
    <n v="173.76"/>
    <s v="Cash on Delivery"/>
  </r>
  <r>
    <d v="2022-07-31T00:00:00"/>
    <x v="3"/>
    <s v="Jordan 1 High"/>
    <s v="Sneakers"/>
    <s v="Nike"/>
    <s v="Women"/>
    <x v="0"/>
    <s v="Japan"/>
    <n v="3"/>
    <n v="209.3"/>
    <n v="627.9"/>
    <s v="Wallet"/>
  </r>
  <r>
    <d v="2022-08-25T00:00:00"/>
    <x v="7"/>
    <s v="Adidas Ultraboost"/>
    <s v="Sneakers"/>
    <s v="Adidas"/>
    <s v="Unisex"/>
    <x v="2"/>
    <s v="Germany"/>
    <n v="1"/>
    <n v="112.26"/>
    <n v="112.26"/>
    <s v="UPI"/>
  </r>
  <r>
    <d v="2022-08-30T00:00:00"/>
    <x v="7"/>
    <s v="Nike Dunk Low"/>
    <s v="Sneakers"/>
    <s v="Nike"/>
    <s v="Women"/>
    <x v="0"/>
    <s v="Canada"/>
    <n v="2"/>
    <n v="216.83"/>
    <n v="433.66"/>
    <s v="UPI"/>
  </r>
  <r>
    <d v="2022-07-21T00:00:00"/>
    <x v="3"/>
    <s v="Puma Joggers"/>
    <s v="Joggers"/>
    <s v="Puma"/>
    <s v="Unisex"/>
    <x v="0"/>
    <s v="Canada"/>
    <n v="5"/>
    <n v="68.52"/>
    <n v="342.6"/>
    <s v="UPI"/>
  </r>
  <r>
    <d v="2022-08-02T00:00:00"/>
    <x v="7"/>
    <s v="Supreme Hoodie"/>
    <s v="Hoodie"/>
    <s v="Supreme"/>
    <s v="Men"/>
    <x v="2"/>
    <s v="Canada"/>
    <n v="1"/>
    <n v="98.04"/>
    <n v="98.04"/>
    <s v="Cash on Delivery"/>
  </r>
  <r>
    <d v="2022-06-30T00:00:00"/>
    <x v="4"/>
    <s v="Fear of God Essentials Tee"/>
    <s v="T-shirt"/>
    <s v="Essentials"/>
    <s v="Men"/>
    <x v="2"/>
    <s v="India"/>
    <n v="5"/>
    <n v="204.35"/>
    <n v="1021.75"/>
    <s v="Wallet"/>
  </r>
  <r>
    <d v="2022-04-10T00:00:00"/>
    <x v="1"/>
    <s v="Nike Dunk Low"/>
    <s v="Sneakers"/>
    <s v="Nike"/>
    <s v="Women"/>
    <x v="3"/>
    <s v="Germany"/>
    <n v="4"/>
    <n v="283.7"/>
    <n v="1134.8"/>
    <s v="Card"/>
  </r>
  <r>
    <d v="2022-07-03T00:00:00"/>
    <x v="3"/>
    <s v="Off-White Hoodie"/>
    <s v="Hoodie"/>
    <s v="Off-White"/>
    <s v="Women"/>
    <x v="0"/>
    <s v="India"/>
    <n v="4"/>
    <n v="172.52"/>
    <n v="690.08"/>
    <s v="UPI"/>
  </r>
  <r>
    <d v="2022-02-26T00:00:00"/>
    <x v="5"/>
    <s v="Jordan 1 High"/>
    <s v="Sneakers"/>
    <s v="Nike"/>
    <s v="Men"/>
    <x v="0"/>
    <s v="USA"/>
    <n v="3"/>
    <n v="51.81"/>
    <n v="155.43"/>
    <s v="Wallet"/>
  </r>
  <r>
    <d v="2022-04-29T00:00:00"/>
    <x v="1"/>
    <s v="Nike Tech Fleece"/>
    <s v="Hoodie"/>
    <s v="Nike"/>
    <s v="Men"/>
    <x v="1"/>
    <s v="Japan"/>
    <n v="5"/>
    <n v="71.28"/>
    <n v="356.4"/>
    <s v="Cash on Delivery"/>
  </r>
  <r>
    <d v="2022-02-24T00:00:00"/>
    <x v="5"/>
    <s v="Yeezy Boost 350"/>
    <s v="Sneakers"/>
    <s v="Adidas"/>
    <s v="Unisex"/>
    <x v="1"/>
    <s v="Canada"/>
    <n v="2"/>
    <n v="248.44"/>
    <n v="496.88"/>
    <s v="Cash on Delivery"/>
  </r>
  <r>
    <d v="2022-07-03T00:00:00"/>
    <x v="3"/>
    <s v="Yeezy Boost 350"/>
    <s v="Sneakers"/>
    <s v="Adidas"/>
    <s v="Women"/>
    <x v="1"/>
    <s v="India"/>
    <n v="2"/>
    <n v="107.04"/>
    <n v="214.08"/>
    <s v="Card"/>
  </r>
  <r>
    <d v="2022-08-30T00:00:00"/>
    <x v="7"/>
    <s v="Puma Joggers"/>
    <s v="Joggers"/>
    <s v="Puma"/>
    <s v="Women"/>
    <x v="1"/>
    <s v="Australia"/>
    <n v="1"/>
    <n v="132.07"/>
    <n v="132.07"/>
    <s v="Wallet"/>
  </r>
  <r>
    <d v="2022-07-09T00:00:00"/>
    <x v="3"/>
    <s v="Nike Dunk Low"/>
    <s v="Sneakers"/>
    <s v="Nike"/>
    <s v="Men"/>
    <x v="2"/>
    <s v="Japan"/>
    <n v="3"/>
    <n v="118.37"/>
    <n v="355.11"/>
    <s v="Card"/>
  </r>
  <r>
    <d v="2022-04-18T00:00:00"/>
    <x v="1"/>
    <s v="Nike Tech Fleece"/>
    <s v="Hoodie"/>
    <s v="Nike"/>
    <s v="Women"/>
    <x v="3"/>
    <s v="Germany"/>
    <n v="5"/>
    <n v="243.74"/>
    <n v="1218.7"/>
    <s v="Wallet"/>
  </r>
  <r>
    <d v="2022-01-16T00:00:00"/>
    <x v="6"/>
    <s v="Nike Dunk Low"/>
    <s v="Sneakers"/>
    <s v="Nike"/>
    <s v="Unisex"/>
    <x v="0"/>
    <s v="Japan"/>
    <n v="5"/>
    <n v="150.02000000000001"/>
    <n v="750.1"/>
    <s v="Cash on Delivery"/>
  </r>
  <r>
    <d v="2022-04-02T00:00:00"/>
    <x v="1"/>
    <s v="Nike Tech Fleece"/>
    <s v="Hoodie"/>
    <s v="Nike"/>
    <s v="Women"/>
    <x v="3"/>
    <s v="Australia"/>
    <n v="3"/>
    <n v="73.31"/>
    <n v="219.93"/>
    <s v="Wallet"/>
  </r>
  <r>
    <d v="2022-08-25T00:00:00"/>
    <x v="7"/>
    <s v="Puma Joggers"/>
    <s v="Joggers"/>
    <s v="Puma"/>
    <s v="Men"/>
    <x v="2"/>
    <s v="Australia"/>
    <n v="2"/>
    <n v="176.24"/>
    <n v="352.48"/>
    <s v="Cash on Delivery"/>
  </r>
  <r>
    <d v="2022-05-27T00:00:00"/>
    <x v="0"/>
    <s v="Adidas Ultraboost"/>
    <s v="Sneakers"/>
    <s v="Adidas"/>
    <s v="Women"/>
    <x v="1"/>
    <s v="UK"/>
    <n v="5"/>
    <n v="135.5"/>
    <n v="677.5"/>
    <s v="UPI"/>
  </r>
  <r>
    <d v="2022-08-18T00:00:00"/>
    <x v="7"/>
    <s v="Fear of God Essentials Tee"/>
    <s v="T-shirt"/>
    <s v="Essentials"/>
    <s v="Men"/>
    <x v="1"/>
    <s v="Canada"/>
    <n v="4"/>
    <n v="250.12"/>
    <n v="1000.48"/>
    <s v="Card"/>
  </r>
  <r>
    <d v="2022-07-03T00:00:00"/>
    <x v="3"/>
    <s v="Yeezy Boost 350"/>
    <s v="Sneakers"/>
    <s v="Adidas"/>
    <s v="Women"/>
    <x v="2"/>
    <s v="Australia"/>
    <n v="4"/>
    <n v="145.88999999999999"/>
    <n v="583.55999999999995"/>
    <s v="Card"/>
  </r>
  <r>
    <d v="2022-05-07T00:00:00"/>
    <x v="0"/>
    <s v="Nike Tech Fleece"/>
    <s v="Hoodie"/>
    <s v="Nike"/>
    <s v="Unisex"/>
    <x v="2"/>
    <s v="USA"/>
    <n v="4"/>
    <n v="281.54000000000002"/>
    <n v="1126.1600000000001"/>
    <s v="Wallet"/>
  </r>
  <r>
    <d v="2022-06-25T00:00:00"/>
    <x v="4"/>
    <s v="Jordan 1 High"/>
    <s v="Sneakers"/>
    <s v="Nike"/>
    <s v="Unisex"/>
    <x v="2"/>
    <s v="Australia"/>
    <n v="4"/>
    <n v="121.42"/>
    <n v="485.68"/>
    <s v="Card"/>
  </r>
  <r>
    <d v="2022-06-03T00:00:00"/>
    <x v="4"/>
    <s v="Jordan 1 High"/>
    <s v="Sneakers"/>
    <s v="Nike"/>
    <s v="Women"/>
    <x v="3"/>
    <s v="India"/>
    <n v="4"/>
    <n v="265.91000000000003"/>
    <n v="1063.6400000000001"/>
    <s v="UPI"/>
  </r>
  <r>
    <d v="2022-01-25T00:00:00"/>
    <x v="6"/>
    <s v="Fear of God Essentials Tee"/>
    <s v="T-shirt"/>
    <s v="Essentials"/>
    <s v="Women"/>
    <x v="0"/>
    <s v="Germany"/>
    <n v="1"/>
    <n v="240.42"/>
    <n v="240.42"/>
    <s v="Card"/>
  </r>
  <r>
    <d v="2022-01-08T00:00:00"/>
    <x v="6"/>
    <s v="Adidas Ultraboost"/>
    <s v="Sneakers"/>
    <s v="Adidas"/>
    <s v="Women"/>
    <x v="1"/>
    <s v="USA"/>
    <n v="5"/>
    <n v="275.27"/>
    <n v="1376.35"/>
    <s v="Card"/>
  </r>
  <r>
    <d v="2022-08-09T00:00:00"/>
    <x v="7"/>
    <s v="Supreme Hoodie"/>
    <s v="Hoodie"/>
    <s v="Supreme"/>
    <s v="Women"/>
    <x v="3"/>
    <s v="India"/>
    <n v="3"/>
    <n v="154.79"/>
    <n v="464.37"/>
    <s v="Card"/>
  </r>
  <r>
    <d v="2022-08-13T00:00:00"/>
    <x v="7"/>
    <s v="Supreme Hoodie"/>
    <s v="Hoodie"/>
    <s v="Supreme"/>
    <s v="Unisex"/>
    <x v="1"/>
    <s v="India"/>
    <n v="5"/>
    <n v="139"/>
    <n v="695"/>
    <s v="UPI"/>
  </r>
  <r>
    <d v="2022-06-21T00:00:00"/>
    <x v="4"/>
    <s v="Nike Tech Fleece"/>
    <s v="Hoodie"/>
    <s v="Nike"/>
    <s v="Unisex"/>
    <x v="3"/>
    <s v="Australia"/>
    <n v="3"/>
    <n v="79.27"/>
    <n v="237.81"/>
    <s v="Card"/>
  </r>
  <r>
    <d v="2022-08-23T00:00:00"/>
    <x v="7"/>
    <s v="Off-White Hoodie"/>
    <s v="Hoodie"/>
    <s v="Off-White"/>
    <s v="Men"/>
    <x v="2"/>
    <s v="Canada"/>
    <n v="2"/>
    <n v="237.1"/>
    <n v="474.2"/>
    <s v="Cash on Delivery"/>
  </r>
  <r>
    <d v="2022-01-29T00:00:00"/>
    <x v="6"/>
    <s v="Off-White Hoodie"/>
    <s v="Hoodie"/>
    <s v="Off-White"/>
    <s v="Men"/>
    <x v="2"/>
    <s v="UK"/>
    <n v="4"/>
    <n v="228.46"/>
    <n v="913.84"/>
    <s v="Cash on Delivery"/>
  </r>
  <r>
    <d v="2022-06-12T00:00:00"/>
    <x v="4"/>
    <s v="Supreme Hoodie"/>
    <s v="Hoodie"/>
    <s v="Supreme"/>
    <s v="Men"/>
    <x v="1"/>
    <s v="Canada"/>
    <n v="4"/>
    <n v="52.42"/>
    <n v="209.68"/>
    <s v="Wallet"/>
  </r>
  <r>
    <d v="2022-08-26T00:00:00"/>
    <x v="7"/>
    <s v="Nike Dunk Low"/>
    <s v="Sneakers"/>
    <s v="Nike"/>
    <s v="Men"/>
    <x v="0"/>
    <s v="Japan"/>
    <n v="3"/>
    <n v="270.52"/>
    <n v="811.56"/>
    <s v="UPI"/>
  </r>
  <r>
    <d v="2022-01-08T00:00:00"/>
    <x v="6"/>
    <s v="Jordan 1 High"/>
    <s v="Sneakers"/>
    <s v="Nike"/>
    <s v="Unisex"/>
    <x v="0"/>
    <s v="UK"/>
    <n v="4"/>
    <n v="119.36"/>
    <n v="477.44"/>
    <s v="Cash on Delivery"/>
  </r>
  <r>
    <d v="2022-01-23T00:00:00"/>
    <x v="6"/>
    <s v="New Era Cap"/>
    <s v="Cap"/>
    <s v="New Era"/>
    <s v="Women"/>
    <x v="0"/>
    <s v="UK"/>
    <n v="3"/>
    <n v="125.26"/>
    <n v="375.78"/>
    <s v="Wallet"/>
  </r>
  <r>
    <d v="2022-06-02T00:00:00"/>
    <x v="4"/>
    <s v="Off-White Hoodie"/>
    <s v="Hoodie"/>
    <s v="Off-White"/>
    <s v="Women"/>
    <x v="2"/>
    <s v="Canada"/>
    <n v="3"/>
    <n v="296.55"/>
    <n v="889.65"/>
    <s v="Card"/>
  </r>
  <r>
    <d v="2022-06-13T00:00:00"/>
    <x v="4"/>
    <s v="Puma Joggers"/>
    <s v="Joggers"/>
    <s v="Puma"/>
    <s v="Women"/>
    <x v="2"/>
    <s v="UK"/>
    <n v="1"/>
    <n v="56.73"/>
    <n v="56.73"/>
    <s v="Wallet"/>
  </r>
  <r>
    <d v="2022-01-18T00:00:00"/>
    <x v="6"/>
    <s v="Supreme Hoodie"/>
    <s v="Hoodie"/>
    <s v="Supreme"/>
    <s v="Unisex"/>
    <x v="2"/>
    <s v="UK"/>
    <n v="1"/>
    <n v="91.56"/>
    <n v="91.56"/>
    <s v="UPI"/>
  </r>
  <r>
    <d v="2022-04-11T00:00:00"/>
    <x v="1"/>
    <s v="New Era Cap"/>
    <s v="Cap"/>
    <s v="New Era"/>
    <s v="Women"/>
    <x v="3"/>
    <s v="USA"/>
    <n v="2"/>
    <n v="152.54"/>
    <n v="305.08"/>
    <s v="Card"/>
  </r>
  <r>
    <d v="2022-07-04T00:00:00"/>
    <x v="3"/>
    <s v="New Era Cap"/>
    <s v="Cap"/>
    <s v="New Era"/>
    <s v="Women"/>
    <x v="2"/>
    <s v="Australia"/>
    <n v="4"/>
    <n v="61.37"/>
    <n v="245.48"/>
    <s v="Cash on Delivery"/>
  </r>
  <r>
    <d v="2022-03-07T00:00:00"/>
    <x v="2"/>
    <s v="Off-White Hoodie"/>
    <s v="Hoodie"/>
    <s v="Off-White"/>
    <s v="Men"/>
    <x v="3"/>
    <s v="Japan"/>
    <n v="3"/>
    <n v="162.36000000000001"/>
    <n v="487.08"/>
    <s v="Wallet"/>
  </r>
  <r>
    <d v="2022-06-29T00:00:00"/>
    <x v="4"/>
    <s v="Supreme Hoodie"/>
    <s v="Hoodie"/>
    <s v="Supreme"/>
    <s v="Men"/>
    <x v="3"/>
    <s v="USA"/>
    <n v="2"/>
    <n v="257.5"/>
    <n v="515"/>
    <s v="UPI"/>
  </r>
  <r>
    <d v="2022-05-21T00:00:00"/>
    <x v="0"/>
    <s v="Nike Dunk Low"/>
    <s v="Sneakers"/>
    <s v="Nike"/>
    <s v="Women"/>
    <x v="2"/>
    <s v="Germany"/>
    <n v="4"/>
    <n v="202.28"/>
    <n v="809.12"/>
    <s v="Card"/>
  </r>
  <r>
    <d v="2022-07-07T00:00:00"/>
    <x v="3"/>
    <s v="New Era Cap"/>
    <s v="Cap"/>
    <s v="New Era"/>
    <s v="Unisex"/>
    <x v="2"/>
    <s v="India"/>
    <n v="1"/>
    <n v="224.83"/>
    <n v="224.83"/>
    <s v="Cash on Delivery"/>
  </r>
  <r>
    <d v="2022-04-02T00:00:00"/>
    <x v="1"/>
    <s v="Puma Joggers"/>
    <s v="Joggers"/>
    <s v="Puma"/>
    <s v="Men"/>
    <x v="3"/>
    <s v="Canada"/>
    <n v="3"/>
    <n v="256.27"/>
    <n v="768.81"/>
    <s v="Cash on Delivery"/>
  </r>
  <r>
    <d v="2022-03-26T00:00:00"/>
    <x v="2"/>
    <s v="Yeezy Boost 350"/>
    <s v="Sneakers"/>
    <s v="Adidas"/>
    <s v="Women"/>
    <x v="0"/>
    <s v="UK"/>
    <n v="2"/>
    <n v="277.26"/>
    <n v="554.52"/>
    <s v="UPI"/>
  </r>
  <r>
    <d v="2022-07-04T00:00:00"/>
    <x v="3"/>
    <s v="Puma Joggers"/>
    <s v="Joggers"/>
    <s v="Puma"/>
    <s v="Unisex"/>
    <x v="3"/>
    <s v="Canada"/>
    <n v="3"/>
    <n v="271.19"/>
    <n v="813.57"/>
    <s v="Cash on Delivery"/>
  </r>
  <r>
    <d v="2022-01-12T00:00:00"/>
    <x v="6"/>
    <s v="Off-White Hoodie"/>
    <s v="Hoodie"/>
    <s v="Off-White"/>
    <s v="Men"/>
    <x v="3"/>
    <s v="Canada"/>
    <n v="3"/>
    <n v="205.62"/>
    <n v="616.86"/>
    <s v="Wallet"/>
  </r>
  <r>
    <d v="2022-08-01T00:00:00"/>
    <x v="7"/>
    <s v="Jordan 1 High"/>
    <s v="Sneakers"/>
    <s v="Nike"/>
    <s v="Men"/>
    <x v="3"/>
    <s v="USA"/>
    <n v="4"/>
    <n v="130.97"/>
    <n v="523.88"/>
    <s v="Card"/>
  </r>
  <r>
    <d v="2022-03-26T00:00:00"/>
    <x v="2"/>
    <s v="Fear of God Essentials Tee"/>
    <s v="T-shirt"/>
    <s v="Essentials"/>
    <s v="Men"/>
    <x v="3"/>
    <s v="Canada"/>
    <n v="5"/>
    <n v="267.70999999999998"/>
    <n v="1338.55"/>
    <s v="Cash on Delivery"/>
  </r>
  <r>
    <d v="2022-01-04T00:00:00"/>
    <x v="6"/>
    <s v="Nike Dunk Low"/>
    <s v="Sneakers"/>
    <s v="Nike"/>
    <s v="Men"/>
    <x v="1"/>
    <s v="USA"/>
    <n v="4"/>
    <n v="151.37"/>
    <n v="605.48"/>
    <s v="UPI"/>
  </r>
  <r>
    <d v="2022-03-07T00:00:00"/>
    <x v="2"/>
    <s v="Off-White Hoodie"/>
    <s v="Hoodie"/>
    <s v="Off-White"/>
    <s v="Men"/>
    <x v="1"/>
    <s v="Canada"/>
    <n v="5"/>
    <n v="89.84"/>
    <n v="449.2"/>
    <s v="Wallet"/>
  </r>
  <r>
    <d v="2022-04-25T00:00:00"/>
    <x v="1"/>
    <s v="Puma Joggers"/>
    <s v="Joggers"/>
    <s v="Puma"/>
    <s v="Men"/>
    <x v="3"/>
    <s v="Canada"/>
    <n v="1"/>
    <n v="276.64"/>
    <n v="276.64"/>
    <s v="Card"/>
  </r>
  <r>
    <d v="2022-03-15T00:00:00"/>
    <x v="2"/>
    <s v="Puma Joggers"/>
    <s v="Joggers"/>
    <s v="Puma"/>
    <s v="Unisex"/>
    <x v="0"/>
    <s v="India"/>
    <n v="3"/>
    <n v="203.41"/>
    <n v="610.23"/>
    <s v="Card"/>
  </r>
  <r>
    <d v="2022-08-10T00:00:00"/>
    <x v="7"/>
    <s v="Nike Tech Fleece"/>
    <s v="Hoodie"/>
    <s v="Nike"/>
    <s v="Men"/>
    <x v="0"/>
    <s v="UK"/>
    <n v="2"/>
    <n v="195.85"/>
    <n v="391.7"/>
    <s v="Wallet"/>
  </r>
  <r>
    <d v="2022-08-04T00:00:00"/>
    <x v="7"/>
    <s v="Puma Joggers"/>
    <s v="Joggers"/>
    <s v="Puma"/>
    <s v="Men"/>
    <x v="1"/>
    <s v="Australia"/>
    <n v="2"/>
    <n v="288.87"/>
    <n v="577.74"/>
    <s v="UPI"/>
  </r>
  <r>
    <d v="2022-05-11T00:00:00"/>
    <x v="0"/>
    <s v="Nike Tech Fleece"/>
    <s v="Hoodie"/>
    <s v="Nike"/>
    <s v="Men"/>
    <x v="1"/>
    <s v="Australia"/>
    <n v="1"/>
    <n v="65.45"/>
    <n v="65.45"/>
    <s v="Cash on Delivery"/>
  </r>
  <r>
    <d v="2022-01-01T00:00:00"/>
    <x v="6"/>
    <s v="Yeezy Boost 350"/>
    <s v="Sneakers"/>
    <s v="Adidas"/>
    <s v="Unisex"/>
    <x v="2"/>
    <s v="USA"/>
    <n v="1"/>
    <n v="202.42"/>
    <n v="202.42"/>
    <s v="Wallet"/>
  </r>
  <r>
    <d v="2022-03-05T00:00:00"/>
    <x v="2"/>
    <s v="Nike Tech Fleece"/>
    <s v="Hoodie"/>
    <s v="Nike"/>
    <s v="Men"/>
    <x v="3"/>
    <s v="Australia"/>
    <n v="2"/>
    <n v="51.11"/>
    <n v="102.22"/>
    <s v="Cash on Delivery"/>
  </r>
  <r>
    <d v="2022-07-24T00:00:00"/>
    <x v="3"/>
    <s v="New Era Cap"/>
    <s v="Cap"/>
    <s v="New Era"/>
    <s v="Men"/>
    <x v="0"/>
    <s v="Japan"/>
    <n v="1"/>
    <n v="292.68"/>
    <n v="292.68"/>
    <s v="UPI"/>
  </r>
  <r>
    <d v="2022-08-10T00:00:00"/>
    <x v="7"/>
    <s v="Puma Joggers"/>
    <s v="Joggers"/>
    <s v="Puma"/>
    <s v="Women"/>
    <x v="2"/>
    <s v="USA"/>
    <n v="2"/>
    <n v="175.51"/>
    <n v="351.02"/>
    <s v="UPI"/>
  </r>
  <r>
    <d v="2022-03-13T00:00:00"/>
    <x v="2"/>
    <s v="Yeezy Boost 350"/>
    <s v="Sneakers"/>
    <s v="Adidas"/>
    <s v="Women"/>
    <x v="1"/>
    <s v="Germany"/>
    <n v="4"/>
    <n v="211.37"/>
    <n v="845.48"/>
    <s v="Card"/>
  </r>
  <r>
    <d v="2022-03-23T00:00:00"/>
    <x v="2"/>
    <s v="Nike Tech Fleece"/>
    <s v="Hoodie"/>
    <s v="Nike"/>
    <s v="Unisex"/>
    <x v="2"/>
    <s v="Germany"/>
    <n v="1"/>
    <n v="209.78"/>
    <n v="209.78"/>
    <s v="UPI"/>
  </r>
  <r>
    <d v="2022-05-12T00:00:00"/>
    <x v="0"/>
    <s v="Nike Dunk Low"/>
    <s v="Sneakers"/>
    <s v="Nike"/>
    <s v="Unisex"/>
    <x v="2"/>
    <s v="India"/>
    <n v="1"/>
    <n v="59.85"/>
    <n v="59.85"/>
    <s v="Wallet"/>
  </r>
  <r>
    <d v="2022-07-17T00:00:00"/>
    <x v="3"/>
    <s v="Nike Dunk Low"/>
    <s v="Sneakers"/>
    <s v="Nike"/>
    <s v="Unisex"/>
    <x v="3"/>
    <s v="Canada"/>
    <n v="3"/>
    <n v="156.27000000000001"/>
    <n v="468.81"/>
    <s v="UPI"/>
  </r>
  <r>
    <d v="2022-03-08T00:00:00"/>
    <x v="2"/>
    <s v="Yeezy Boost 350"/>
    <s v="Sneakers"/>
    <s v="Adidas"/>
    <s v="Unisex"/>
    <x v="0"/>
    <s v="Australia"/>
    <n v="2"/>
    <n v="175"/>
    <n v="350"/>
    <s v="Card"/>
  </r>
  <r>
    <d v="2022-08-05T00:00:00"/>
    <x v="7"/>
    <s v="Off-White Hoodie"/>
    <s v="Hoodie"/>
    <s v="Off-White"/>
    <s v="Men"/>
    <x v="2"/>
    <s v="UK"/>
    <n v="2"/>
    <n v="88"/>
    <n v="176"/>
    <s v="Wallet"/>
  </r>
  <r>
    <d v="2022-07-02T00:00:00"/>
    <x v="3"/>
    <s v="Nike Dunk Low"/>
    <s v="Sneakers"/>
    <s v="Nike"/>
    <s v="Men"/>
    <x v="2"/>
    <s v="UK"/>
    <n v="4"/>
    <n v="293.33"/>
    <n v="1173.32"/>
    <s v="Card"/>
  </r>
  <r>
    <d v="2022-07-17T00:00:00"/>
    <x v="3"/>
    <s v="Nike Dunk Low"/>
    <s v="Sneakers"/>
    <s v="Nike"/>
    <s v="Unisex"/>
    <x v="0"/>
    <s v="Germany"/>
    <n v="5"/>
    <n v="285.37"/>
    <n v="1426.85"/>
    <s v="UPI"/>
  </r>
  <r>
    <d v="2022-01-15T00:00:00"/>
    <x v="6"/>
    <s v="Off-White Hoodie"/>
    <s v="Hoodie"/>
    <s v="Off-White"/>
    <s v="Women"/>
    <x v="1"/>
    <s v="USA"/>
    <n v="5"/>
    <n v="220.59"/>
    <n v="1102.95"/>
    <s v="Wallet"/>
  </r>
  <r>
    <d v="2022-03-03T00:00:00"/>
    <x v="2"/>
    <s v="Nike Dunk Low"/>
    <s v="Sneakers"/>
    <s v="Nike"/>
    <s v="Men"/>
    <x v="3"/>
    <s v="Australia"/>
    <n v="5"/>
    <n v="214"/>
    <n v="1070"/>
    <s v="Wallet"/>
  </r>
  <r>
    <d v="2022-08-18T00:00:00"/>
    <x v="7"/>
    <s v="Yeezy Boost 350"/>
    <s v="Sneakers"/>
    <s v="Adidas"/>
    <s v="Unisex"/>
    <x v="0"/>
    <s v="Germany"/>
    <n v="5"/>
    <n v="208.24"/>
    <n v="1041.2"/>
    <s v="Card"/>
  </r>
  <r>
    <d v="2022-06-07T00:00:00"/>
    <x v="4"/>
    <s v="Supreme Hoodie"/>
    <s v="Hoodie"/>
    <s v="Supreme"/>
    <s v="Unisex"/>
    <x v="2"/>
    <s v="Germany"/>
    <n v="4"/>
    <n v="133.69999999999999"/>
    <n v="534.79999999999995"/>
    <s v="UPI"/>
  </r>
  <r>
    <d v="2022-08-24T00:00:00"/>
    <x v="7"/>
    <s v="Fear of God Essentials Tee"/>
    <s v="T-shirt"/>
    <s v="Essentials"/>
    <s v="Men"/>
    <x v="2"/>
    <s v="India"/>
    <n v="2"/>
    <n v="158.69999999999999"/>
    <n v="317.39999999999998"/>
    <s v="Wallet"/>
  </r>
  <r>
    <d v="2022-01-19T00:00:00"/>
    <x v="6"/>
    <s v="Nike Tech Fleece"/>
    <s v="Hoodie"/>
    <s v="Nike"/>
    <s v="Women"/>
    <x v="3"/>
    <s v="UK"/>
    <n v="2"/>
    <n v="244.13"/>
    <n v="488.26"/>
    <s v="Cash on Delivery"/>
  </r>
  <r>
    <d v="2022-08-19T00:00:00"/>
    <x v="7"/>
    <s v="Nike Tech Fleece"/>
    <s v="Hoodie"/>
    <s v="Nike"/>
    <s v="Women"/>
    <x v="2"/>
    <s v="Australia"/>
    <n v="5"/>
    <n v="147.99"/>
    <n v="739.95"/>
    <s v="UPI"/>
  </r>
  <r>
    <d v="2022-08-11T00:00:00"/>
    <x v="7"/>
    <s v="Fear of God Essentials Tee"/>
    <s v="T-shirt"/>
    <s v="Essentials"/>
    <s v="Unisex"/>
    <x v="2"/>
    <s v="Japan"/>
    <n v="1"/>
    <n v="157.81"/>
    <n v="157.81"/>
    <s v="Cash on Delivery"/>
  </r>
  <r>
    <d v="2022-03-24T00:00:00"/>
    <x v="2"/>
    <s v="Puma Joggers"/>
    <s v="Joggers"/>
    <s v="Puma"/>
    <s v="Unisex"/>
    <x v="3"/>
    <s v="Germany"/>
    <n v="2"/>
    <n v="212.76"/>
    <n v="425.52"/>
    <s v="Wallet"/>
  </r>
  <r>
    <d v="2022-01-17T00:00:00"/>
    <x v="6"/>
    <s v="Adidas Ultraboost"/>
    <s v="Sneakers"/>
    <s v="Adidas"/>
    <s v="Women"/>
    <x v="2"/>
    <s v="Australia"/>
    <n v="3"/>
    <n v="225.9"/>
    <n v="677.7"/>
    <s v="Wallet"/>
  </r>
  <r>
    <d v="2022-02-09T00:00:00"/>
    <x v="5"/>
    <s v="New Era Cap"/>
    <s v="Cap"/>
    <s v="New Era"/>
    <s v="Men"/>
    <x v="3"/>
    <s v="Canada"/>
    <n v="3"/>
    <n v="112.98"/>
    <n v="338.94"/>
    <s v="Wallet"/>
  </r>
  <r>
    <d v="2022-05-13T00:00:00"/>
    <x v="0"/>
    <s v="New Era Cap"/>
    <s v="Cap"/>
    <s v="New Era"/>
    <s v="Unisex"/>
    <x v="2"/>
    <s v="Canada"/>
    <n v="2"/>
    <n v="100.84"/>
    <n v="201.68"/>
    <s v="Cash on Delivery"/>
  </r>
  <r>
    <d v="2022-02-03T00:00:00"/>
    <x v="5"/>
    <s v="Jordan 1 High"/>
    <s v="Sneakers"/>
    <s v="Nike"/>
    <s v="Women"/>
    <x v="2"/>
    <s v="Canada"/>
    <n v="4"/>
    <n v="292.75"/>
    <n v="1171"/>
    <s v="Wallet"/>
  </r>
  <r>
    <d v="2022-02-08T00:00:00"/>
    <x v="5"/>
    <s v="Nike Tech Fleece"/>
    <s v="Hoodie"/>
    <s v="Nike"/>
    <s v="Men"/>
    <x v="3"/>
    <s v="UK"/>
    <n v="3"/>
    <n v="82.62"/>
    <n v="247.86"/>
    <s v="Cash on Delivery"/>
  </r>
  <r>
    <d v="2022-07-18T00:00:00"/>
    <x v="3"/>
    <s v="Off-White Hoodie"/>
    <s v="Hoodie"/>
    <s v="Off-White"/>
    <s v="Men"/>
    <x v="1"/>
    <s v="Australia"/>
    <n v="3"/>
    <n v="246.13"/>
    <n v="738.39"/>
    <s v="UPI"/>
  </r>
  <r>
    <d v="2022-04-29T00:00:00"/>
    <x v="1"/>
    <s v="Nike Dunk Low"/>
    <s v="Sneakers"/>
    <s v="Nike"/>
    <s v="Men"/>
    <x v="3"/>
    <s v="Germany"/>
    <n v="4"/>
    <n v="168.01"/>
    <n v="672.04"/>
    <s v="Wallet"/>
  </r>
  <r>
    <d v="2022-08-26T00:00:00"/>
    <x v="7"/>
    <s v="Adidas Ultraboost"/>
    <s v="Sneakers"/>
    <s v="Adidas"/>
    <s v="Men"/>
    <x v="1"/>
    <s v="Japan"/>
    <n v="1"/>
    <n v="93.08"/>
    <n v="93.08"/>
    <s v="Wallet"/>
  </r>
  <r>
    <d v="2022-01-14T00:00:00"/>
    <x v="6"/>
    <s v="Off-White Hoodie"/>
    <s v="Hoodie"/>
    <s v="Off-White"/>
    <s v="Women"/>
    <x v="0"/>
    <s v="Australia"/>
    <n v="3"/>
    <n v="161.55000000000001"/>
    <n v="484.65"/>
    <s v="UPI"/>
  </r>
  <r>
    <d v="2022-02-25T00:00:00"/>
    <x v="5"/>
    <s v="New Era Cap"/>
    <s v="Cap"/>
    <s v="New Era"/>
    <s v="Men"/>
    <x v="2"/>
    <s v="Germany"/>
    <n v="3"/>
    <n v="228.84"/>
    <n v="686.52"/>
    <s v="UPI"/>
  </r>
  <r>
    <d v="2022-05-23T00:00:00"/>
    <x v="0"/>
    <s v="Off-White Hoodie"/>
    <s v="Hoodie"/>
    <s v="Off-White"/>
    <s v="Women"/>
    <x v="1"/>
    <s v="USA"/>
    <n v="4"/>
    <n v="221.31"/>
    <n v="885.24"/>
    <s v="Card"/>
  </r>
  <r>
    <d v="2022-07-26T00:00:00"/>
    <x v="3"/>
    <s v="New Era Cap"/>
    <s v="Cap"/>
    <s v="New Era"/>
    <s v="Women"/>
    <x v="1"/>
    <s v="UK"/>
    <n v="2"/>
    <n v="287.68"/>
    <n v="575.36"/>
    <s v="Cash on Delivery"/>
  </r>
  <r>
    <d v="2022-01-16T00:00:00"/>
    <x v="6"/>
    <s v="Nike Dunk Low"/>
    <s v="Sneakers"/>
    <s v="Nike"/>
    <s v="Women"/>
    <x v="0"/>
    <s v="UK"/>
    <n v="5"/>
    <n v="168.7"/>
    <n v="843.5"/>
    <s v="Wallet"/>
  </r>
  <r>
    <d v="2022-06-01T00:00:00"/>
    <x v="4"/>
    <s v="Fear of God Essentials Tee"/>
    <s v="T-shirt"/>
    <s v="Essentials"/>
    <s v="Women"/>
    <x v="3"/>
    <s v="UK"/>
    <n v="3"/>
    <n v="153.82"/>
    <n v="461.46"/>
    <s v="Cash on Delivery"/>
  </r>
  <r>
    <d v="2022-02-13T00:00:00"/>
    <x v="5"/>
    <s v="Adidas Ultraboost"/>
    <s v="Sneakers"/>
    <s v="Adidas"/>
    <s v="Unisex"/>
    <x v="2"/>
    <s v="Japan"/>
    <n v="4"/>
    <n v="281"/>
    <n v="1124"/>
    <s v="UPI"/>
  </r>
  <r>
    <d v="2022-03-28T00:00:00"/>
    <x v="2"/>
    <s v="Puma Joggers"/>
    <s v="Joggers"/>
    <s v="Puma"/>
    <s v="Women"/>
    <x v="3"/>
    <s v="India"/>
    <n v="5"/>
    <n v="112.4"/>
    <n v="562"/>
    <s v="Wallet"/>
  </r>
  <r>
    <d v="2022-01-20T00:00:00"/>
    <x v="6"/>
    <s v="Off-White Hoodie"/>
    <s v="Hoodie"/>
    <s v="Off-White"/>
    <s v="Unisex"/>
    <x v="0"/>
    <s v="Canada"/>
    <n v="1"/>
    <n v="233.16"/>
    <n v="233.16"/>
    <s v="Cash on Delivery"/>
  </r>
  <r>
    <d v="2022-02-27T00:00:00"/>
    <x v="5"/>
    <s v="Yeezy Boost 350"/>
    <s v="Sneakers"/>
    <s v="Adidas"/>
    <s v="Unisex"/>
    <x v="1"/>
    <s v="USA"/>
    <n v="5"/>
    <n v="248.71"/>
    <n v="1243.55"/>
    <s v="Wallet"/>
  </r>
  <r>
    <d v="2022-05-26T00:00:00"/>
    <x v="0"/>
    <s v="Nike Tech Fleece"/>
    <s v="Hoodie"/>
    <s v="Nike"/>
    <s v="Men"/>
    <x v="2"/>
    <s v="Australia"/>
    <n v="5"/>
    <n v="157.19999999999999"/>
    <n v="786"/>
    <s v="Wallet"/>
  </r>
  <r>
    <d v="2022-01-29T00:00:00"/>
    <x v="6"/>
    <s v="Yeezy Boost 350"/>
    <s v="Sneakers"/>
    <s v="Adidas"/>
    <s v="Men"/>
    <x v="0"/>
    <s v="Australia"/>
    <n v="4"/>
    <n v="113.75"/>
    <n v="455"/>
    <s v="Wallet"/>
  </r>
  <r>
    <d v="2022-04-14T00:00:00"/>
    <x v="1"/>
    <s v="Yeezy Boost 350"/>
    <s v="Sneakers"/>
    <s v="Adidas"/>
    <s v="Women"/>
    <x v="3"/>
    <s v="Germany"/>
    <n v="1"/>
    <n v="109.66"/>
    <n v="109.66"/>
    <s v="Cash on Delivery"/>
  </r>
  <r>
    <d v="2022-06-06T00:00:00"/>
    <x v="4"/>
    <s v="Puma Joggers"/>
    <s v="Joggers"/>
    <s v="Puma"/>
    <s v="Women"/>
    <x v="2"/>
    <s v="India"/>
    <n v="1"/>
    <n v="81.569999999999993"/>
    <n v="81.569999999999993"/>
    <s v="UPI"/>
  </r>
  <r>
    <d v="2022-02-08T00:00:00"/>
    <x v="5"/>
    <s v="Fear of God Essentials Tee"/>
    <s v="T-shirt"/>
    <s v="Essentials"/>
    <s v="Men"/>
    <x v="2"/>
    <s v="Canada"/>
    <n v="2"/>
    <n v="247.2"/>
    <n v="494.4"/>
    <s v="UPI"/>
  </r>
  <r>
    <d v="2022-05-06T00:00:00"/>
    <x v="0"/>
    <s v="Puma Joggers"/>
    <s v="Joggers"/>
    <s v="Puma"/>
    <s v="Women"/>
    <x v="1"/>
    <s v="Japan"/>
    <n v="4"/>
    <n v="250.26"/>
    <n v="1001.04"/>
    <s v="Card"/>
  </r>
  <r>
    <d v="2022-01-06T00:00:00"/>
    <x v="6"/>
    <s v="Adidas Ultraboost"/>
    <s v="Sneakers"/>
    <s v="Adidas"/>
    <s v="Unisex"/>
    <x v="1"/>
    <s v="Germany"/>
    <n v="1"/>
    <n v="137.19999999999999"/>
    <n v="137.19999999999999"/>
    <s v="Card"/>
  </r>
  <r>
    <d v="2022-03-18T00:00:00"/>
    <x v="2"/>
    <s v="Adidas Ultraboost"/>
    <s v="Sneakers"/>
    <s v="Adidas"/>
    <s v="Women"/>
    <x v="3"/>
    <s v="Canada"/>
    <n v="3"/>
    <n v="164.06"/>
    <n v="492.18"/>
    <s v="UPI"/>
  </r>
  <r>
    <d v="2022-02-07T00:00:00"/>
    <x v="5"/>
    <s v="Off-White Hoodie"/>
    <s v="Hoodie"/>
    <s v="Off-White"/>
    <s v="Unisex"/>
    <x v="3"/>
    <s v="USA"/>
    <n v="4"/>
    <n v="198.45"/>
    <n v="793.8"/>
    <s v="Wallet"/>
  </r>
  <r>
    <d v="2022-06-05T00:00:00"/>
    <x v="4"/>
    <s v="Puma Joggers"/>
    <s v="Joggers"/>
    <s v="Puma"/>
    <s v="Unisex"/>
    <x v="0"/>
    <s v="Germany"/>
    <n v="2"/>
    <n v="162.47999999999999"/>
    <n v="324.95999999999998"/>
    <s v="Cash on Delivery"/>
  </r>
  <r>
    <d v="2022-06-13T00:00:00"/>
    <x v="4"/>
    <s v="Supreme Hoodie"/>
    <s v="Hoodie"/>
    <s v="Supreme"/>
    <s v="Men"/>
    <x v="2"/>
    <s v="UK"/>
    <n v="4"/>
    <n v="243.48"/>
    <n v="973.92"/>
    <s v="Wallet"/>
  </r>
  <r>
    <d v="2022-08-10T00:00:00"/>
    <x v="7"/>
    <s v="Nike Dunk Low"/>
    <s v="Sneakers"/>
    <s v="Nike"/>
    <s v="Women"/>
    <x v="0"/>
    <s v="UK"/>
    <n v="4"/>
    <n v="183.4"/>
    <n v="733.6"/>
    <s v="Card"/>
  </r>
  <r>
    <d v="2022-05-05T00:00:00"/>
    <x v="0"/>
    <s v="Off-White Hoodie"/>
    <s v="Hoodie"/>
    <s v="Off-White"/>
    <s v="Men"/>
    <x v="3"/>
    <s v="UK"/>
    <n v="1"/>
    <n v="271.44"/>
    <n v="271.44"/>
    <s v="Cash on Delivery"/>
  </r>
  <r>
    <d v="2022-03-01T00:00:00"/>
    <x v="2"/>
    <s v="Off-White Hoodie"/>
    <s v="Hoodie"/>
    <s v="Off-White"/>
    <s v="Unisex"/>
    <x v="0"/>
    <s v="USA"/>
    <n v="2"/>
    <n v="135.47999999999999"/>
    <n v="270.95999999999998"/>
    <s v="Cash on Delivery"/>
  </r>
  <r>
    <d v="2022-01-21T00:00:00"/>
    <x v="6"/>
    <s v="Fear of God Essentials Tee"/>
    <s v="T-shirt"/>
    <s v="Essentials"/>
    <s v="Men"/>
    <x v="1"/>
    <s v="Japan"/>
    <n v="5"/>
    <n v="148.46"/>
    <n v="742.3"/>
    <s v="Card"/>
  </r>
  <r>
    <d v="2022-07-10T00:00:00"/>
    <x v="3"/>
    <s v="New Era Cap"/>
    <s v="Cap"/>
    <s v="New Era"/>
    <s v="Men"/>
    <x v="2"/>
    <s v="Canada"/>
    <n v="5"/>
    <n v="251.06"/>
    <n v="1255.3"/>
    <s v="UPI"/>
  </r>
  <r>
    <d v="2022-03-12T00:00:00"/>
    <x v="2"/>
    <s v="New Era Cap"/>
    <s v="Cap"/>
    <s v="New Era"/>
    <s v="Unisex"/>
    <x v="3"/>
    <s v="Germany"/>
    <n v="2"/>
    <n v="195.41"/>
    <n v="390.82"/>
    <s v="Card"/>
  </r>
  <r>
    <d v="2022-01-22T00:00:00"/>
    <x v="6"/>
    <s v="Yeezy Boost 350"/>
    <s v="Sneakers"/>
    <s v="Adidas"/>
    <s v="Unisex"/>
    <x v="0"/>
    <s v="India"/>
    <n v="4"/>
    <n v="206.29"/>
    <n v="825.16"/>
    <s v="Wallet"/>
  </r>
  <r>
    <d v="2022-05-13T00:00:00"/>
    <x v="0"/>
    <s v="New Era Cap"/>
    <s v="Cap"/>
    <s v="New Era"/>
    <s v="Women"/>
    <x v="3"/>
    <s v="Japan"/>
    <n v="4"/>
    <n v="146.09"/>
    <n v="584.36"/>
    <s v="Cash on Delivery"/>
  </r>
  <r>
    <d v="2022-05-26T00:00:00"/>
    <x v="0"/>
    <s v="Yeezy Boost 350"/>
    <s v="Sneakers"/>
    <s v="Adidas"/>
    <s v="Women"/>
    <x v="0"/>
    <s v="USA"/>
    <n v="1"/>
    <n v="284.3"/>
    <n v="284.3"/>
    <s v="Card"/>
  </r>
  <r>
    <d v="2022-01-14T00:00:00"/>
    <x v="6"/>
    <s v="Puma Joggers"/>
    <s v="Joggers"/>
    <s v="Puma"/>
    <s v="Unisex"/>
    <x v="0"/>
    <s v="Australia"/>
    <n v="5"/>
    <n v="289.47000000000003"/>
    <n v="1447.35"/>
    <s v="Card"/>
  </r>
  <r>
    <d v="2022-03-10T00:00:00"/>
    <x v="2"/>
    <s v="Nike Tech Fleece"/>
    <s v="Hoodie"/>
    <s v="Nike"/>
    <s v="Women"/>
    <x v="1"/>
    <s v="UK"/>
    <n v="2"/>
    <n v="218.25"/>
    <n v="436.5"/>
    <s v="Wallet"/>
  </r>
  <r>
    <d v="2022-07-08T00:00:00"/>
    <x v="3"/>
    <s v="Jordan 1 High"/>
    <s v="Sneakers"/>
    <s v="Nike"/>
    <s v="Men"/>
    <x v="3"/>
    <s v="India"/>
    <n v="4"/>
    <n v="204.62"/>
    <n v="818.48"/>
    <s v="Wallet"/>
  </r>
  <r>
    <d v="2022-01-03T00:00:00"/>
    <x v="6"/>
    <s v="Puma Joggers"/>
    <s v="Joggers"/>
    <s v="Puma"/>
    <s v="Women"/>
    <x v="0"/>
    <s v="Japan"/>
    <n v="2"/>
    <n v="267.42"/>
    <n v="534.84"/>
    <s v="Cash on Delivery"/>
  </r>
  <r>
    <d v="2022-04-02T00:00:00"/>
    <x v="1"/>
    <s v="Supreme Hoodie"/>
    <s v="Hoodie"/>
    <s v="Supreme"/>
    <s v="Men"/>
    <x v="2"/>
    <s v="Germany"/>
    <n v="1"/>
    <n v="144.59"/>
    <n v="144.59"/>
    <s v="UPI"/>
  </r>
  <r>
    <d v="2022-08-17T00:00:00"/>
    <x v="7"/>
    <s v="Yeezy Boost 350"/>
    <s v="Sneakers"/>
    <s v="Adidas"/>
    <s v="Men"/>
    <x v="1"/>
    <s v="Canada"/>
    <n v="2"/>
    <n v="80.47"/>
    <n v="160.94"/>
    <s v="Card"/>
  </r>
  <r>
    <d v="2022-04-26T00:00:00"/>
    <x v="1"/>
    <s v="Nike Tech Fleece"/>
    <s v="Hoodie"/>
    <s v="Nike"/>
    <s v="Men"/>
    <x v="2"/>
    <s v="Canada"/>
    <n v="2"/>
    <n v="98.17"/>
    <n v="196.34"/>
    <s v="Card"/>
  </r>
  <r>
    <d v="2022-06-15T00:00:00"/>
    <x v="4"/>
    <s v="Off-White Hoodie"/>
    <s v="Hoodie"/>
    <s v="Off-White"/>
    <s v="Men"/>
    <x v="1"/>
    <s v="UK"/>
    <n v="2"/>
    <n v="63.76"/>
    <n v="127.52"/>
    <s v="Cash on Delivery"/>
  </r>
  <r>
    <d v="2022-04-06T00:00:00"/>
    <x v="1"/>
    <s v="Supreme Hoodie"/>
    <s v="Hoodie"/>
    <s v="Supreme"/>
    <s v="Men"/>
    <x v="2"/>
    <s v="UK"/>
    <n v="2"/>
    <n v="157.12"/>
    <n v="314.24"/>
    <s v="Card"/>
  </r>
  <r>
    <d v="2022-04-07T00:00:00"/>
    <x v="1"/>
    <s v="Supreme Hoodie"/>
    <s v="Hoodie"/>
    <s v="Supreme"/>
    <s v="Women"/>
    <x v="2"/>
    <s v="Germany"/>
    <n v="5"/>
    <n v="293.20999999999998"/>
    <n v="1466.05"/>
    <s v="Cash on Delivery"/>
  </r>
  <r>
    <d v="2022-03-30T00:00:00"/>
    <x v="2"/>
    <s v="Off-White Hoodie"/>
    <s v="Hoodie"/>
    <s v="Off-White"/>
    <s v="Men"/>
    <x v="3"/>
    <s v="UK"/>
    <n v="2"/>
    <n v="142.25"/>
    <n v="284.5"/>
    <s v="UPI"/>
  </r>
  <r>
    <d v="2022-07-02T00:00:00"/>
    <x v="3"/>
    <s v="Off-White Hoodie"/>
    <s v="Hoodie"/>
    <s v="Off-White"/>
    <s v="Men"/>
    <x v="1"/>
    <s v="Japan"/>
    <n v="1"/>
    <n v="86.17"/>
    <n v="86.17"/>
    <s v="Wallet"/>
  </r>
  <r>
    <d v="2022-07-09T00:00:00"/>
    <x v="3"/>
    <s v="Nike Tech Fleece"/>
    <s v="Hoodie"/>
    <s v="Nike"/>
    <s v="Women"/>
    <x v="0"/>
    <s v="Canada"/>
    <n v="3"/>
    <n v="172.37"/>
    <n v="517.11"/>
    <s v="Card"/>
  </r>
  <r>
    <d v="2022-02-05T00:00:00"/>
    <x v="5"/>
    <s v="Off-White Hoodie"/>
    <s v="Hoodie"/>
    <s v="Off-White"/>
    <s v="Men"/>
    <x v="1"/>
    <s v="India"/>
    <n v="3"/>
    <n v="236.05"/>
    <n v="708.15"/>
    <s v="UPI"/>
  </r>
  <r>
    <d v="2022-07-11T00:00:00"/>
    <x v="3"/>
    <s v="Nike Tech Fleece"/>
    <s v="Hoodie"/>
    <s v="Nike"/>
    <s v="Men"/>
    <x v="3"/>
    <s v="UK"/>
    <n v="3"/>
    <n v="256.72000000000003"/>
    <n v="770.16"/>
    <s v="UPI"/>
  </r>
  <r>
    <d v="2022-06-02T00:00:00"/>
    <x v="4"/>
    <s v="Nike Dunk Low"/>
    <s v="Sneakers"/>
    <s v="Nike"/>
    <s v="Men"/>
    <x v="0"/>
    <s v="UK"/>
    <n v="4"/>
    <n v="205.64"/>
    <n v="822.56"/>
    <s v="Wallet"/>
  </r>
  <r>
    <d v="2022-05-29T00:00:00"/>
    <x v="0"/>
    <s v="Off-White Hoodie"/>
    <s v="Hoodie"/>
    <s v="Off-White"/>
    <s v="Men"/>
    <x v="3"/>
    <s v="Germany"/>
    <n v="4"/>
    <n v="68.180000000000007"/>
    <n v="272.72000000000003"/>
    <s v="Cash on Delivery"/>
  </r>
  <r>
    <d v="2022-03-21T00:00:00"/>
    <x v="2"/>
    <s v="New Era Cap"/>
    <s v="Cap"/>
    <s v="New Era"/>
    <s v="Men"/>
    <x v="0"/>
    <s v="Australia"/>
    <n v="4"/>
    <n v="68.97"/>
    <n v="275.88"/>
    <s v="Card"/>
  </r>
  <r>
    <d v="2022-06-06T00:00:00"/>
    <x v="4"/>
    <s v="Nike Tech Fleece"/>
    <s v="Hoodie"/>
    <s v="Nike"/>
    <s v="Unisex"/>
    <x v="0"/>
    <s v="Germany"/>
    <n v="5"/>
    <n v="123.23"/>
    <n v="616.15"/>
    <s v="Wallet"/>
  </r>
  <r>
    <d v="2022-08-24T00:00:00"/>
    <x v="7"/>
    <s v="Nike Dunk Low"/>
    <s v="Sneakers"/>
    <s v="Nike"/>
    <s v="Women"/>
    <x v="3"/>
    <s v="Australia"/>
    <n v="5"/>
    <n v="273"/>
    <n v="1365"/>
    <s v="Card"/>
  </r>
  <r>
    <d v="2022-02-10T00:00:00"/>
    <x v="5"/>
    <s v="Yeezy Boost 350"/>
    <s v="Sneakers"/>
    <s v="Adidas"/>
    <s v="Women"/>
    <x v="2"/>
    <s v="Canada"/>
    <n v="3"/>
    <n v="225.84"/>
    <n v="677.52"/>
    <s v="Card"/>
  </r>
  <r>
    <d v="2022-03-01T00:00:00"/>
    <x v="2"/>
    <s v="Jordan 1 High"/>
    <s v="Sneakers"/>
    <s v="Nike"/>
    <s v="Women"/>
    <x v="1"/>
    <s v="Canada"/>
    <n v="3"/>
    <n v="235.36"/>
    <n v="706.08"/>
    <s v="Wallet"/>
  </r>
  <r>
    <d v="2022-03-17T00:00:00"/>
    <x v="2"/>
    <s v="Yeezy Boost 350"/>
    <s v="Sneakers"/>
    <s v="Adidas"/>
    <s v="Women"/>
    <x v="1"/>
    <s v="India"/>
    <n v="5"/>
    <n v="189.94"/>
    <n v="949.7"/>
    <s v="Cash on Delivery"/>
  </r>
  <r>
    <d v="2022-01-03T00:00:00"/>
    <x v="6"/>
    <s v="Off-White Hoodie"/>
    <s v="Hoodie"/>
    <s v="Off-White"/>
    <s v="Women"/>
    <x v="2"/>
    <s v="USA"/>
    <n v="3"/>
    <n v="110.2"/>
    <n v="330.6"/>
    <s v="Card"/>
  </r>
  <r>
    <d v="2022-06-29T00:00:00"/>
    <x v="4"/>
    <s v="Off-White Hoodie"/>
    <s v="Hoodie"/>
    <s v="Off-White"/>
    <s v="Unisex"/>
    <x v="1"/>
    <s v="Germany"/>
    <n v="2"/>
    <n v="54.76"/>
    <n v="109.52"/>
    <s v="Wallet"/>
  </r>
  <r>
    <d v="2022-06-02T00:00:00"/>
    <x v="4"/>
    <s v="Supreme Hoodie"/>
    <s v="Hoodie"/>
    <s v="Supreme"/>
    <s v="Women"/>
    <x v="1"/>
    <s v="Australia"/>
    <n v="1"/>
    <n v="296.56"/>
    <n v="296.56"/>
    <s v="UPI"/>
  </r>
  <r>
    <d v="2022-06-04T00:00:00"/>
    <x v="4"/>
    <s v="Yeezy Boost 350"/>
    <s v="Sneakers"/>
    <s v="Adidas"/>
    <s v="Women"/>
    <x v="1"/>
    <s v="Australia"/>
    <n v="1"/>
    <n v="296.51"/>
    <n v="296.51"/>
    <s v="Wallet"/>
  </r>
  <r>
    <d v="2022-04-03T00:00:00"/>
    <x v="1"/>
    <s v="Puma Joggers"/>
    <s v="Joggers"/>
    <s v="Puma"/>
    <s v="Men"/>
    <x v="2"/>
    <s v="India"/>
    <n v="1"/>
    <n v="89.5"/>
    <n v="89.5"/>
    <s v="UPI"/>
  </r>
  <r>
    <d v="2022-03-16T00:00:00"/>
    <x v="2"/>
    <s v="Yeezy Boost 350"/>
    <s v="Sneakers"/>
    <s v="Adidas"/>
    <s v="Unisex"/>
    <x v="2"/>
    <s v="UK"/>
    <n v="3"/>
    <n v="280.64"/>
    <n v="841.92"/>
    <s v="Card"/>
  </r>
  <r>
    <d v="2022-02-15T00:00:00"/>
    <x v="5"/>
    <s v="Nike Tech Fleece"/>
    <s v="Hoodie"/>
    <s v="Nike"/>
    <s v="Women"/>
    <x v="3"/>
    <s v="Canada"/>
    <n v="5"/>
    <n v="234.28"/>
    <n v="1171.4000000000001"/>
    <s v="Cash on Delivery"/>
  </r>
  <r>
    <d v="2022-01-01T00:00:00"/>
    <x v="6"/>
    <s v="Nike Dunk Low"/>
    <s v="Sneakers"/>
    <s v="Nike"/>
    <s v="Women"/>
    <x v="3"/>
    <s v="Japan"/>
    <n v="2"/>
    <n v="294.89"/>
    <n v="589.78"/>
    <s v="Wallet"/>
  </r>
  <r>
    <d v="2022-03-10T00:00:00"/>
    <x v="2"/>
    <s v="Jordan 1 High"/>
    <s v="Sneakers"/>
    <s v="Nike"/>
    <s v="Women"/>
    <x v="1"/>
    <s v="USA"/>
    <n v="1"/>
    <n v="208.24"/>
    <n v="208.24"/>
    <s v="Cash on Delivery"/>
  </r>
  <r>
    <d v="2022-04-08T00:00:00"/>
    <x v="1"/>
    <s v="Jordan 1 High"/>
    <s v="Sneakers"/>
    <s v="Nike"/>
    <s v="Men"/>
    <x v="2"/>
    <s v="India"/>
    <n v="5"/>
    <n v="94.25"/>
    <n v="471.25"/>
    <s v="Wallet"/>
  </r>
  <r>
    <d v="2022-08-03T00:00:00"/>
    <x v="7"/>
    <s v="Nike Tech Fleece"/>
    <s v="Hoodie"/>
    <s v="Nike"/>
    <s v="Women"/>
    <x v="2"/>
    <s v="Germany"/>
    <n v="5"/>
    <n v="259"/>
    <n v="1295"/>
    <s v="Card"/>
  </r>
  <r>
    <d v="2022-05-05T00:00:00"/>
    <x v="0"/>
    <s v="Puma Joggers"/>
    <s v="Joggers"/>
    <s v="Puma"/>
    <s v="Women"/>
    <x v="2"/>
    <s v="Germany"/>
    <n v="4"/>
    <n v="299.73"/>
    <n v="1198.92"/>
    <s v="Cash on Delivery"/>
  </r>
  <r>
    <d v="2022-05-19T00:00:00"/>
    <x v="0"/>
    <s v="Adidas Ultraboost"/>
    <s v="Sneakers"/>
    <s v="Adidas"/>
    <s v="Men"/>
    <x v="2"/>
    <s v="Canada"/>
    <n v="5"/>
    <n v="71.260000000000005"/>
    <n v="356.3"/>
    <s v="Cash on Delivery"/>
  </r>
  <r>
    <d v="2022-07-17T00:00:00"/>
    <x v="3"/>
    <s v="Nike Dunk Low"/>
    <s v="Sneakers"/>
    <s v="Nike"/>
    <s v="Women"/>
    <x v="0"/>
    <s v="Japan"/>
    <n v="5"/>
    <n v="270.14"/>
    <n v="1350.7"/>
    <s v="Wallet"/>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6">
  <r>
    <d v="2022-05-27T00:00:00"/>
    <s v="Fear of God Essentials Tee"/>
    <s v="T-shirt"/>
    <s v="Essentials"/>
    <s v="Unisex"/>
    <s v="Limited Edition"/>
    <x v="0"/>
    <x v="0"/>
    <n v="141.82"/>
    <x v="0"/>
    <x v="0"/>
  </r>
  <r>
    <d v="2022-04-28T00:00:00"/>
    <s v="Yeezy Boost 350"/>
    <s v="Sneakers"/>
    <s v="Adidas"/>
    <s v="Unisex"/>
    <s v="Sportswear"/>
    <x v="1"/>
    <x v="1"/>
    <n v="70.69"/>
    <x v="1"/>
    <x v="1"/>
  </r>
  <r>
    <d v="2022-03-13T00:00:00"/>
    <s v="Off-White Hoodie"/>
    <s v="Hoodie"/>
    <s v="Off-White"/>
    <s v="Women"/>
    <s v="Casual"/>
    <x v="2"/>
    <x v="1"/>
    <n v="89.14"/>
    <x v="2"/>
    <x v="2"/>
  </r>
  <r>
    <d v="2022-07-24T00:00:00"/>
    <s v="New Era Cap"/>
    <s v="Cap"/>
    <s v="New Era"/>
    <s v="Unisex"/>
    <s v="Limited Edition"/>
    <x v="3"/>
    <x v="2"/>
    <n v="135.07"/>
    <x v="3"/>
    <x v="2"/>
  </r>
  <r>
    <d v="2022-06-11T00:00:00"/>
    <s v="Adidas Ultraboost"/>
    <s v="Sneakers"/>
    <s v="Adidas"/>
    <s v="Men"/>
    <s v="Streetwear"/>
    <x v="4"/>
    <x v="3"/>
    <n v="223"/>
    <x v="4"/>
    <x v="2"/>
  </r>
  <r>
    <d v="2022-06-28T00:00:00"/>
    <s v="Fear of God Essentials Tee"/>
    <s v="T-shirt"/>
    <s v="Essentials"/>
    <s v="Unisex"/>
    <s v="Limited Edition"/>
    <x v="2"/>
    <x v="2"/>
    <n v="238.52"/>
    <x v="5"/>
    <x v="2"/>
  </r>
  <r>
    <d v="2022-07-12T00:00:00"/>
    <s v="Nike Tech Fleece"/>
    <s v="Hoodie"/>
    <s v="Nike"/>
    <s v="Women"/>
    <s v="Casual"/>
    <x v="1"/>
    <x v="0"/>
    <n v="120.55"/>
    <x v="6"/>
    <x v="1"/>
  </r>
  <r>
    <d v="2022-02-13T00:00:00"/>
    <s v="New Era Cap"/>
    <s v="Cap"/>
    <s v="New Era"/>
    <s v="Women"/>
    <s v="Streetwear"/>
    <x v="4"/>
    <x v="2"/>
    <n v="212.66"/>
    <x v="7"/>
    <x v="3"/>
  </r>
  <r>
    <d v="2022-07-10T00:00:00"/>
    <s v="Off-White Hoodie"/>
    <s v="Hoodie"/>
    <s v="Off-White"/>
    <s v="Women"/>
    <s v="Streetwear"/>
    <x v="5"/>
    <x v="0"/>
    <n v="256.22000000000003"/>
    <x v="8"/>
    <x v="3"/>
  </r>
  <r>
    <d v="2022-01-22T00:00:00"/>
    <s v="Jordan 1 High"/>
    <s v="Sneakers"/>
    <s v="Nike"/>
    <s v="Unisex"/>
    <s v="Casual"/>
    <x v="5"/>
    <x v="2"/>
    <n v="124.4"/>
    <x v="9"/>
    <x v="3"/>
  </r>
  <r>
    <d v="2022-06-18T00:00:00"/>
    <s v="Jordan 1 High"/>
    <s v="Sneakers"/>
    <s v="Nike"/>
    <s v="Women"/>
    <s v="Casual"/>
    <x v="4"/>
    <x v="3"/>
    <n v="80.33"/>
    <x v="10"/>
    <x v="0"/>
  </r>
  <r>
    <d v="2022-03-18T00:00:00"/>
    <s v="Supreme Hoodie"/>
    <s v="Hoodie"/>
    <s v="Supreme"/>
    <s v="Unisex"/>
    <s v="Sportswear"/>
    <x v="5"/>
    <x v="0"/>
    <n v="58.65"/>
    <x v="11"/>
    <x v="1"/>
  </r>
  <r>
    <d v="2022-08-21T00:00:00"/>
    <s v="Nike Dunk Low"/>
    <s v="Sneakers"/>
    <s v="Nike"/>
    <s v="Women"/>
    <s v="Streetwear"/>
    <x v="6"/>
    <x v="0"/>
    <n v="183.55"/>
    <x v="12"/>
    <x v="2"/>
  </r>
  <r>
    <d v="2022-07-07T00:00:00"/>
    <s v="Puma Joggers"/>
    <s v="Joggers"/>
    <s v="Puma"/>
    <s v="Unisex"/>
    <s v="Streetwear"/>
    <x v="5"/>
    <x v="3"/>
    <n v="210.77"/>
    <x v="13"/>
    <x v="0"/>
  </r>
  <r>
    <d v="2022-05-11T00:00:00"/>
    <s v="Yeezy Boost 350"/>
    <s v="Sneakers"/>
    <s v="Adidas"/>
    <s v="Unisex"/>
    <s v="Casual"/>
    <x v="4"/>
    <x v="2"/>
    <n v="218.82"/>
    <x v="14"/>
    <x v="3"/>
  </r>
  <r>
    <d v="2022-06-17T00:00:00"/>
    <s v="Fear of God Essentials Tee"/>
    <s v="T-shirt"/>
    <s v="Essentials"/>
    <s v="Women"/>
    <s v="Sportswear"/>
    <x v="2"/>
    <x v="0"/>
    <n v="133.74"/>
    <x v="15"/>
    <x v="0"/>
  </r>
  <r>
    <d v="2022-05-24T00:00:00"/>
    <s v="Adidas Ultraboost"/>
    <s v="Sneakers"/>
    <s v="Adidas"/>
    <s v="Women"/>
    <s v="Casual"/>
    <x v="2"/>
    <x v="1"/>
    <n v="208.47"/>
    <x v="16"/>
    <x v="2"/>
  </r>
  <r>
    <d v="2022-05-28T00:00:00"/>
    <s v="Off-White Hoodie"/>
    <s v="Hoodie"/>
    <s v="Off-White"/>
    <s v="Unisex"/>
    <s v="Limited Edition"/>
    <x v="5"/>
    <x v="1"/>
    <n v="180.42"/>
    <x v="17"/>
    <x v="2"/>
  </r>
  <r>
    <d v="2022-06-29T00:00:00"/>
    <s v="Puma Joggers"/>
    <s v="Joggers"/>
    <s v="Puma"/>
    <s v="Men"/>
    <s v="Casual"/>
    <x v="0"/>
    <x v="4"/>
    <n v="127.36"/>
    <x v="18"/>
    <x v="0"/>
  </r>
  <r>
    <d v="2022-05-25T00:00:00"/>
    <s v="Supreme Hoodie"/>
    <s v="Hoodie"/>
    <s v="Supreme"/>
    <s v="Men"/>
    <s v="Streetwear"/>
    <x v="0"/>
    <x v="4"/>
    <n v="149.51"/>
    <x v="19"/>
    <x v="2"/>
  </r>
  <r>
    <d v="2022-03-09T00:00:00"/>
    <s v="New Era Cap"/>
    <s v="Cap"/>
    <s v="New Era"/>
    <s v="Men"/>
    <s v="Casual"/>
    <x v="3"/>
    <x v="4"/>
    <n v="136.36000000000001"/>
    <x v="20"/>
    <x v="0"/>
  </r>
  <r>
    <d v="2022-08-21T00:00:00"/>
    <s v="Nike Tech Fleece"/>
    <s v="Hoodie"/>
    <s v="Nike"/>
    <s v="Unisex"/>
    <s v="Casual"/>
    <x v="2"/>
    <x v="0"/>
    <n v="162.38"/>
    <x v="21"/>
    <x v="0"/>
  </r>
  <r>
    <d v="2022-05-27T00:00:00"/>
    <s v="Puma Joggers"/>
    <s v="Joggers"/>
    <s v="Puma"/>
    <s v="Women"/>
    <s v="Sportswear"/>
    <x v="1"/>
    <x v="3"/>
    <n v="259.66000000000003"/>
    <x v="22"/>
    <x v="3"/>
  </r>
  <r>
    <d v="2022-05-22T00:00:00"/>
    <s v="Off-White Hoodie"/>
    <s v="Hoodie"/>
    <s v="Off-White"/>
    <s v="Men"/>
    <s v="Streetwear"/>
    <x v="5"/>
    <x v="1"/>
    <n v="180.39"/>
    <x v="23"/>
    <x v="0"/>
  </r>
  <r>
    <d v="2022-06-02T00:00:00"/>
    <s v="Off-White Hoodie"/>
    <s v="Hoodie"/>
    <s v="Off-White"/>
    <s v="Men"/>
    <s v="Limited Edition"/>
    <x v="5"/>
    <x v="4"/>
    <n v="80.349999999999994"/>
    <x v="24"/>
    <x v="0"/>
  </r>
  <r>
    <d v="2022-03-06T00:00:00"/>
    <s v="Fear of God Essentials Tee"/>
    <s v="T-shirt"/>
    <s v="Essentials"/>
    <s v="Men"/>
    <s v="Streetwear"/>
    <x v="0"/>
    <x v="3"/>
    <n v="222.08"/>
    <x v="25"/>
    <x v="1"/>
  </r>
  <r>
    <d v="2022-03-21T00:00:00"/>
    <s v="Puma Joggers"/>
    <s v="Joggers"/>
    <s v="Puma"/>
    <s v="Women"/>
    <s v="Sportswear"/>
    <x v="4"/>
    <x v="1"/>
    <n v="287.44"/>
    <x v="26"/>
    <x v="1"/>
  </r>
  <r>
    <d v="2022-07-16T00:00:00"/>
    <s v="Fear of God Essentials Tee"/>
    <s v="T-shirt"/>
    <s v="Essentials"/>
    <s v="Unisex"/>
    <s v="Limited Edition"/>
    <x v="2"/>
    <x v="0"/>
    <n v="137.9"/>
    <x v="27"/>
    <x v="1"/>
  </r>
  <r>
    <d v="2022-03-19T00:00:00"/>
    <s v="Off-White Hoodie"/>
    <s v="Hoodie"/>
    <s v="Off-White"/>
    <s v="Unisex"/>
    <s v="Streetwear"/>
    <x v="5"/>
    <x v="4"/>
    <n v="214.68"/>
    <x v="28"/>
    <x v="1"/>
  </r>
  <r>
    <d v="2022-08-04T00:00:00"/>
    <s v="Nike Tech Fleece"/>
    <s v="Hoodie"/>
    <s v="Nike"/>
    <s v="Women"/>
    <s v="Limited Edition"/>
    <x v="6"/>
    <x v="3"/>
    <n v="269.88"/>
    <x v="29"/>
    <x v="2"/>
  </r>
  <r>
    <d v="2022-05-03T00:00:00"/>
    <s v="Jordan 1 High"/>
    <s v="Sneakers"/>
    <s v="Nike"/>
    <s v="Unisex"/>
    <s v="Sportswear"/>
    <x v="3"/>
    <x v="1"/>
    <n v="96.97"/>
    <x v="30"/>
    <x v="3"/>
  </r>
  <r>
    <d v="2022-07-01T00:00:00"/>
    <s v="New Era Cap"/>
    <s v="Cap"/>
    <s v="New Era"/>
    <s v="Women"/>
    <s v="Limited Edition"/>
    <x v="1"/>
    <x v="2"/>
    <n v="270.55"/>
    <x v="31"/>
    <x v="2"/>
  </r>
  <r>
    <d v="2022-06-16T00:00:00"/>
    <s v="Adidas Ultraboost"/>
    <s v="Sneakers"/>
    <s v="Adidas"/>
    <s v="Unisex"/>
    <s v="Sportswear"/>
    <x v="1"/>
    <x v="4"/>
    <n v="261.31"/>
    <x v="32"/>
    <x v="0"/>
  </r>
  <r>
    <d v="2022-01-10T00:00:00"/>
    <s v="New Era Cap"/>
    <s v="Cap"/>
    <s v="New Era"/>
    <s v="Unisex"/>
    <s v="Sportswear"/>
    <x v="6"/>
    <x v="2"/>
    <n v="56.4"/>
    <x v="33"/>
    <x v="0"/>
  </r>
  <r>
    <d v="2022-07-08T00:00:00"/>
    <s v="Yeezy Boost 350"/>
    <s v="Sneakers"/>
    <s v="Adidas"/>
    <s v="Men"/>
    <s v="Sportswear"/>
    <x v="4"/>
    <x v="4"/>
    <n v="239.55"/>
    <x v="34"/>
    <x v="0"/>
  </r>
  <r>
    <d v="2022-08-20T00:00:00"/>
    <s v="Jordan 1 High"/>
    <s v="Sneakers"/>
    <s v="Nike"/>
    <s v="Unisex"/>
    <s v="Limited Edition"/>
    <x v="4"/>
    <x v="3"/>
    <n v="94.62"/>
    <x v="35"/>
    <x v="2"/>
  </r>
  <r>
    <d v="2022-07-24T00:00:00"/>
    <s v="Fear of God Essentials Tee"/>
    <s v="T-shirt"/>
    <s v="Essentials"/>
    <s v="Unisex"/>
    <s v="Limited Edition"/>
    <x v="4"/>
    <x v="2"/>
    <n v="57.22"/>
    <x v="36"/>
    <x v="2"/>
  </r>
  <r>
    <d v="2022-07-14T00:00:00"/>
    <s v="Nike Dunk Low"/>
    <s v="Sneakers"/>
    <s v="Nike"/>
    <s v="Men"/>
    <s v="Limited Edition"/>
    <x v="4"/>
    <x v="1"/>
    <n v="170.86"/>
    <x v="37"/>
    <x v="3"/>
  </r>
  <r>
    <d v="2022-02-11T00:00:00"/>
    <s v="Adidas Ultraboost"/>
    <s v="Sneakers"/>
    <s v="Adidas"/>
    <s v="Men"/>
    <s v="Streetwear"/>
    <x v="1"/>
    <x v="4"/>
    <n v="105.79"/>
    <x v="38"/>
    <x v="3"/>
  </r>
  <r>
    <d v="2022-05-26T00:00:00"/>
    <s v="Adidas Ultraboost"/>
    <s v="Sneakers"/>
    <s v="Adidas"/>
    <s v="Men"/>
    <s v="Streetwear"/>
    <x v="1"/>
    <x v="0"/>
    <n v="112.95"/>
    <x v="39"/>
    <x v="0"/>
  </r>
  <r>
    <d v="2022-08-20T00:00:00"/>
    <s v="Off-White Hoodie"/>
    <s v="Hoodie"/>
    <s v="Off-White"/>
    <s v="Unisex"/>
    <s v="Limited Edition"/>
    <x v="6"/>
    <x v="0"/>
    <n v="55.8"/>
    <x v="40"/>
    <x v="0"/>
  </r>
  <r>
    <d v="2022-05-05T00:00:00"/>
    <s v="Supreme Hoodie"/>
    <s v="Hoodie"/>
    <s v="Supreme"/>
    <s v="Men"/>
    <s v="Sportswear"/>
    <x v="3"/>
    <x v="1"/>
    <n v="50.1"/>
    <x v="41"/>
    <x v="0"/>
  </r>
  <r>
    <d v="2022-08-31T00:00:00"/>
    <s v="Yeezy Boost 350"/>
    <s v="Sneakers"/>
    <s v="Adidas"/>
    <s v="Men"/>
    <s v="Limited Edition"/>
    <x v="6"/>
    <x v="1"/>
    <n v="56.49"/>
    <x v="42"/>
    <x v="1"/>
  </r>
  <r>
    <d v="2022-04-21T00:00:00"/>
    <s v="Off-White Hoodie"/>
    <s v="Hoodie"/>
    <s v="Off-White"/>
    <s v="Men"/>
    <s v="Sportswear"/>
    <x v="1"/>
    <x v="0"/>
    <n v="100.65"/>
    <x v="43"/>
    <x v="3"/>
  </r>
  <r>
    <d v="2022-08-21T00:00:00"/>
    <s v="Adidas Ultraboost"/>
    <s v="Sneakers"/>
    <s v="Adidas"/>
    <s v="Men"/>
    <s v="Casual"/>
    <x v="0"/>
    <x v="3"/>
    <n v="160.44"/>
    <x v="44"/>
    <x v="1"/>
  </r>
  <r>
    <d v="2022-04-15T00:00:00"/>
    <s v="Puma Joggers"/>
    <s v="Joggers"/>
    <s v="Puma"/>
    <s v="Women"/>
    <s v="Streetwear"/>
    <x v="0"/>
    <x v="2"/>
    <n v="242.44"/>
    <x v="45"/>
    <x v="2"/>
  </r>
  <r>
    <d v="2022-05-07T00:00:00"/>
    <s v="Yeezy Boost 350"/>
    <s v="Sneakers"/>
    <s v="Adidas"/>
    <s v="Unisex"/>
    <s v="Streetwear"/>
    <x v="1"/>
    <x v="3"/>
    <n v="209.81"/>
    <x v="46"/>
    <x v="0"/>
  </r>
  <r>
    <d v="2022-03-14T00:00:00"/>
    <s v="Adidas Ultraboost"/>
    <s v="Sneakers"/>
    <s v="Adidas"/>
    <s v="Men"/>
    <s v="Casual"/>
    <x v="3"/>
    <x v="2"/>
    <n v="261.95999999999998"/>
    <x v="47"/>
    <x v="2"/>
  </r>
  <r>
    <d v="2022-08-30T00:00:00"/>
    <s v="Supreme Hoodie"/>
    <s v="Hoodie"/>
    <s v="Supreme"/>
    <s v="Men"/>
    <s v="Casual"/>
    <x v="6"/>
    <x v="4"/>
    <n v="242.71"/>
    <x v="48"/>
    <x v="2"/>
  </r>
  <r>
    <d v="2022-06-06T00:00:00"/>
    <s v="Jordan 1 High"/>
    <s v="Sneakers"/>
    <s v="Nike"/>
    <s v="Women"/>
    <s v="Limited Edition"/>
    <x v="6"/>
    <x v="0"/>
    <n v="299.3"/>
    <x v="49"/>
    <x v="0"/>
  </r>
  <r>
    <d v="2022-08-29T00:00:00"/>
    <s v="Yeezy Boost 350"/>
    <s v="Sneakers"/>
    <s v="Adidas"/>
    <s v="Unisex"/>
    <s v="Streetwear"/>
    <x v="6"/>
    <x v="2"/>
    <n v="162.85"/>
    <x v="50"/>
    <x v="1"/>
  </r>
  <r>
    <d v="2022-08-02T00:00:00"/>
    <s v="Puma Joggers"/>
    <s v="Joggers"/>
    <s v="Puma"/>
    <s v="Unisex"/>
    <s v="Streetwear"/>
    <x v="0"/>
    <x v="0"/>
    <n v="215.63"/>
    <x v="51"/>
    <x v="0"/>
  </r>
  <r>
    <d v="2022-05-31T00:00:00"/>
    <s v="Jordan 1 High"/>
    <s v="Sneakers"/>
    <s v="Nike"/>
    <s v="Women"/>
    <s v="Limited Edition"/>
    <x v="4"/>
    <x v="1"/>
    <n v="54.99"/>
    <x v="52"/>
    <x v="2"/>
  </r>
  <r>
    <d v="2022-02-01T00:00:00"/>
    <s v="Yeezy Boost 350"/>
    <s v="Sneakers"/>
    <s v="Adidas"/>
    <s v="Men"/>
    <s v="Sportswear"/>
    <x v="2"/>
    <x v="2"/>
    <n v="185.7"/>
    <x v="53"/>
    <x v="3"/>
  </r>
  <r>
    <d v="2022-04-09T00:00:00"/>
    <s v="Nike Tech Fleece"/>
    <s v="Hoodie"/>
    <s v="Nike"/>
    <s v="Unisex"/>
    <s v="Streetwear"/>
    <x v="5"/>
    <x v="3"/>
    <n v="153.75"/>
    <x v="54"/>
    <x v="2"/>
  </r>
  <r>
    <d v="2022-03-21T00:00:00"/>
    <s v="Supreme Hoodie"/>
    <s v="Hoodie"/>
    <s v="Supreme"/>
    <s v="Men"/>
    <s v="Limited Edition"/>
    <x v="1"/>
    <x v="0"/>
    <n v="235.5"/>
    <x v="55"/>
    <x v="3"/>
  </r>
  <r>
    <d v="2022-07-23T00:00:00"/>
    <s v="Supreme Hoodie"/>
    <s v="Hoodie"/>
    <s v="Supreme"/>
    <s v="Women"/>
    <s v="Casual"/>
    <x v="5"/>
    <x v="4"/>
    <n v="239.76"/>
    <x v="56"/>
    <x v="0"/>
  </r>
  <r>
    <d v="2022-02-07T00:00:00"/>
    <s v="Off-White Hoodie"/>
    <s v="Hoodie"/>
    <s v="Off-White"/>
    <s v="Men"/>
    <s v="Casual"/>
    <x v="6"/>
    <x v="2"/>
    <n v="213.82"/>
    <x v="57"/>
    <x v="0"/>
  </r>
  <r>
    <d v="2022-04-27T00:00:00"/>
    <s v="Yeezy Boost 350"/>
    <s v="Sneakers"/>
    <s v="Adidas"/>
    <s v="Women"/>
    <s v="Casual"/>
    <x v="0"/>
    <x v="1"/>
    <n v="67.2"/>
    <x v="58"/>
    <x v="3"/>
  </r>
  <r>
    <d v="2022-03-07T00:00:00"/>
    <s v="New Era Cap"/>
    <s v="Cap"/>
    <s v="New Era"/>
    <s v="Men"/>
    <s v="Sportswear"/>
    <x v="0"/>
    <x v="2"/>
    <n v="207.05"/>
    <x v="59"/>
    <x v="1"/>
  </r>
  <r>
    <d v="2022-05-05T00:00:00"/>
    <s v="Nike Tech Fleece"/>
    <s v="Hoodie"/>
    <s v="Nike"/>
    <s v="Unisex"/>
    <s v="Sportswear"/>
    <x v="0"/>
    <x v="4"/>
    <n v="257.92"/>
    <x v="60"/>
    <x v="3"/>
  </r>
  <r>
    <d v="2022-06-18T00:00:00"/>
    <s v="Yeezy Boost 350"/>
    <s v="Sneakers"/>
    <s v="Adidas"/>
    <s v="Women"/>
    <s v="Limited Edition"/>
    <x v="5"/>
    <x v="1"/>
    <n v="122.32"/>
    <x v="61"/>
    <x v="2"/>
  </r>
  <r>
    <d v="2022-05-26T00:00:00"/>
    <s v="Fear of God Essentials Tee"/>
    <s v="T-shirt"/>
    <s v="Essentials"/>
    <s v="Unisex"/>
    <s v="Casual"/>
    <x v="6"/>
    <x v="1"/>
    <n v="203.63"/>
    <x v="62"/>
    <x v="2"/>
  </r>
  <r>
    <d v="2022-05-28T00:00:00"/>
    <s v="Jordan 1 High"/>
    <s v="Sneakers"/>
    <s v="Nike"/>
    <s v="Men"/>
    <s v="Sportswear"/>
    <x v="5"/>
    <x v="4"/>
    <n v="278.14999999999998"/>
    <x v="63"/>
    <x v="3"/>
  </r>
  <r>
    <d v="2022-07-03T00:00:00"/>
    <s v="Nike Tech Fleece"/>
    <s v="Hoodie"/>
    <s v="Nike"/>
    <s v="Men"/>
    <s v="Sportswear"/>
    <x v="4"/>
    <x v="4"/>
    <n v="129.78"/>
    <x v="64"/>
    <x v="0"/>
  </r>
  <r>
    <d v="2022-06-05T00:00:00"/>
    <s v="Jordan 1 High"/>
    <s v="Sneakers"/>
    <s v="Nike"/>
    <s v="Men"/>
    <s v="Casual"/>
    <x v="1"/>
    <x v="0"/>
    <n v="199.42"/>
    <x v="65"/>
    <x v="2"/>
  </r>
  <r>
    <d v="2022-06-26T00:00:00"/>
    <s v="Adidas Ultraboost"/>
    <s v="Sneakers"/>
    <s v="Adidas"/>
    <s v="Men"/>
    <s v="Limited Edition"/>
    <x v="0"/>
    <x v="0"/>
    <n v="98.23"/>
    <x v="66"/>
    <x v="2"/>
  </r>
  <r>
    <d v="2022-05-07T00:00:00"/>
    <s v="Nike Dunk Low"/>
    <s v="Sneakers"/>
    <s v="Nike"/>
    <s v="Unisex"/>
    <s v="Streetwear"/>
    <x v="1"/>
    <x v="1"/>
    <n v="114.47"/>
    <x v="67"/>
    <x v="3"/>
  </r>
  <r>
    <d v="2022-03-04T00:00:00"/>
    <s v="Puma Joggers"/>
    <s v="Joggers"/>
    <s v="Puma"/>
    <s v="Women"/>
    <s v="Streetwear"/>
    <x v="0"/>
    <x v="0"/>
    <n v="224.71"/>
    <x v="68"/>
    <x v="1"/>
  </r>
  <r>
    <d v="2022-01-29T00:00:00"/>
    <s v="Jordan 1 High"/>
    <s v="Sneakers"/>
    <s v="Nike"/>
    <s v="Unisex"/>
    <s v="Limited Edition"/>
    <x v="3"/>
    <x v="4"/>
    <n v="104.04"/>
    <x v="69"/>
    <x v="2"/>
  </r>
  <r>
    <d v="2022-03-02T00:00:00"/>
    <s v="Puma Joggers"/>
    <s v="Joggers"/>
    <s v="Puma"/>
    <s v="Men"/>
    <s v="Sportswear"/>
    <x v="2"/>
    <x v="0"/>
    <n v="140.26"/>
    <x v="70"/>
    <x v="0"/>
  </r>
  <r>
    <d v="2022-06-01T00:00:00"/>
    <s v="Adidas Ultraboost"/>
    <s v="Sneakers"/>
    <s v="Adidas"/>
    <s v="Men"/>
    <s v="Streetwear"/>
    <x v="2"/>
    <x v="0"/>
    <n v="215.38"/>
    <x v="71"/>
    <x v="0"/>
  </r>
  <r>
    <d v="2022-05-15T00:00:00"/>
    <s v="Yeezy Boost 350"/>
    <s v="Sneakers"/>
    <s v="Adidas"/>
    <s v="Women"/>
    <s v="Limited Edition"/>
    <x v="1"/>
    <x v="2"/>
    <n v="127.55"/>
    <x v="72"/>
    <x v="2"/>
  </r>
  <r>
    <d v="2022-08-30T00:00:00"/>
    <s v="Jordan 1 High"/>
    <s v="Sneakers"/>
    <s v="Nike"/>
    <s v="Women"/>
    <s v="Limited Edition"/>
    <x v="2"/>
    <x v="4"/>
    <n v="182.2"/>
    <x v="73"/>
    <x v="0"/>
  </r>
  <r>
    <d v="2022-04-04T00:00:00"/>
    <s v="Nike Tech Fleece"/>
    <s v="Hoodie"/>
    <s v="Nike"/>
    <s v="Men"/>
    <s v="Casual"/>
    <x v="4"/>
    <x v="2"/>
    <n v="246.66"/>
    <x v="74"/>
    <x v="2"/>
  </r>
  <r>
    <d v="2022-06-16T00:00:00"/>
    <s v="Yeezy Boost 350"/>
    <s v="Sneakers"/>
    <s v="Adidas"/>
    <s v="Women"/>
    <s v="Casual"/>
    <x v="0"/>
    <x v="0"/>
    <n v="262.68"/>
    <x v="75"/>
    <x v="3"/>
  </r>
  <r>
    <d v="2022-01-24T00:00:00"/>
    <s v="Adidas Ultraboost"/>
    <s v="Sneakers"/>
    <s v="Adidas"/>
    <s v="Men"/>
    <s v="Limited Edition"/>
    <x v="6"/>
    <x v="4"/>
    <n v="101.39"/>
    <x v="76"/>
    <x v="2"/>
  </r>
  <r>
    <d v="2022-02-14T00:00:00"/>
    <s v="Off-White Hoodie"/>
    <s v="Hoodie"/>
    <s v="Off-White"/>
    <s v="Women"/>
    <s v="Casual"/>
    <x v="0"/>
    <x v="1"/>
    <n v="59.05"/>
    <x v="77"/>
    <x v="2"/>
  </r>
  <r>
    <d v="2022-03-09T00:00:00"/>
    <s v="Off-White Hoodie"/>
    <s v="Hoodie"/>
    <s v="Off-White"/>
    <s v="Unisex"/>
    <s v="Streetwear"/>
    <x v="5"/>
    <x v="1"/>
    <n v="101.32"/>
    <x v="78"/>
    <x v="1"/>
  </r>
  <r>
    <d v="2022-07-16T00:00:00"/>
    <s v="Nike Dunk Low"/>
    <s v="Sneakers"/>
    <s v="Nike"/>
    <s v="Men"/>
    <s v="Sportswear"/>
    <x v="1"/>
    <x v="2"/>
    <n v="228.88"/>
    <x v="79"/>
    <x v="0"/>
  </r>
  <r>
    <d v="2022-06-15T00:00:00"/>
    <s v="Nike Dunk Low"/>
    <s v="Sneakers"/>
    <s v="Nike"/>
    <s v="Women"/>
    <s v="Limited Edition"/>
    <x v="0"/>
    <x v="2"/>
    <n v="258.60000000000002"/>
    <x v="80"/>
    <x v="0"/>
  </r>
  <r>
    <d v="2022-02-19T00:00:00"/>
    <s v="Adidas Ultraboost"/>
    <s v="Sneakers"/>
    <s v="Adidas"/>
    <s v="Unisex"/>
    <s v="Streetwear"/>
    <x v="1"/>
    <x v="2"/>
    <n v="129.94999999999999"/>
    <x v="81"/>
    <x v="2"/>
  </r>
  <r>
    <d v="2022-07-06T00:00:00"/>
    <s v="Adidas Ultraboost"/>
    <s v="Sneakers"/>
    <s v="Adidas"/>
    <s v="Women"/>
    <s v="Casual"/>
    <x v="4"/>
    <x v="0"/>
    <n v="190.03"/>
    <x v="82"/>
    <x v="2"/>
  </r>
  <r>
    <d v="2022-02-01T00:00:00"/>
    <s v="New Era Cap"/>
    <s v="Cap"/>
    <s v="New Era"/>
    <s v="Unisex"/>
    <s v="Casual"/>
    <x v="5"/>
    <x v="1"/>
    <n v="239.21"/>
    <x v="83"/>
    <x v="3"/>
  </r>
  <r>
    <d v="2022-03-25T00:00:00"/>
    <s v="Fear of God Essentials Tee"/>
    <s v="T-shirt"/>
    <s v="Essentials"/>
    <s v="Unisex"/>
    <s v="Streetwear"/>
    <x v="1"/>
    <x v="1"/>
    <n v="271.18"/>
    <x v="84"/>
    <x v="2"/>
  </r>
  <r>
    <d v="2022-02-03T00:00:00"/>
    <s v="Puma Joggers"/>
    <s v="Joggers"/>
    <s v="Puma"/>
    <s v="Women"/>
    <s v="Streetwear"/>
    <x v="0"/>
    <x v="0"/>
    <n v="140.65"/>
    <x v="85"/>
    <x v="3"/>
  </r>
  <r>
    <d v="2022-06-30T00:00:00"/>
    <s v="Fear of God Essentials Tee"/>
    <s v="T-shirt"/>
    <s v="Essentials"/>
    <s v="Unisex"/>
    <s v="Streetwear"/>
    <x v="2"/>
    <x v="4"/>
    <n v="97.21"/>
    <x v="86"/>
    <x v="2"/>
  </r>
  <r>
    <d v="2022-02-12T00:00:00"/>
    <s v="Supreme Hoodie"/>
    <s v="Hoodie"/>
    <s v="Supreme"/>
    <s v="Men"/>
    <s v="Sportswear"/>
    <x v="2"/>
    <x v="0"/>
    <n v="110.05"/>
    <x v="87"/>
    <x v="0"/>
  </r>
  <r>
    <d v="2022-07-15T00:00:00"/>
    <s v="Adidas Ultraboost"/>
    <s v="Sneakers"/>
    <s v="Adidas"/>
    <s v="Unisex"/>
    <s v="Casual"/>
    <x v="4"/>
    <x v="1"/>
    <n v="209.13"/>
    <x v="88"/>
    <x v="2"/>
  </r>
  <r>
    <d v="2022-02-06T00:00:00"/>
    <s v="Nike Dunk Low"/>
    <s v="Sneakers"/>
    <s v="Nike"/>
    <s v="Women"/>
    <s v="Sportswear"/>
    <x v="1"/>
    <x v="1"/>
    <n v="256.81"/>
    <x v="89"/>
    <x v="0"/>
  </r>
  <r>
    <d v="2022-01-20T00:00:00"/>
    <s v="Supreme Hoodie"/>
    <s v="Hoodie"/>
    <s v="Supreme"/>
    <s v="Women"/>
    <s v="Limited Edition"/>
    <x v="4"/>
    <x v="3"/>
    <n v="53.05"/>
    <x v="90"/>
    <x v="2"/>
  </r>
  <r>
    <d v="2022-04-03T00:00:00"/>
    <s v="Yeezy Boost 350"/>
    <s v="Sneakers"/>
    <s v="Adidas"/>
    <s v="Men"/>
    <s v="Sportswear"/>
    <x v="2"/>
    <x v="2"/>
    <n v="127.11"/>
    <x v="91"/>
    <x v="2"/>
  </r>
  <r>
    <d v="2022-07-02T00:00:00"/>
    <s v="Nike Tech Fleece"/>
    <s v="Hoodie"/>
    <s v="Nike"/>
    <s v="Women"/>
    <s v="Sportswear"/>
    <x v="0"/>
    <x v="3"/>
    <n v="259.45999999999998"/>
    <x v="92"/>
    <x v="3"/>
  </r>
  <r>
    <d v="2022-03-12T00:00:00"/>
    <s v="Off-White Hoodie"/>
    <s v="Hoodie"/>
    <s v="Off-White"/>
    <s v="Unisex"/>
    <s v="Casual"/>
    <x v="2"/>
    <x v="3"/>
    <n v="183.29"/>
    <x v="93"/>
    <x v="3"/>
  </r>
  <r>
    <d v="2022-01-16T00:00:00"/>
    <s v="Off-White Hoodie"/>
    <s v="Hoodie"/>
    <s v="Off-White"/>
    <s v="Women"/>
    <s v="Sportswear"/>
    <x v="5"/>
    <x v="3"/>
    <n v="130.4"/>
    <x v="94"/>
    <x v="2"/>
  </r>
  <r>
    <d v="2022-03-01T00:00:00"/>
    <s v="Yeezy Boost 350"/>
    <s v="Sneakers"/>
    <s v="Adidas"/>
    <s v="Men"/>
    <s v="Streetwear"/>
    <x v="5"/>
    <x v="0"/>
    <n v="112.04"/>
    <x v="95"/>
    <x v="3"/>
  </r>
  <r>
    <d v="2022-02-27T00:00:00"/>
    <s v="Puma Joggers"/>
    <s v="Joggers"/>
    <s v="Puma"/>
    <s v="Women"/>
    <s v="Casual"/>
    <x v="0"/>
    <x v="0"/>
    <n v="85.1"/>
    <x v="96"/>
    <x v="2"/>
  </r>
  <r>
    <d v="2022-07-02T00:00:00"/>
    <s v="Puma Joggers"/>
    <s v="Joggers"/>
    <s v="Puma"/>
    <s v="Unisex"/>
    <s v="Streetwear"/>
    <x v="1"/>
    <x v="1"/>
    <n v="180.65"/>
    <x v="97"/>
    <x v="2"/>
  </r>
  <r>
    <d v="2022-02-08T00:00:00"/>
    <s v="New Era Cap"/>
    <s v="Cap"/>
    <s v="New Era"/>
    <s v="Women"/>
    <s v="Casual"/>
    <x v="2"/>
    <x v="0"/>
    <n v="147.13"/>
    <x v="98"/>
    <x v="3"/>
  </r>
  <r>
    <d v="2022-01-22T00:00:00"/>
    <s v="Puma Joggers"/>
    <s v="Joggers"/>
    <s v="Puma"/>
    <s v="Women"/>
    <s v="Limited Edition"/>
    <x v="1"/>
    <x v="4"/>
    <n v="110.78"/>
    <x v="99"/>
    <x v="2"/>
  </r>
  <r>
    <d v="2022-06-24T00:00:00"/>
    <s v="Nike Tech Fleece"/>
    <s v="Hoodie"/>
    <s v="Nike"/>
    <s v="Women"/>
    <s v="Streetwear"/>
    <x v="3"/>
    <x v="0"/>
    <n v="58.37"/>
    <x v="100"/>
    <x v="1"/>
  </r>
  <r>
    <d v="2022-07-23T00:00:00"/>
    <s v="Supreme Hoodie"/>
    <s v="Hoodie"/>
    <s v="Supreme"/>
    <s v="Women"/>
    <s v="Casual"/>
    <x v="4"/>
    <x v="0"/>
    <n v="241.67"/>
    <x v="101"/>
    <x v="0"/>
  </r>
  <r>
    <d v="2022-07-25T00:00:00"/>
    <s v="Off-White Hoodie"/>
    <s v="Hoodie"/>
    <s v="Off-White"/>
    <s v="Women"/>
    <s v="Limited Edition"/>
    <x v="6"/>
    <x v="3"/>
    <n v="89.67"/>
    <x v="102"/>
    <x v="1"/>
  </r>
  <r>
    <d v="2022-05-29T00:00:00"/>
    <s v="Nike Dunk Low"/>
    <s v="Sneakers"/>
    <s v="Nike"/>
    <s v="Women"/>
    <s v="Streetwear"/>
    <x v="5"/>
    <x v="1"/>
    <n v="132.09"/>
    <x v="103"/>
    <x v="1"/>
  </r>
  <r>
    <d v="2022-08-04T00:00:00"/>
    <s v="New Era Cap"/>
    <s v="Cap"/>
    <s v="New Era"/>
    <s v="Women"/>
    <s v="Casual"/>
    <x v="0"/>
    <x v="3"/>
    <n v="202.18"/>
    <x v="104"/>
    <x v="1"/>
  </r>
  <r>
    <d v="2022-02-12T00:00:00"/>
    <s v="Yeezy Boost 350"/>
    <s v="Sneakers"/>
    <s v="Adidas"/>
    <s v="Men"/>
    <s v="Casual"/>
    <x v="2"/>
    <x v="4"/>
    <n v="90.19"/>
    <x v="105"/>
    <x v="2"/>
  </r>
  <r>
    <d v="2022-03-01T00:00:00"/>
    <s v="Nike Tech Fleece"/>
    <s v="Hoodie"/>
    <s v="Nike"/>
    <s v="Unisex"/>
    <s v="Streetwear"/>
    <x v="6"/>
    <x v="3"/>
    <n v="179.28"/>
    <x v="106"/>
    <x v="2"/>
  </r>
  <r>
    <d v="2022-03-23T00:00:00"/>
    <s v="Nike Tech Fleece"/>
    <s v="Hoodie"/>
    <s v="Nike"/>
    <s v="Men"/>
    <s v="Sportswear"/>
    <x v="6"/>
    <x v="0"/>
    <n v="188.61"/>
    <x v="107"/>
    <x v="3"/>
  </r>
  <r>
    <d v="2022-08-30T00:00:00"/>
    <s v="Fear of God Essentials Tee"/>
    <s v="T-shirt"/>
    <s v="Essentials"/>
    <s v="Men"/>
    <s v="Sportswear"/>
    <x v="2"/>
    <x v="3"/>
    <n v="111.36"/>
    <x v="108"/>
    <x v="0"/>
  </r>
  <r>
    <d v="2022-02-18T00:00:00"/>
    <s v="New Era Cap"/>
    <s v="Cap"/>
    <s v="New Era"/>
    <s v="Women"/>
    <s v="Sportswear"/>
    <x v="2"/>
    <x v="4"/>
    <n v="53.98"/>
    <x v="109"/>
    <x v="2"/>
  </r>
  <r>
    <d v="2022-05-28T00:00:00"/>
    <s v="Off-White Hoodie"/>
    <s v="Hoodie"/>
    <s v="Off-White"/>
    <s v="Unisex"/>
    <s v="Streetwear"/>
    <x v="5"/>
    <x v="2"/>
    <n v="240.64"/>
    <x v="110"/>
    <x v="2"/>
  </r>
  <r>
    <d v="2022-02-28T00:00:00"/>
    <s v="Off-White Hoodie"/>
    <s v="Hoodie"/>
    <s v="Off-White"/>
    <s v="Women"/>
    <s v="Casual"/>
    <x v="6"/>
    <x v="0"/>
    <n v="195.57"/>
    <x v="111"/>
    <x v="2"/>
  </r>
  <r>
    <d v="2022-03-09T00:00:00"/>
    <s v="Nike Tech Fleece"/>
    <s v="Hoodie"/>
    <s v="Nike"/>
    <s v="Unisex"/>
    <s v="Streetwear"/>
    <x v="5"/>
    <x v="4"/>
    <n v="224.66"/>
    <x v="112"/>
    <x v="2"/>
  </r>
  <r>
    <d v="2022-04-28T00:00:00"/>
    <s v="Puma Joggers"/>
    <s v="Joggers"/>
    <s v="Puma"/>
    <s v="Women"/>
    <s v="Sportswear"/>
    <x v="5"/>
    <x v="4"/>
    <n v="65.2"/>
    <x v="113"/>
    <x v="3"/>
  </r>
  <r>
    <d v="2022-07-13T00:00:00"/>
    <s v="Adidas Ultraboost"/>
    <s v="Sneakers"/>
    <s v="Adidas"/>
    <s v="Women"/>
    <s v="Limited Edition"/>
    <x v="5"/>
    <x v="2"/>
    <n v="117.78"/>
    <x v="114"/>
    <x v="1"/>
  </r>
  <r>
    <d v="2022-02-09T00:00:00"/>
    <s v="Jordan 1 High"/>
    <s v="Sneakers"/>
    <s v="Nike"/>
    <s v="Women"/>
    <s v="Streetwear"/>
    <x v="3"/>
    <x v="2"/>
    <n v="214.93"/>
    <x v="115"/>
    <x v="0"/>
  </r>
  <r>
    <d v="2022-08-16T00:00:00"/>
    <s v="Puma Joggers"/>
    <s v="Joggers"/>
    <s v="Puma"/>
    <s v="Unisex"/>
    <s v="Limited Edition"/>
    <x v="0"/>
    <x v="3"/>
    <n v="249.49"/>
    <x v="116"/>
    <x v="2"/>
  </r>
  <r>
    <d v="2022-06-13T00:00:00"/>
    <s v="Yeezy Boost 350"/>
    <s v="Sneakers"/>
    <s v="Adidas"/>
    <s v="Men"/>
    <s v="Casual"/>
    <x v="3"/>
    <x v="2"/>
    <n v="141.35"/>
    <x v="117"/>
    <x v="1"/>
  </r>
  <r>
    <d v="2022-03-03T00:00:00"/>
    <s v="Puma Joggers"/>
    <s v="Joggers"/>
    <s v="Puma"/>
    <s v="Unisex"/>
    <s v="Limited Edition"/>
    <x v="0"/>
    <x v="4"/>
    <n v="264.14"/>
    <x v="118"/>
    <x v="0"/>
  </r>
  <r>
    <d v="2022-01-03T00:00:00"/>
    <s v="Fear of God Essentials Tee"/>
    <s v="T-shirt"/>
    <s v="Essentials"/>
    <s v="Unisex"/>
    <s v="Casual"/>
    <x v="2"/>
    <x v="0"/>
    <n v="73.58"/>
    <x v="119"/>
    <x v="1"/>
  </r>
  <r>
    <d v="2022-07-26T00:00:00"/>
    <s v="Fear of God Essentials Tee"/>
    <s v="T-shirt"/>
    <s v="Essentials"/>
    <s v="Unisex"/>
    <s v="Streetwear"/>
    <x v="6"/>
    <x v="1"/>
    <n v="106.59"/>
    <x v="120"/>
    <x v="0"/>
  </r>
  <r>
    <d v="2022-02-12T00:00:00"/>
    <s v="Nike Tech Fleece"/>
    <s v="Hoodie"/>
    <s v="Nike"/>
    <s v="Men"/>
    <s v="Streetwear"/>
    <x v="5"/>
    <x v="4"/>
    <n v="59.98"/>
    <x v="121"/>
    <x v="1"/>
  </r>
  <r>
    <d v="2022-03-02T00:00:00"/>
    <s v="Puma Joggers"/>
    <s v="Joggers"/>
    <s v="Puma"/>
    <s v="Women"/>
    <s v="Casual"/>
    <x v="0"/>
    <x v="4"/>
    <n v="87.81"/>
    <x v="122"/>
    <x v="0"/>
  </r>
  <r>
    <d v="2022-04-06T00:00:00"/>
    <s v="Nike Tech Fleece"/>
    <s v="Hoodie"/>
    <s v="Nike"/>
    <s v="Men"/>
    <s v="Sportswear"/>
    <x v="0"/>
    <x v="3"/>
    <n v="283.60000000000002"/>
    <x v="123"/>
    <x v="1"/>
  </r>
  <r>
    <d v="2022-08-11T00:00:00"/>
    <s v="Puma Joggers"/>
    <s v="Joggers"/>
    <s v="Puma"/>
    <s v="Men"/>
    <s v="Limited Edition"/>
    <x v="0"/>
    <x v="3"/>
    <n v="194.31"/>
    <x v="124"/>
    <x v="1"/>
  </r>
  <r>
    <d v="2022-06-23T00:00:00"/>
    <s v="Supreme Hoodie"/>
    <s v="Hoodie"/>
    <s v="Supreme"/>
    <s v="Unisex"/>
    <s v="Limited Edition"/>
    <x v="0"/>
    <x v="2"/>
    <n v="199.68"/>
    <x v="125"/>
    <x v="3"/>
  </r>
  <r>
    <d v="2022-04-08T00:00:00"/>
    <s v="Fear of God Essentials Tee"/>
    <s v="T-shirt"/>
    <s v="Essentials"/>
    <s v="Women"/>
    <s v="Sportswear"/>
    <x v="0"/>
    <x v="0"/>
    <n v="145.47"/>
    <x v="126"/>
    <x v="0"/>
  </r>
  <r>
    <d v="2022-01-31T00:00:00"/>
    <s v="Supreme Hoodie"/>
    <s v="Hoodie"/>
    <s v="Supreme"/>
    <s v="Women"/>
    <s v="Limited Edition"/>
    <x v="1"/>
    <x v="1"/>
    <n v="141.11000000000001"/>
    <x v="127"/>
    <x v="1"/>
  </r>
  <r>
    <d v="2022-04-16T00:00:00"/>
    <s v="Jordan 1 High"/>
    <s v="Sneakers"/>
    <s v="Nike"/>
    <s v="Women"/>
    <s v="Casual"/>
    <x v="2"/>
    <x v="3"/>
    <n v="188.4"/>
    <x v="128"/>
    <x v="0"/>
  </r>
  <r>
    <d v="2022-03-30T00:00:00"/>
    <s v="Supreme Hoodie"/>
    <s v="Hoodie"/>
    <s v="Supreme"/>
    <s v="Men"/>
    <s v="Limited Edition"/>
    <x v="4"/>
    <x v="2"/>
    <n v="145.28"/>
    <x v="129"/>
    <x v="0"/>
  </r>
  <r>
    <d v="2022-07-15T00:00:00"/>
    <s v="Adidas Ultraboost"/>
    <s v="Sneakers"/>
    <s v="Adidas"/>
    <s v="Men"/>
    <s v="Streetwear"/>
    <x v="1"/>
    <x v="3"/>
    <n v="277.48"/>
    <x v="130"/>
    <x v="0"/>
  </r>
  <r>
    <d v="2022-08-16T00:00:00"/>
    <s v="Nike Tech Fleece"/>
    <s v="Hoodie"/>
    <s v="Nike"/>
    <s v="Women"/>
    <s v="Limited Edition"/>
    <x v="0"/>
    <x v="2"/>
    <n v="153.56"/>
    <x v="131"/>
    <x v="3"/>
  </r>
  <r>
    <d v="2022-03-15T00:00:00"/>
    <s v="Fear of God Essentials Tee"/>
    <s v="T-shirt"/>
    <s v="Essentials"/>
    <s v="Men"/>
    <s v="Casual"/>
    <x v="0"/>
    <x v="3"/>
    <n v="74.83"/>
    <x v="132"/>
    <x v="0"/>
  </r>
  <r>
    <d v="2022-07-06T00:00:00"/>
    <s v="Supreme Hoodie"/>
    <s v="Hoodie"/>
    <s v="Supreme"/>
    <s v="Women"/>
    <s v="Limited Edition"/>
    <x v="4"/>
    <x v="1"/>
    <n v="136.80000000000001"/>
    <x v="133"/>
    <x v="1"/>
  </r>
  <r>
    <d v="2022-06-26T00:00:00"/>
    <s v="Yeezy Boost 350"/>
    <s v="Sneakers"/>
    <s v="Adidas"/>
    <s v="Unisex"/>
    <s v="Casual"/>
    <x v="6"/>
    <x v="4"/>
    <n v="209.69"/>
    <x v="134"/>
    <x v="3"/>
  </r>
  <r>
    <d v="2022-03-18T00:00:00"/>
    <s v="Supreme Hoodie"/>
    <s v="Hoodie"/>
    <s v="Supreme"/>
    <s v="Men"/>
    <s v="Casual"/>
    <x v="3"/>
    <x v="4"/>
    <n v="200.87"/>
    <x v="135"/>
    <x v="2"/>
  </r>
  <r>
    <d v="2022-02-04T00:00:00"/>
    <s v="Puma Joggers"/>
    <s v="Joggers"/>
    <s v="Puma"/>
    <s v="Men"/>
    <s v="Streetwear"/>
    <x v="0"/>
    <x v="1"/>
    <n v="221.26"/>
    <x v="136"/>
    <x v="0"/>
  </r>
  <r>
    <d v="2022-01-03T00:00:00"/>
    <s v="Nike Dunk Low"/>
    <s v="Sneakers"/>
    <s v="Nike"/>
    <s v="Women"/>
    <s v="Streetwear"/>
    <x v="6"/>
    <x v="0"/>
    <n v="176.98"/>
    <x v="137"/>
    <x v="0"/>
  </r>
  <r>
    <d v="2022-08-06T00:00:00"/>
    <s v="New Era Cap"/>
    <s v="Cap"/>
    <s v="New Era"/>
    <s v="Men"/>
    <s v="Casual"/>
    <x v="2"/>
    <x v="0"/>
    <n v="77.08"/>
    <x v="138"/>
    <x v="3"/>
  </r>
  <r>
    <d v="2022-03-06T00:00:00"/>
    <s v="Jordan 1 High"/>
    <s v="Sneakers"/>
    <s v="Nike"/>
    <s v="Men"/>
    <s v="Casual"/>
    <x v="5"/>
    <x v="2"/>
    <n v="239.54"/>
    <x v="139"/>
    <x v="3"/>
  </r>
  <r>
    <d v="2022-03-19T00:00:00"/>
    <s v="Supreme Hoodie"/>
    <s v="Hoodie"/>
    <s v="Supreme"/>
    <s v="Men"/>
    <s v="Streetwear"/>
    <x v="3"/>
    <x v="0"/>
    <n v="179.54"/>
    <x v="140"/>
    <x v="1"/>
  </r>
  <r>
    <d v="2022-04-05T00:00:00"/>
    <s v="Off-White Hoodie"/>
    <s v="Hoodie"/>
    <s v="Off-White"/>
    <s v="Women"/>
    <s v="Streetwear"/>
    <x v="5"/>
    <x v="4"/>
    <n v="274.23"/>
    <x v="141"/>
    <x v="2"/>
  </r>
  <r>
    <d v="2022-03-11T00:00:00"/>
    <s v="Nike Tech Fleece"/>
    <s v="Hoodie"/>
    <s v="Nike"/>
    <s v="Women"/>
    <s v="Limited Edition"/>
    <x v="3"/>
    <x v="0"/>
    <n v="99.89"/>
    <x v="142"/>
    <x v="2"/>
  </r>
  <r>
    <d v="2022-04-03T00:00:00"/>
    <s v="Yeezy Boost 350"/>
    <s v="Sneakers"/>
    <s v="Adidas"/>
    <s v="Women"/>
    <s v="Sportswear"/>
    <x v="2"/>
    <x v="2"/>
    <n v="148.11000000000001"/>
    <x v="143"/>
    <x v="2"/>
  </r>
  <r>
    <d v="2022-06-30T00:00:00"/>
    <s v="Jordan 1 High"/>
    <s v="Sneakers"/>
    <s v="Nike"/>
    <s v="Unisex"/>
    <s v="Sportswear"/>
    <x v="3"/>
    <x v="0"/>
    <n v="81.97"/>
    <x v="144"/>
    <x v="2"/>
  </r>
  <r>
    <d v="2022-01-09T00:00:00"/>
    <s v="Yeezy Boost 350"/>
    <s v="Sneakers"/>
    <s v="Adidas"/>
    <s v="Women"/>
    <s v="Limited Edition"/>
    <x v="3"/>
    <x v="4"/>
    <n v="291.29000000000002"/>
    <x v="145"/>
    <x v="3"/>
  </r>
  <r>
    <d v="2022-05-02T00:00:00"/>
    <s v="Adidas Ultraboost"/>
    <s v="Sneakers"/>
    <s v="Adidas"/>
    <s v="Men"/>
    <s v="Streetwear"/>
    <x v="5"/>
    <x v="0"/>
    <n v="138.94999999999999"/>
    <x v="146"/>
    <x v="1"/>
  </r>
  <r>
    <d v="2022-01-27T00:00:00"/>
    <s v="Adidas Ultraboost"/>
    <s v="Sneakers"/>
    <s v="Adidas"/>
    <s v="Men"/>
    <s v="Streetwear"/>
    <x v="0"/>
    <x v="2"/>
    <n v="208.19"/>
    <x v="147"/>
    <x v="3"/>
  </r>
  <r>
    <d v="2022-07-27T00:00:00"/>
    <s v="Jordan 1 High"/>
    <s v="Sneakers"/>
    <s v="Nike"/>
    <s v="Men"/>
    <s v="Limited Edition"/>
    <x v="3"/>
    <x v="0"/>
    <n v="291.7"/>
    <x v="148"/>
    <x v="3"/>
  </r>
  <r>
    <d v="2022-06-10T00:00:00"/>
    <s v="Fear of God Essentials Tee"/>
    <s v="T-shirt"/>
    <s v="Essentials"/>
    <s v="Women"/>
    <s v="Sportswear"/>
    <x v="1"/>
    <x v="4"/>
    <n v="209.89"/>
    <x v="149"/>
    <x v="1"/>
  </r>
  <r>
    <d v="2022-05-04T00:00:00"/>
    <s v="Jordan 1 High"/>
    <s v="Sneakers"/>
    <s v="Nike"/>
    <s v="Unisex"/>
    <s v="Casual"/>
    <x v="0"/>
    <x v="2"/>
    <n v="171.49"/>
    <x v="150"/>
    <x v="2"/>
  </r>
  <r>
    <d v="2022-01-17T00:00:00"/>
    <s v="Nike Tech Fleece"/>
    <s v="Hoodie"/>
    <s v="Nike"/>
    <s v="Men"/>
    <s v="Casual"/>
    <x v="4"/>
    <x v="4"/>
    <n v="156.22"/>
    <x v="151"/>
    <x v="3"/>
  </r>
  <r>
    <d v="2022-06-07T00:00:00"/>
    <s v="Yeezy Boost 350"/>
    <s v="Sneakers"/>
    <s v="Adidas"/>
    <s v="Men"/>
    <s v="Streetwear"/>
    <x v="0"/>
    <x v="2"/>
    <n v="158.82"/>
    <x v="152"/>
    <x v="1"/>
  </r>
  <r>
    <d v="2022-07-12T00:00:00"/>
    <s v="Off-White Hoodie"/>
    <s v="Hoodie"/>
    <s v="Off-White"/>
    <s v="Men"/>
    <s v="Sportswear"/>
    <x v="2"/>
    <x v="4"/>
    <n v="218.91"/>
    <x v="153"/>
    <x v="3"/>
  </r>
  <r>
    <d v="2022-07-27T00:00:00"/>
    <s v="Supreme Hoodie"/>
    <s v="Hoodie"/>
    <s v="Supreme"/>
    <s v="Women"/>
    <s v="Limited Edition"/>
    <x v="1"/>
    <x v="0"/>
    <n v="54.88"/>
    <x v="154"/>
    <x v="3"/>
  </r>
  <r>
    <d v="2022-05-08T00:00:00"/>
    <s v="New Era Cap"/>
    <s v="Cap"/>
    <s v="New Era"/>
    <s v="Women"/>
    <s v="Sportswear"/>
    <x v="5"/>
    <x v="1"/>
    <n v="75.27"/>
    <x v="155"/>
    <x v="0"/>
  </r>
  <r>
    <d v="2022-06-12T00:00:00"/>
    <s v="Puma Joggers"/>
    <s v="Joggers"/>
    <s v="Puma"/>
    <s v="Men"/>
    <s v="Limited Edition"/>
    <x v="3"/>
    <x v="1"/>
    <n v="144.04"/>
    <x v="156"/>
    <x v="2"/>
  </r>
  <r>
    <d v="2022-07-26T00:00:00"/>
    <s v="Jordan 1 High"/>
    <s v="Sneakers"/>
    <s v="Nike"/>
    <s v="Men"/>
    <s v="Streetwear"/>
    <x v="4"/>
    <x v="2"/>
    <n v="196.45"/>
    <x v="157"/>
    <x v="1"/>
  </r>
  <r>
    <d v="2022-01-17T00:00:00"/>
    <s v="Nike Dunk Low"/>
    <s v="Sneakers"/>
    <s v="Nike"/>
    <s v="Men"/>
    <s v="Limited Edition"/>
    <x v="6"/>
    <x v="4"/>
    <n v="213.66"/>
    <x v="158"/>
    <x v="0"/>
  </r>
  <r>
    <d v="2022-08-16T00:00:00"/>
    <s v="Yeezy Boost 350"/>
    <s v="Sneakers"/>
    <s v="Adidas"/>
    <s v="Men"/>
    <s v="Streetwear"/>
    <x v="2"/>
    <x v="1"/>
    <n v="164.57"/>
    <x v="159"/>
    <x v="2"/>
  </r>
  <r>
    <d v="2022-04-13T00:00:00"/>
    <s v="Jordan 1 High"/>
    <s v="Sneakers"/>
    <s v="Nike"/>
    <s v="Men"/>
    <s v="Casual"/>
    <x v="5"/>
    <x v="2"/>
    <n v="203.25"/>
    <x v="160"/>
    <x v="3"/>
  </r>
  <r>
    <d v="2022-05-13T00:00:00"/>
    <s v="Off-White Hoodie"/>
    <s v="Hoodie"/>
    <s v="Off-White"/>
    <s v="Women"/>
    <s v="Sportswear"/>
    <x v="2"/>
    <x v="0"/>
    <n v="91.11"/>
    <x v="161"/>
    <x v="2"/>
  </r>
  <r>
    <d v="2022-02-17T00:00:00"/>
    <s v="Off-White Hoodie"/>
    <s v="Hoodie"/>
    <s v="Off-White"/>
    <s v="Unisex"/>
    <s v="Streetwear"/>
    <x v="6"/>
    <x v="4"/>
    <n v="57.92"/>
    <x v="162"/>
    <x v="2"/>
  </r>
  <r>
    <d v="2022-07-31T00:00:00"/>
    <s v="Jordan 1 High"/>
    <s v="Sneakers"/>
    <s v="Nike"/>
    <s v="Women"/>
    <s v="Limited Edition"/>
    <x v="0"/>
    <x v="4"/>
    <n v="209.3"/>
    <x v="163"/>
    <x v="3"/>
  </r>
  <r>
    <d v="2022-08-25T00:00:00"/>
    <s v="Adidas Ultraboost"/>
    <s v="Sneakers"/>
    <s v="Adidas"/>
    <s v="Unisex"/>
    <s v="Casual"/>
    <x v="4"/>
    <x v="1"/>
    <n v="112.26"/>
    <x v="164"/>
    <x v="1"/>
  </r>
  <r>
    <d v="2022-08-30T00:00:00"/>
    <s v="Nike Dunk Low"/>
    <s v="Sneakers"/>
    <s v="Nike"/>
    <s v="Women"/>
    <s v="Limited Edition"/>
    <x v="5"/>
    <x v="3"/>
    <n v="216.83"/>
    <x v="165"/>
    <x v="1"/>
  </r>
  <r>
    <d v="2022-07-21T00:00:00"/>
    <s v="Puma Joggers"/>
    <s v="Joggers"/>
    <s v="Puma"/>
    <s v="Unisex"/>
    <s v="Limited Edition"/>
    <x v="5"/>
    <x v="0"/>
    <n v="68.52"/>
    <x v="166"/>
    <x v="1"/>
  </r>
  <r>
    <d v="2022-08-02T00:00:00"/>
    <s v="Supreme Hoodie"/>
    <s v="Hoodie"/>
    <s v="Supreme"/>
    <s v="Men"/>
    <s v="Casual"/>
    <x v="5"/>
    <x v="1"/>
    <n v="98.04"/>
    <x v="167"/>
    <x v="2"/>
  </r>
  <r>
    <d v="2022-06-30T00:00:00"/>
    <s v="Fear of God Essentials Tee"/>
    <s v="T-shirt"/>
    <s v="Essentials"/>
    <s v="Men"/>
    <s v="Casual"/>
    <x v="3"/>
    <x v="0"/>
    <n v="204.35"/>
    <x v="168"/>
    <x v="3"/>
  </r>
  <r>
    <d v="2022-04-10T00:00:00"/>
    <s v="Nike Dunk Low"/>
    <s v="Sneakers"/>
    <s v="Nike"/>
    <s v="Women"/>
    <s v="Streetwear"/>
    <x v="4"/>
    <x v="2"/>
    <n v="283.7"/>
    <x v="169"/>
    <x v="0"/>
  </r>
  <r>
    <d v="2022-07-03T00:00:00"/>
    <s v="Off-White Hoodie"/>
    <s v="Hoodie"/>
    <s v="Off-White"/>
    <s v="Women"/>
    <s v="Limited Edition"/>
    <x v="3"/>
    <x v="2"/>
    <n v="172.52"/>
    <x v="170"/>
    <x v="1"/>
  </r>
  <r>
    <d v="2022-02-26T00:00:00"/>
    <s v="Jordan 1 High"/>
    <s v="Sneakers"/>
    <s v="Nike"/>
    <s v="Men"/>
    <s v="Limited Edition"/>
    <x v="6"/>
    <x v="4"/>
    <n v="51.81"/>
    <x v="171"/>
    <x v="3"/>
  </r>
  <r>
    <d v="2022-04-29T00:00:00"/>
    <s v="Nike Tech Fleece"/>
    <s v="Hoodie"/>
    <s v="Nike"/>
    <s v="Men"/>
    <s v="Sportswear"/>
    <x v="0"/>
    <x v="0"/>
    <n v="71.28"/>
    <x v="172"/>
    <x v="2"/>
  </r>
  <r>
    <d v="2022-02-24T00:00:00"/>
    <s v="Yeezy Boost 350"/>
    <s v="Sneakers"/>
    <s v="Adidas"/>
    <s v="Unisex"/>
    <s v="Sportswear"/>
    <x v="5"/>
    <x v="3"/>
    <n v="248.44"/>
    <x v="173"/>
    <x v="2"/>
  </r>
  <r>
    <d v="2022-07-03T00:00:00"/>
    <s v="Yeezy Boost 350"/>
    <s v="Sneakers"/>
    <s v="Adidas"/>
    <s v="Women"/>
    <s v="Sportswear"/>
    <x v="3"/>
    <x v="3"/>
    <n v="107.04"/>
    <x v="174"/>
    <x v="0"/>
  </r>
  <r>
    <d v="2022-08-30T00:00:00"/>
    <s v="Puma Joggers"/>
    <s v="Joggers"/>
    <s v="Puma"/>
    <s v="Women"/>
    <s v="Sportswear"/>
    <x v="1"/>
    <x v="1"/>
    <n v="132.07"/>
    <x v="175"/>
    <x v="3"/>
  </r>
  <r>
    <d v="2022-07-09T00:00:00"/>
    <s v="Nike Dunk Low"/>
    <s v="Sneakers"/>
    <s v="Nike"/>
    <s v="Men"/>
    <s v="Casual"/>
    <x v="0"/>
    <x v="4"/>
    <n v="118.37"/>
    <x v="176"/>
    <x v="0"/>
  </r>
  <r>
    <d v="2022-04-18T00:00:00"/>
    <s v="Nike Tech Fleece"/>
    <s v="Hoodie"/>
    <s v="Nike"/>
    <s v="Women"/>
    <s v="Streetwear"/>
    <x v="4"/>
    <x v="0"/>
    <n v="243.74"/>
    <x v="177"/>
    <x v="3"/>
  </r>
  <r>
    <d v="2022-01-16T00:00:00"/>
    <s v="Nike Dunk Low"/>
    <s v="Sneakers"/>
    <s v="Nike"/>
    <s v="Unisex"/>
    <s v="Limited Edition"/>
    <x v="0"/>
    <x v="0"/>
    <n v="150.02000000000001"/>
    <x v="178"/>
    <x v="2"/>
  </r>
  <r>
    <d v="2022-04-02T00:00:00"/>
    <s v="Nike Tech Fleece"/>
    <s v="Hoodie"/>
    <s v="Nike"/>
    <s v="Women"/>
    <s v="Streetwear"/>
    <x v="1"/>
    <x v="4"/>
    <n v="73.31"/>
    <x v="179"/>
    <x v="3"/>
  </r>
  <r>
    <d v="2022-08-25T00:00:00"/>
    <s v="Puma Joggers"/>
    <s v="Joggers"/>
    <s v="Puma"/>
    <s v="Men"/>
    <s v="Casual"/>
    <x v="1"/>
    <x v="3"/>
    <n v="176.24"/>
    <x v="180"/>
    <x v="2"/>
  </r>
  <r>
    <d v="2022-05-27T00:00:00"/>
    <s v="Adidas Ultraboost"/>
    <s v="Sneakers"/>
    <s v="Adidas"/>
    <s v="Women"/>
    <s v="Sportswear"/>
    <x v="2"/>
    <x v="0"/>
    <n v="135.5"/>
    <x v="181"/>
    <x v="1"/>
  </r>
  <r>
    <d v="2022-08-18T00:00:00"/>
    <s v="Fear of God Essentials Tee"/>
    <s v="T-shirt"/>
    <s v="Essentials"/>
    <s v="Men"/>
    <s v="Sportswear"/>
    <x v="5"/>
    <x v="2"/>
    <n v="250.12"/>
    <x v="182"/>
    <x v="0"/>
  </r>
  <r>
    <d v="2022-07-03T00:00:00"/>
    <s v="Yeezy Boost 350"/>
    <s v="Sneakers"/>
    <s v="Adidas"/>
    <s v="Women"/>
    <s v="Casual"/>
    <x v="1"/>
    <x v="2"/>
    <n v="145.88999999999999"/>
    <x v="183"/>
    <x v="0"/>
  </r>
  <r>
    <d v="2022-05-07T00:00:00"/>
    <s v="Nike Tech Fleece"/>
    <s v="Hoodie"/>
    <s v="Nike"/>
    <s v="Unisex"/>
    <s v="Casual"/>
    <x v="6"/>
    <x v="2"/>
    <n v="281.54000000000002"/>
    <x v="184"/>
    <x v="3"/>
  </r>
  <r>
    <d v="2022-06-25T00:00:00"/>
    <s v="Jordan 1 High"/>
    <s v="Sneakers"/>
    <s v="Nike"/>
    <s v="Unisex"/>
    <s v="Casual"/>
    <x v="1"/>
    <x v="2"/>
    <n v="121.42"/>
    <x v="185"/>
    <x v="0"/>
  </r>
  <r>
    <d v="2022-06-03T00:00:00"/>
    <s v="Jordan 1 High"/>
    <s v="Sneakers"/>
    <s v="Nike"/>
    <s v="Women"/>
    <s v="Streetwear"/>
    <x v="3"/>
    <x v="2"/>
    <n v="265.91000000000003"/>
    <x v="186"/>
    <x v="1"/>
  </r>
  <r>
    <d v="2022-01-25T00:00:00"/>
    <s v="Fear of God Essentials Tee"/>
    <s v="T-shirt"/>
    <s v="Essentials"/>
    <s v="Women"/>
    <s v="Limited Edition"/>
    <x v="4"/>
    <x v="1"/>
    <n v="240.42"/>
    <x v="187"/>
    <x v="0"/>
  </r>
  <r>
    <d v="2022-01-08T00:00:00"/>
    <s v="Adidas Ultraboost"/>
    <s v="Sneakers"/>
    <s v="Adidas"/>
    <s v="Women"/>
    <s v="Sportswear"/>
    <x v="6"/>
    <x v="0"/>
    <n v="275.27"/>
    <x v="188"/>
    <x v="0"/>
  </r>
  <r>
    <d v="2022-08-09T00:00:00"/>
    <s v="Supreme Hoodie"/>
    <s v="Hoodie"/>
    <s v="Supreme"/>
    <s v="Women"/>
    <s v="Streetwear"/>
    <x v="3"/>
    <x v="4"/>
    <n v="154.79"/>
    <x v="189"/>
    <x v="0"/>
  </r>
  <r>
    <d v="2022-08-13T00:00:00"/>
    <s v="Supreme Hoodie"/>
    <s v="Hoodie"/>
    <s v="Supreme"/>
    <s v="Unisex"/>
    <s v="Sportswear"/>
    <x v="3"/>
    <x v="0"/>
    <n v="139"/>
    <x v="190"/>
    <x v="1"/>
  </r>
  <r>
    <d v="2022-06-21T00:00:00"/>
    <s v="Nike Tech Fleece"/>
    <s v="Hoodie"/>
    <s v="Nike"/>
    <s v="Unisex"/>
    <s v="Streetwear"/>
    <x v="1"/>
    <x v="4"/>
    <n v="79.27"/>
    <x v="191"/>
    <x v="0"/>
  </r>
  <r>
    <d v="2022-08-23T00:00:00"/>
    <s v="Off-White Hoodie"/>
    <s v="Hoodie"/>
    <s v="Off-White"/>
    <s v="Men"/>
    <s v="Casual"/>
    <x v="5"/>
    <x v="3"/>
    <n v="237.1"/>
    <x v="192"/>
    <x v="2"/>
  </r>
  <r>
    <d v="2022-01-29T00:00:00"/>
    <s v="Off-White Hoodie"/>
    <s v="Hoodie"/>
    <s v="Off-White"/>
    <s v="Men"/>
    <s v="Casual"/>
    <x v="2"/>
    <x v="2"/>
    <n v="228.46"/>
    <x v="193"/>
    <x v="2"/>
  </r>
  <r>
    <d v="2022-06-12T00:00:00"/>
    <s v="Supreme Hoodie"/>
    <s v="Hoodie"/>
    <s v="Supreme"/>
    <s v="Men"/>
    <s v="Sportswear"/>
    <x v="5"/>
    <x v="2"/>
    <n v="52.42"/>
    <x v="194"/>
    <x v="3"/>
  </r>
  <r>
    <d v="2022-08-26T00:00:00"/>
    <s v="Nike Dunk Low"/>
    <s v="Sneakers"/>
    <s v="Nike"/>
    <s v="Men"/>
    <s v="Limited Edition"/>
    <x v="0"/>
    <x v="4"/>
    <n v="270.52"/>
    <x v="195"/>
    <x v="1"/>
  </r>
  <r>
    <d v="2022-01-08T00:00:00"/>
    <s v="Jordan 1 High"/>
    <s v="Sneakers"/>
    <s v="Nike"/>
    <s v="Unisex"/>
    <s v="Limited Edition"/>
    <x v="2"/>
    <x v="2"/>
    <n v="119.36"/>
    <x v="196"/>
    <x v="2"/>
  </r>
  <r>
    <d v="2022-01-23T00:00:00"/>
    <s v="New Era Cap"/>
    <s v="Cap"/>
    <s v="New Era"/>
    <s v="Women"/>
    <s v="Limited Edition"/>
    <x v="2"/>
    <x v="4"/>
    <n v="125.26"/>
    <x v="197"/>
    <x v="3"/>
  </r>
  <r>
    <d v="2022-06-02T00:00:00"/>
    <s v="Off-White Hoodie"/>
    <s v="Hoodie"/>
    <s v="Off-White"/>
    <s v="Women"/>
    <s v="Casual"/>
    <x v="5"/>
    <x v="4"/>
    <n v="296.55"/>
    <x v="198"/>
    <x v="0"/>
  </r>
  <r>
    <d v="2022-06-13T00:00:00"/>
    <s v="Puma Joggers"/>
    <s v="Joggers"/>
    <s v="Puma"/>
    <s v="Women"/>
    <s v="Casual"/>
    <x v="2"/>
    <x v="1"/>
    <n v="56.73"/>
    <x v="199"/>
    <x v="3"/>
  </r>
  <r>
    <d v="2022-01-18T00:00:00"/>
    <s v="Supreme Hoodie"/>
    <s v="Hoodie"/>
    <s v="Supreme"/>
    <s v="Unisex"/>
    <s v="Casual"/>
    <x v="2"/>
    <x v="1"/>
    <n v="91.56"/>
    <x v="200"/>
    <x v="1"/>
  </r>
  <r>
    <d v="2022-04-11T00:00:00"/>
    <s v="New Era Cap"/>
    <s v="Cap"/>
    <s v="New Era"/>
    <s v="Women"/>
    <s v="Streetwear"/>
    <x v="6"/>
    <x v="3"/>
    <n v="152.54"/>
    <x v="201"/>
    <x v="0"/>
  </r>
  <r>
    <d v="2022-07-04T00:00:00"/>
    <s v="New Era Cap"/>
    <s v="Cap"/>
    <s v="New Era"/>
    <s v="Women"/>
    <s v="Casual"/>
    <x v="1"/>
    <x v="2"/>
    <n v="61.37"/>
    <x v="202"/>
    <x v="2"/>
  </r>
  <r>
    <d v="2022-03-07T00:00:00"/>
    <s v="Off-White Hoodie"/>
    <s v="Hoodie"/>
    <s v="Off-White"/>
    <s v="Men"/>
    <s v="Streetwear"/>
    <x v="0"/>
    <x v="4"/>
    <n v="162.36000000000001"/>
    <x v="203"/>
    <x v="3"/>
  </r>
  <r>
    <d v="2022-06-29T00:00:00"/>
    <s v="Supreme Hoodie"/>
    <s v="Hoodie"/>
    <s v="Supreme"/>
    <s v="Men"/>
    <s v="Streetwear"/>
    <x v="6"/>
    <x v="3"/>
    <n v="257.5"/>
    <x v="204"/>
    <x v="1"/>
  </r>
  <r>
    <d v="2022-05-21T00:00:00"/>
    <s v="Nike Dunk Low"/>
    <s v="Sneakers"/>
    <s v="Nike"/>
    <s v="Women"/>
    <s v="Casual"/>
    <x v="4"/>
    <x v="2"/>
    <n v="202.28"/>
    <x v="205"/>
    <x v="0"/>
  </r>
  <r>
    <d v="2022-07-07T00:00:00"/>
    <s v="New Era Cap"/>
    <s v="Cap"/>
    <s v="New Era"/>
    <s v="Unisex"/>
    <s v="Casual"/>
    <x v="3"/>
    <x v="1"/>
    <n v="224.83"/>
    <x v="206"/>
    <x v="2"/>
  </r>
  <r>
    <d v="2022-04-02T00:00:00"/>
    <s v="Puma Joggers"/>
    <s v="Joggers"/>
    <s v="Puma"/>
    <s v="Men"/>
    <s v="Streetwear"/>
    <x v="5"/>
    <x v="4"/>
    <n v="256.27"/>
    <x v="207"/>
    <x v="2"/>
  </r>
  <r>
    <d v="2022-03-26T00:00:00"/>
    <s v="Yeezy Boost 350"/>
    <s v="Sneakers"/>
    <s v="Adidas"/>
    <s v="Women"/>
    <s v="Limited Edition"/>
    <x v="2"/>
    <x v="3"/>
    <n v="277.26"/>
    <x v="208"/>
    <x v="1"/>
  </r>
  <r>
    <d v="2022-07-04T00:00:00"/>
    <s v="Puma Joggers"/>
    <s v="Joggers"/>
    <s v="Puma"/>
    <s v="Unisex"/>
    <s v="Streetwear"/>
    <x v="5"/>
    <x v="4"/>
    <n v="271.19"/>
    <x v="209"/>
    <x v="2"/>
  </r>
  <r>
    <d v="2022-01-12T00:00:00"/>
    <s v="Off-White Hoodie"/>
    <s v="Hoodie"/>
    <s v="Off-White"/>
    <s v="Men"/>
    <s v="Streetwear"/>
    <x v="5"/>
    <x v="4"/>
    <n v="205.62"/>
    <x v="210"/>
    <x v="3"/>
  </r>
  <r>
    <d v="2022-08-01T00:00:00"/>
    <s v="Jordan 1 High"/>
    <s v="Sneakers"/>
    <s v="Nike"/>
    <s v="Men"/>
    <s v="Streetwear"/>
    <x v="6"/>
    <x v="2"/>
    <n v="130.97"/>
    <x v="211"/>
    <x v="0"/>
  </r>
  <r>
    <d v="2022-03-26T00:00:00"/>
    <s v="Fear of God Essentials Tee"/>
    <s v="T-shirt"/>
    <s v="Essentials"/>
    <s v="Men"/>
    <s v="Streetwear"/>
    <x v="5"/>
    <x v="0"/>
    <n v="267.70999999999998"/>
    <x v="212"/>
    <x v="2"/>
  </r>
  <r>
    <d v="2022-01-04T00:00:00"/>
    <s v="Nike Dunk Low"/>
    <s v="Sneakers"/>
    <s v="Nike"/>
    <s v="Men"/>
    <s v="Sportswear"/>
    <x v="6"/>
    <x v="2"/>
    <n v="151.37"/>
    <x v="213"/>
    <x v="1"/>
  </r>
  <r>
    <d v="2022-03-07T00:00:00"/>
    <s v="Off-White Hoodie"/>
    <s v="Hoodie"/>
    <s v="Off-White"/>
    <s v="Men"/>
    <s v="Sportswear"/>
    <x v="5"/>
    <x v="0"/>
    <n v="89.84"/>
    <x v="214"/>
    <x v="3"/>
  </r>
  <r>
    <d v="2022-04-25T00:00:00"/>
    <s v="Puma Joggers"/>
    <s v="Joggers"/>
    <s v="Puma"/>
    <s v="Men"/>
    <s v="Streetwear"/>
    <x v="5"/>
    <x v="1"/>
    <n v="276.64"/>
    <x v="215"/>
    <x v="0"/>
  </r>
  <r>
    <d v="2022-03-15T00:00:00"/>
    <s v="Puma Joggers"/>
    <s v="Joggers"/>
    <s v="Puma"/>
    <s v="Unisex"/>
    <s v="Limited Edition"/>
    <x v="3"/>
    <x v="4"/>
    <n v="203.41"/>
    <x v="216"/>
    <x v="0"/>
  </r>
  <r>
    <d v="2022-08-10T00:00:00"/>
    <s v="Nike Tech Fleece"/>
    <s v="Hoodie"/>
    <s v="Nike"/>
    <s v="Men"/>
    <s v="Limited Edition"/>
    <x v="2"/>
    <x v="3"/>
    <n v="195.85"/>
    <x v="217"/>
    <x v="3"/>
  </r>
  <r>
    <d v="2022-08-04T00:00:00"/>
    <s v="Puma Joggers"/>
    <s v="Joggers"/>
    <s v="Puma"/>
    <s v="Men"/>
    <s v="Sportswear"/>
    <x v="1"/>
    <x v="3"/>
    <n v="288.87"/>
    <x v="218"/>
    <x v="1"/>
  </r>
  <r>
    <d v="2022-05-11T00:00:00"/>
    <s v="Nike Tech Fleece"/>
    <s v="Hoodie"/>
    <s v="Nike"/>
    <s v="Men"/>
    <s v="Sportswear"/>
    <x v="1"/>
    <x v="1"/>
    <n v="65.45"/>
    <x v="219"/>
    <x v="2"/>
  </r>
  <r>
    <d v="2022-01-01T00:00:00"/>
    <s v="Yeezy Boost 350"/>
    <s v="Sneakers"/>
    <s v="Adidas"/>
    <s v="Unisex"/>
    <s v="Casual"/>
    <x v="6"/>
    <x v="1"/>
    <n v="202.42"/>
    <x v="220"/>
    <x v="3"/>
  </r>
  <r>
    <d v="2022-03-05T00:00:00"/>
    <s v="Nike Tech Fleece"/>
    <s v="Hoodie"/>
    <s v="Nike"/>
    <s v="Men"/>
    <s v="Streetwear"/>
    <x v="1"/>
    <x v="3"/>
    <n v="51.11"/>
    <x v="221"/>
    <x v="2"/>
  </r>
  <r>
    <d v="2022-07-24T00:00:00"/>
    <s v="New Era Cap"/>
    <s v="Cap"/>
    <s v="New Era"/>
    <s v="Men"/>
    <s v="Limited Edition"/>
    <x v="0"/>
    <x v="1"/>
    <n v="292.68"/>
    <x v="222"/>
    <x v="1"/>
  </r>
  <r>
    <d v="2022-08-10T00:00:00"/>
    <s v="Puma Joggers"/>
    <s v="Joggers"/>
    <s v="Puma"/>
    <s v="Women"/>
    <s v="Casual"/>
    <x v="6"/>
    <x v="3"/>
    <n v="175.51"/>
    <x v="223"/>
    <x v="1"/>
  </r>
  <r>
    <d v="2022-03-13T00:00:00"/>
    <s v="Yeezy Boost 350"/>
    <s v="Sneakers"/>
    <s v="Adidas"/>
    <s v="Women"/>
    <s v="Sportswear"/>
    <x v="4"/>
    <x v="2"/>
    <n v="211.37"/>
    <x v="224"/>
    <x v="0"/>
  </r>
  <r>
    <d v="2022-03-23T00:00:00"/>
    <s v="Nike Tech Fleece"/>
    <s v="Hoodie"/>
    <s v="Nike"/>
    <s v="Unisex"/>
    <s v="Casual"/>
    <x v="4"/>
    <x v="1"/>
    <n v="209.78"/>
    <x v="225"/>
    <x v="1"/>
  </r>
  <r>
    <d v="2022-05-12T00:00:00"/>
    <s v="Nike Dunk Low"/>
    <s v="Sneakers"/>
    <s v="Nike"/>
    <s v="Unisex"/>
    <s v="Casual"/>
    <x v="3"/>
    <x v="1"/>
    <n v="59.85"/>
    <x v="226"/>
    <x v="3"/>
  </r>
  <r>
    <d v="2022-07-17T00:00:00"/>
    <s v="Nike Dunk Low"/>
    <s v="Sneakers"/>
    <s v="Nike"/>
    <s v="Unisex"/>
    <s v="Streetwear"/>
    <x v="5"/>
    <x v="4"/>
    <n v="156.27000000000001"/>
    <x v="227"/>
    <x v="1"/>
  </r>
  <r>
    <d v="2022-03-08T00:00:00"/>
    <s v="Yeezy Boost 350"/>
    <s v="Sneakers"/>
    <s v="Adidas"/>
    <s v="Unisex"/>
    <s v="Limited Edition"/>
    <x v="1"/>
    <x v="3"/>
    <n v="175"/>
    <x v="228"/>
    <x v="0"/>
  </r>
  <r>
    <d v="2022-08-05T00:00:00"/>
    <s v="Off-White Hoodie"/>
    <s v="Hoodie"/>
    <s v="Off-White"/>
    <s v="Men"/>
    <s v="Casual"/>
    <x v="2"/>
    <x v="3"/>
    <n v="88"/>
    <x v="229"/>
    <x v="3"/>
  </r>
  <r>
    <d v="2022-07-02T00:00:00"/>
    <s v="Nike Dunk Low"/>
    <s v="Sneakers"/>
    <s v="Nike"/>
    <s v="Men"/>
    <s v="Casual"/>
    <x v="2"/>
    <x v="2"/>
    <n v="293.33"/>
    <x v="230"/>
    <x v="0"/>
  </r>
  <r>
    <d v="2022-07-17T00:00:00"/>
    <s v="Nike Dunk Low"/>
    <s v="Sneakers"/>
    <s v="Nike"/>
    <s v="Unisex"/>
    <s v="Limited Edition"/>
    <x v="4"/>
    <x v="0"/>
    <n v="285.37"/>
    <x v="231"/>
    <x v="1"/>
  </r>
  <r>
    <d v="2022-01-15T00:00:00"/>
    <s v="Off-White Hoodie"/>
    <s v="Hoodie"/>
    <s v="Off-White"/>
    <s v="Women"/>
    <s v="Sportswear"/>
    <x v="6"/>
    <x v="0"/>
    <n v="220.59"/>
    <x v="232"/>
    <x v="3"/>
  </r>
  <r>
    <d v="2022-03-03T00:00:00"/>
    <s v="Nike Dunk Low"/>
    <s v="Sneakers"/>
    <s v="Nike"/>
    <s v="Men"/>
    <s v="Streetwear"/>
    <x v="1"/>
    <x v="0"/>
    <n v="214"/>
    <x v="233"/>
    <x v="3"/>
  </r>
  <r>
    <d v="2022-08-18T00:00:00"/>
    <s v="Yeezy Boost 350"/>
    <s v="Sneakers"/>
    <s v="Adidas"/>
    <s v="Unisex"/>
    <s v="Limited Edition"/>
    <x v="4"/>
    <x v="0"/>
    <n v="208.24"/>
    <x v="234"/>
    <x v="0"/>
  </r>
  <r>
    <d v="2022-06-07T00:00:00"/>
    <s v="Supreme Hoodie"/>
    <s v="Hoodie"/>
    <s v="Supreme"/>
    <s v="Unisex"/>
    <s v="Casual"/>
    <x v="4"/>
    <x v="2"/>
    <n v="133.69999999999999"/>
    <x v="235"/>
    <x v="1"/>
  </r>
  <r>
    <d v="2022-08-24T00:00:00"/>
    <s v="Fear of God Essentials Tee"/>
    <s v="T-shirt"/>
    <s v="Essentials"/>
    <s v="Men"/>
    <s v="Casual"/>
    <x v="3"/>
    <x v="3"/>
    <n v="158.69999999999999"/>
    <x v="236"/>
    <x v="3"/>
  </r>
  <r>
    <d v="2022-01-19T00:00:00"/>
    <s v="Nike Tech Fleece"/>
    <s v="Hoodie"/>
    <s v="Nike"/>
    <s v="Women"/>
    <s v="Streetwear"/>
    <x v="2"/>
    <x v="3"/>
    <n v="244.13"/>
    <x v="237"/>
    <x v="2"/>
  </r>
  <r>
    <d v="2022-08-19T00:00:00"/>
    <s v="Nike Tech Fleece"/>
    <s v="Hoodie"/>
    <s v="Nike"/>
    <s v="Women"/>
    <s v="Casual"/>
    <x v="1"/>
    <x v="0"/>
    <n v="147.99"/>
    <x v="238"/>
    <x v="1"/>
  </r>
  <r>
    <d v="2022-08-11T00:00:00"/>
    <s v="Fear of God Essentials Tee"/>
    <s v="T-shirt"/>
    <s v="Essentials"/>
    <s v="Unisex"/>
    <s v="Casual"/>
    <x v="0"/>
    <x v="1"/>
    <n v="157.81"/>
    <x v="239"/>
    <x v="2"/>
  </r>
  <r>
    <d v="2022-03-24T00:00:00"/>
    <s v="Puma Joggers"/>
    <s v="Joggers"/>
    <s v="Puma"/>
    <s v="Unisex"/>
    <s v="Streetwear"/>
    <x v="4"/>
    <x v="3"/>
    <n v="212.76"/>
    <x v="240"/>
    <x v="3"/>
  </r>
  <r>
    <d v="2022-01-17T00:00:00"/>
    <s v="Adidas Ultraboost"/>
    <s v="Sneakers"/>
    <s v="Adidas"/>
    <s v="Women"/>
    <s v="Casual"/>
    <x v="1"/>
    <x v="4"/>
    <n v="225.9"/>
    <x v="241"/>
    <x v="3"/>
  </r>
  <r>
    <d v="2022-02-09T00:00:00"/>
    <s v="New Era Cap"/>
    <s v="Cap"/>
    <s v="New Era"/>
    <s v="Men"/>
    <s v="Streetwear"/>
    <x v="5"/>
    <x v="4"/>
    <n v="112.98"/>
    <x v="242"/>
    <x v="3"/>
  </r>
  <r>
    <d v="2022-05-13T00:00:00"/>
    <s v="New Era Cap"/>
    <s v="Cap"/>
    <s v="New Era"/>
    <s v="Unisex"/>
    <s v="Casual"/>
    <x v="5"/>
    <x v="3"/>
    <n v="100.84"/>
    <x v="243"/>
    <x v="2"/>
  </r>
  <r>
    <d v="2022-02-03T00:00:00"/>
    <s v="Jordan 1 High"/>
    <s v="Sneakers"/>
    <s v="Nike"/>
    <s v="Women"/>
    <s v="Casual"/>
    <x v="5"/>
    <x v="2"/>
    <n v="292.75"/>
    <x v="244"/>
    <x v="3"/>
  </r>
  <r>
    <d v="2022-02-08T00:00:00"/>
    <s v="Nike Tech Fleece"/>
    <s v="Hoodie"/>
    <s v="Nike"/>
    <s v="Men"/>
    <s v="Streetwear"/>
    <x v="2"/>
    <x v="4"/>
    <n v="82.62"/>
    <x v="245"/>
    <x v="2"/>
  </r>
  <r>
    <d v="2022-07-18T00:00:00"/>
    <s v="Off-White Hoodie"/>
    <s v="Hoodie"/>
    <s v="Off-White"/>
    <s v="Men"/>
    <s v="Sportswear"/>
    <x v="1"/>
    <x v="4"/>
    <n v="246.13"/>
    <x v="246"/>
    <x v="1"/>
  </r>
  <r>
    <d v="2022-04-29T00:00:00"/>
    <s v="Nike Dunk Low"/>
    <s v="Sneakers"/>
    <s v="Nike"/>
    <s v="Men"/>
    <s v="Streetwear"/>
    <x v="4"/>
    <x v="2"/>
    <n v="168.01"/>
    <x v="247"/>
    <x v="3"/>
  </r>
  <r>
    <d v="2022-08-26T00:00:00"/>
    <s v="Adidas Ultraboost"/>
    <s v="Sneakers"/>
    <s v="Adidas"/>
    <s v="Men"/>
    <s v="Sportswear"/>
    <x v="0"/>
    <x v="1"/>
    <n v="93.08"/>
    <x v="248"/>
    <x v="3"/>
  </r>
  <r>
    <d v="2022-01-14T00:00:00"/>
    <s v="Off-White Hoodie"/>
    <s v="Hoodie"/>
    <s v="Off-White"/>
    <s v="Women"/>
    <s v="Limited Edition"/>
    <x v="1"/>
    <x v="4"/>
    <n v="161.55000000000001"/>
    <x v="249"/>
    <x v="1"/>
  </r>
  <r>
    <d v="2022-02-25T00:00:00"/>
    <s v="New Era Cap"/>
    <s v="Cap"/>
    <s v="New Era"/>
    <s v="Men"/>
    <s v="Casual"/>
    <x v="4"/>
    <x v="4"/>
    <n v="228.84"/>
    <x v="250"/>
    <x v="1"/>
  </r>
  <r>
    <d v="2022-05-23T00:00:00"/>
    <s v="Off-White Hoodie"/>
    <s v="Hoodie"/>
    <s v="Off-White"/>
    <s v="Women"/>
    <s v="Sportswear"/>
    <x v="6"/>
    <x v="2"/>
    <n v="221.31"/>
    <x v="251"/>
    <x v="0"/>
  </r>
  <r>
    <d v="2022-07-26T00:00:00"/>
    <s v="New Era Cap"/>
    <s v="Cap"/>
    <s v="New Era"/>
    <s v="Women"/>
    <s v="Sportswear"/>
    <x v="2"/>
    <x v="3"/>
    <n v="287.68"/>
    <x v="252"/>
    <x v="2"/>
  </r>
  <r>
    <d v="2022-01-16T00:00:00"/>
    <s v="Nike Dunk Low"/>
    <s v="Sneakers"/>
    <s v="Nike"/>
    <s v="Women"/>
    <s v="Limited Edition"/>
    <x v="2"/>
    <x v="0"/>
    <n v="168.7"/>
    <x v="253"/>
    <x v="3"/>
  </r>
  <r>
    <d v="2022-06-01T00:00:00"/>
    <s v="Fear of God Essentials Tee"/>
    <s v="T-shirt"/>
    <s v="Essentials"/>
    <s v="Women"/>
    <s v="Streetwear"/>
    <x v="2"/>
    <x v="4"/>
    <n v="153.82"/>
    <x v="254"/>
    <x v="2"/>
  </r>
  <r>
    <d v="2022-02-13T00:00:00"/>
    <s v="Adidas Ultraboost"/>
    <s v="Sneakers"/>
    <s v="Adidas"/>
    <s v="Unisex"/>
    <s v="Casual"/>
    <x v="0"/>
    <x v="2"/>
    <n v="281"/>
    <x v="255"/>
    <x v="1"/>
  </r>
  <r>
    <d v="2022-03-28T00:00:00"/>
    <s v="Puma Joggers"/>
    <s v="Joggers"/>
    <s v="Puma"/>
    <s v="Women"/>
    <s v="Streetwear"/>
    <x v="3"/>
    <x v="0"/>
    <n v="112.4"/>
    <x v="256"/>
    <x v="3"/>
  </r>
  <r>
    <d v="2022-01-20T00:00:00"/>
    <s v="Off-White Hoodie"/>
    <s v="Hoodie"/>
    <s v="Off-White"/>
    <s v="Unisex"/>
    <s v="Limited Edition"/>
    <x v="5"/>
    <x v="1"/>
    <n v="233.16"/>
    <x v="257"/>
    <x v="2"/>
  </r>
  <r>
    <d v="2022-02-27T00:00:00"/>
    <s v="Yeezy Boost 350"/>
    <s v="Sneakers"/>
    <s v="Adidas"/>
    <s v="Unisex"/>
    <s v="Sportswear"/>
    <x v="6"/>
    <x v="0"/>
    <n v="248.71"/>
    <x v="258"/>
    <x v="3"/>
  </r>
  <r>
    <d v="2022-05-26T00:00:00"/>
    <s v="Nike Tech Fleece"/>
    <s v="Hoodie"/>
    <s v="Nike"/>
    <s v="Men"/>
    <s v="Casual"/>
    <x v="1"/>
    <x v="0"/>
    <n v="157.19999999999999"/>
    <x v="259"/>
    <x v="3"/>
  </r>
  <r>
    <d v="2022-01-29T00:00:00"/>
    <s v="Yeezy Boost 350"/>
    <s v="Sneakers"/>
    <s v="Adidas"/>
    <s v="Men"/>
    <s v="Limited Edition"/>
    <x v="1"/>
    <x v="2"/>
    <n v="113.75"/>
    <x v="260"/>
    <x v="3"/>
  </r>
  <r>
    <d v="2022-04-14T00:00:00"/>
    <s v="Yeezy Boost 350"/>
    <s v="Sneakers"/>
    <s v="Adidas"/>
    <s v="Women"/>
    <s v="Streetwear"/>
    <x v="4"/>
    <x v="1"/>
    <n v="109.66"/>
    <x v="261"/>
    <x v="2"/>
  </r>
  <r>
    <d v="2022-06-06T00:00:00"/>
    <s v="Puma Joggers"/>
    <s v="Joggers"/>
    <s v="Puma"/>
    <s v="Women"/>
    <s v="Casual"/>
    <x v="3"/>
    <x v="1"/>
    <n v="81.569999999999993"/>
    <x v="262"/>
    <x v="1"/>
  </r>
  <r>
    <d v="2022-02-08T00:00:00"/>
    <s v="Fear of God Essentials Tee"/>
    <s v="T-shirt"/>
    <s v="Essentials"/>
    <s v="Men"/>
    <s v="Casual"/>
    <x v="5"/>
    <x v="3"/>
    <n v="247.2"/>
    <x v="263"/>
    <x v="1"/>
  </r>
  <r>
    <d v="2022-05-06T00:00:00"/>
    <s v="Puma Joggers"/>
    <s v="Joggers"/>
    <s v="Puma"/>
    <s v="Women"/>
    <s v="Sportswear"/>
    <x v="0"/>
    <x v="2"/>
    <n v="250.26"/>
    <x v="264"/>
    <x v="0"/>
  </r>
  <r>
    <d v="2022-01-06T00:00:00"/>
    <s v="Adidas Ultraboost"/>
    <s v="Sneakers"/>
    <s v="Adidas"/>
    <s v="Unisex"/>
    <s v="Sportswear"/>
    <x v="4"/>
    <x v="1"/>
    <n v="137.19999999999999"/>
    <x v="265"/>
    <x v="0"/>
  </r>
  <r>
    <d v="2022-03-18T00:00:00"/>
    <s v="Adidas Ultraboost"/>
    <s v="Sneakers"/>
    <s v="Adidas"/>
    <s v="Women"/>
    <s v="Streetwear"/>
    <x v="5"/>
    <x v="4"/>
    <n v="164.06"/>
    <x v="266"/>
    <x v="1"/>
  </r>
  <r>
    <d v="2022-02-07T00:00:00"/>
    <s v="Off-White Hoodie"/>
    <s v="Hoodie"/>
    <s v="Off-White"/>
    <s v="Unisex"/>
    <s v="Streetwear"/>
    <x v="6"/>
    <x v="2"/>
    <n v="198.45"/>
    <x v="267"/>
    <x v="3"/>
  </r>
  <r>
    <d v="2022-06-05T00:00:00"/>
    <s v="Puma Joggers"/>
    <s v="Joggers"/>
    <s v="Puma"/>
    <s v="Unisex"/>
    <s v="Limited Edition"/>
    <x v="4"/>
    <x v="3"/>
    <n v="162.47999999999999"/>
    <x v="268"/>
    <x v="2"/>
  </r>
  <r>
    <d v="2022-06-13T00:00:00"/>
    <s v="Supreme Hoodie"/>
    <s v="Hoodie"/>
    <s v="Supreme"/>
    <s v="Men"/>
    <s v="Casual"/>
    <x v="2"/>
    <x v="2"/>
    <n v="243.48"/>
    <x v="269"/>
    <x v="3"/>
  </r>
  <r>
    <d v="2022-08-10T00:00:00"/>
    <s v="Nike Dunk Low"/>
    <s v="Sneakers"/>
    <s v="Nike"/>
    <s v="Women"/>
    <s v="Limited Edition"/>
    <x v="2"/>
    <x v="2"/>
    <n v="183.4"/>
    <x v="270"/>
    <x v="0"/>
  </r>
  <r>
    <d v="2022-05-05T00:00:00"/>
    <s v="Off-White Hoodie"/>
    <s v="Hoodie"/>
    <s v="Off-White"/>
    <s v="Men"/>
    <s v="Streetwear"/>
    <x v="2"/>
    <x v="1"/>
    <n v="271.44"/>
    <x v="271"/>
    <x v="2"/>
  </r>
  <r>
    <d v="2022-03-01T00:00:00"/>
    <s v="Off-White Hoodie"/>
    <s v="Hoodie"/>
    <s v="Off-White"/>
    <s v="Unisex"/>
    <s v="Limited Edition"/>
    <x v="6"/>
    <x v="3"/>
    <n v="135.47999999999999"/>
    <x v="272"/>
    <x v="2"/>
  </r>
  <r>
    <d v="2022-01-21T00:00:00"/>
    <s v="Fear of God Essentials Tee"/>
    <s v="T-shirt"/>
    <s v="Essentials"/>
    <s v="Men"/>
    <s v="Sportswear"/>
    <x v="0"/>
    <x v="0"/>
    <n v="148.46"/>
    <x v="273"/>
    <x v="0"/>
  </r>
  <r>
    <d v="2022-07-10T00:00:00"/>
    <s v="New Era Cap"/>
    <s v="Cap"/>
    <s v="New Era"/>
    <s v="Men"/>
    <s v="Casual"/>
    <x v="5"/>
    <x v="0"/>
    <n v="251.06"/>
    <x v="274"/>
    <x v="1"/>
  </r>
  <r>
    <d v="2022-03-12T00:00:00"/>
    <s v="New Era Cap"/>
    <s v="Cap"/>
    <s v="New Era"/>
    <s v="Unisex"/>
    <s v="Streetwear"/>
    <x v="4"/>
    <x v="3"/>
    <n v="195.41"/>
    <x v="275"/>
    <x v="0"/>
  </r>
  <r>
    <d v="2022-01-22T00:00:00"/>
    <s v="Yeezy Boost 350"/>
    <s v="Sneakers"/>
    <s v="Adidas"/>
    <s v="Unisex"/>
    <s v="Limited Edition"/>
    <x v="3"/>
    <x v="2"/>
    <n v="206.29"/>
    <x v="276"/>
    <x v="3"/>
  </r>
  <r>
    <d v="2022-05-13T00:00:00"/>
    <s v="New Era Cap"/>
    <s v="Cap"/>
    <s v="New Era"/>
    <s v="Women"/>
    <s v="Streetwear"/>
    <x v="0"/>
    <x v="2"/>
    <n v="146.09"/>
    <x v="277"/>
    <x v="2"/>
  </r>
  <r>
    <d v="2022-05-26T00:00:00"/>
    <s v="Yeezy Boost 350"/>
    <s v="Sneakers"/>
    <s v="Adidas"/>
    <s v="Women"/>
    <s v="Limited Edition"/>
    <x v="6"/>
    <x v="1"/>
    <n v="284.3"/>
    <x v="278"/>
    <x v="0"/>
  </r>
  <r>
    <d v="2022-01-14T00:00:00"/>
    <s v="Puma Joggers"/>
    <s v="Joggers"/>
    <s v="Puma"/>
    <s v="Unisex"/>
    <s v="Limited Edition"/>
    <x v="1"/>
    <x v="0"/>
    <n v="289.47000000000003"/>
    <x v="279"/>
    <x v="0"/>
  </r>
  <r>
    <d v="2022-03-10T00:00:00"/>
    <s v="Nike Tech Fleece"/>
    <s v="Hoodie"/>
    <s v="Nike"/>
    <s v="Women"/>
    <s v="Sportswear"/>
    <x v="2"/>
    <x v="3"/>
    <n v="218.25"/>
    <x v="280"/>
    <x v="3"/>
  </r>
  <r>
    <d v="2022-07-08T00:00:00"/>
    <s v="Jordan 1 High"/>
    <s v="Sneakers"/>
    <s v="Nike"/>
    <s v="Men"/>
    <s v="Streetwear"/>
    <x v="3"/>
    <x v="2"/>
    <n v="204.62"/>
    <x v="281"/>
    <x v="3"/>
  </r>
  <r>
    <d v="2022-01-03T00:00:00"/>
    <s v="Puma Joggers"/>
    <s v="Joggers"/>
    <s v="Puma"/>
    <s v="Women"/>
    <s v="Limited Edition"/>
    <x v="0"/>
    <x v="3"/>
    <n v="267.42"/>
    <x v="282"/>
    <x v="2"/>
  </r>
  <r>
    <d v="2022-04-02T00:00:00"/>
    <s v="Supreme Hoodie"/>
    <s v="Hoodie"/>
    <s v="Supreme"/>
    <s v="Men"/>
    <s v="Casual"/>
    <x v="4"/>
    <x v="1"/>
    <n v="144.59"/>
    <x v="283"/>
    <x v="1"/>
  </r>
  <r>
    <d v="2022-08-17T00:00:00"/>
    <s v="Yeezy Boost 350"/>
    <s v="Sneakers"/>
    <s v="Adidas"/>
    <s v="Men"/>
    <s v="Sportswear"/>
    <x v="5"/>
    <x v="3"/>
    <n v="80.47"/>
    <x v="284"/>
    <x v="0"/>
  </r>
  <r>
    <d v="2022-04-26T00:00:00"/>
    <s v="Nike Tech Fleece"/>
    <s v="Hoodie"/>
    <s v="Nike"/>
    <s v="Men"/>
    <s v="Casual"/>
    <x v="5"/>
    <x v="3"/>
    <n v="98.17"/>
    <x v="285"/>
    <x v="0"/>
  </r>
  <r>
    <d v="2022-06-15T00:00:00"/>
    <s v="Off-White Hoodie"/>
    <s v="Hoodie"/>
    <s v="Off-White"/>
    <s v="Men"/>
    <s v="Sportswear"/>
    <x v="2"/>
    <x v="3"/>
    <n v="63.76"/>
    <x v="286"/>
    <x v="2"/>
  </r>
  <r>
    <d v="2022-04-06T00:00:00"/>
    <s v="Supreme Hoodie"/>
    <s v="Hoodie"/>
    <s v="Supreme"/>
    <s v="Men"/>
    <s v="Casual"/>
    <x v="2"/>
    <x v="3"/>
    <n v="157.12"/>
    <x v="287"/>
    <x v="0"/>
  </r>
  <r>
    <d v="2022-04-07T00:00:00"/>
    <s v="Supreme Hoodie"/>
    <s v="Hoodie"/>
    <s v="Supreme"/>
    <s v="Women"/>
    <s v="Casual"/>
    <x v="4"/>
    <x v="0"/>
    <n v="293.20999999999998"/>
    <x v="288"/>
    <x v="2"/>
  </r>
  <r>
    <d v="2022-03-30T00:00:00"/>
    <s v="Off-White Hoodie"/>
    <s v="Hoodie"/>
    <s v="Off-White"/>
    <s v="Men"/>
    <s v="Streetwear"/>
    <x v="2"/>
    <x v="3"/>
    <n v="142.25"/>
    <x v="289"/>
    <x v="1"/>
  </r>
  <r>
    <d v="2022-07-02T00:00:00"/>
    <s v="Off-White Hoodie"/>
    <s v="Hoodie"/>
    <s v="Off-White"/>
    <s v="Men"/>
    <s v="Sportswear"/>
    <x v="0"/>
    <x v="1"/>
    <n v="86.17"/>
    <x v="290"/>
    <x v="3"/>
  </r>
  <r>
    <d v="2022-07-09T00:00:00"/>
    <s v="Nike Tech Fleece"/>
    <s v="Hoodie"/>
    <s v="Nike"/>
    <s v="Women"/>
    <s v="Limited Edition"/>
    <x v="5"/>
    <x v="4"/>
    <n v="172.37"/>
    <x v="291"/>
    <x v="0"/>
  </r>
  <r>
    <d v="2022-02-05T00:00:00"/>
    <s v="Off-White Hoodie"/>
    <s v="Hoodie"/>
    <s v="Off-White"/>
    <s v="Men"/>
    <s v="Sportswear"/>
    <x v="3"/>
    <x v="4"/>
    <n v="236.05"/>
    <x v="292"/>
    <x v="1"/>
  </r>
  <r>
    <d v="2022-07-11T00:00:00"/>
    <s v="Nike Tech Fleece"/>
    <s v="Hoodie"/>
    <s v="Nike"/>
    <s v="Men"/>
    <s v="Streetwear"/>
    <x v="2"/>
    <x v="4"/>
    <n v="256.72000000000003"/>
    <x v="293"/>
    <x v="1"/>
  </r>
  <r>
    <d v="2022-06-02T00:00:00"/>
    <s v="Nike Dunk Low"/>
    <s v="Sneakers"/>
    <s v="Nike"/>
    <s v="Men"/>
    <s v="Limited Edition"/>
    <x v="2"/>
    <x v="2"/>
    <n v="205.64"/>
    <x v="294"/>
    <x v="3"/>
  </r>
  <r>
    <d v="2022-05-29T00:00:00"/>
    <s v="Off-White Hoodie"/>
    <s v="Hoodie"/>
    <s v="Off-White"/>
    <s v="Men"/>
    <s v="Streetwear"/>
    <x v="4"/>
    <x v="2"/>
    <n v="68.180000000000007"/>
    <x v="295"/>
    <x v="2"/>
  </r>
  <r>
    <d v="2022-03-21T00:00:00"/>
    <s v="New Era Cap"/>
    <s v="Cap"/>
    <s v="New Era"/>
    <s v="Men"/>
    <s v="Limited Edition"/>
    <x v="1"/>
    <x v="2"/>
    <n v="68.97"/>
    <x v="296"/>
    <x v="0"/>
  </r>
  <r>
    <d v="2022-06-06T00:00:00"/>
    <s v="Nike Tech Fleece"/>
    <s v="Hoodie"/>
    <s v="Nike"/>
    <s v="Unisex"/>
    <s v="Limited Edition"/>
    <x v="4"/>
    <x v="0"/>
    <n v="123.23"/>
    <x v="297"/>
    <x v="3"/>
  </r>
  <r>
    <d v="2022-08-24T00:00:00"/>
    <s v="Nike Dunk Low"/>
    <s v="Sneakers"/>
    <s v="Nike"/>
    <s v="Women"/>
    <s v="Streetwear"/>
    <x v="1"/>
    <x v="0"/>
    <n v="273"/>
    <x v="298"/>
    <x v="0"/>
  </r>
  <r>
    <d v="2022-02-10T00:00:00"/>
    <s v="Yeezy Boost 350"/>
    <s v="Sneakers"/>
    <s v="Adidas"/>
    <s v="Women"/>
    <s v="Casual"/>
    <x v="5"/>
    <x v="4"/>
    <n v="225.84"/>
    <x v="299"/>
    <x v="0"/>
  </r>
  <r>
    <d v="2022-03-01T00:00:00"/>
    <s v="Jordan 1 High"/>
    <s v="Sneakers"/>
    <s v="Nike"/>
    <s v="Women"/>
    <s v="Sportswear"/>
    <x v="5"/>
    <x v="4"/>
    <n v="235.36"/>
    <x v="300"/>
    <x v="3"/>
  </r>
  <r>
    <d v="2022-03-17T00:00:00"/>
    <s v="Yeezy Boost 350"/>
    <s v="Sneakers"/>
    <s v="Adidas"/>
    <s v="Women"/>
    <s v="Sportswear"/>
    <x v="3"/>
    <x v="0"/>
    <n v="189.94"/>
    <x v="301"/>
    <x v="2"/>
  </r>
  <r>
    <d v="2022-01-03T00:00:00"/>
    <s v="Off-White Hoodie"/>
    <s v="Hoodie"/>
    <s v="Off-White"/>
    <s v="Women"/>
    <s v="Casual"/>
    <x v="6"/>
    <x v="4"/>
    <n v="110.2"/>
    <x v="302"/>
    <x v="0"/>
  </r>
  <r>
    <d v="2022-06-29T00:00:00"/>
    <s v="Off-White Hoodie"/>
    <s v="Hoodie"/>
    <s v="Off-White"/>
    <s v="Unisex"/>
    <s v="Sportswear"/>
    <x v="4"/>
    <x v="3"/>
    <n v="54.76"/>
    <x v="303"/>
    <x v="3"/>
  </r>
  <r>
    <d v="2022-06-02T00:00:00"/>
    <s v="Supreme Hoodie"/>
    <s v="Hoodie"/>
    <s v="Supreme"/>
    <s v="Women"/>
    <s v="Sportswear"/>
    <x v="1"/>
    <x v="1"/>
    <n v="296.56"/>
    <x v="304"/>
    <x v="1"/>
  </r>
  <r>
    <d v="2022-06-04T00:00:00"/>
    <s v="Yeezy Boost 350"/>
    <s v="Sneakers"/>
    <s v="Adidas"/>
    <s v="Women"/>
    <s v="Sportswear"/>
    <x v="1"/>
    <x v="1"/>
    <n v="296.51"/>
    <x v="305"/>
    <x v="3"/>
  </r>
  <r>
    <d v="2022-04-03T00:00:00"/>
    <s v="Puma Joggers"/>
    <s v="Joggers"/>
    <s v="Puma"/>
    <s v="Men"/>
    <s v="Casual"/>
    <x v="3"/>
    <x v="1"/>
    <n v="89.5"/>
    <x v="306"/>
    <x v="1"/>
  </r>
  <r>
    <d v="2022-03-16T00:00:00"/>
    <s v="Yeezy Boost 350"/>
    <s v="Sneakers"/>
    <s v="Adidas"/>
    <s v="Unisex"/>
    <s v="Casual"/>
    <x v="2"/>
    <x v="4"/>
    <n v="280.64"/>
    <x v="307"/>
    <x v="0"/>
  </r>
  <r>
    <d v="2022-02-15T00:00:00"/>
    <s v="Nike Tech Fleece"/>
    <s v="Hoodie"/>
    <s v="Nike"/>
    <s v="Women"/>
    <s v="Streetwear"/>
    <x v="5"/>
    <x v="0"/>
    <n v="234.28"/>
    <x v="308"/>
    <x v="2"/>
  </r>
  <r>
    <d v="2022-01-01T00:00:00"/>
    <s v="Nike Dunk Low"/>
    <s v="Sneakers"/>
    <s v="Nike"/>
    <s v="Women"/>
    <s v="Streetwear"/>
    <x v="0"/>
    <x v="3"/>
    <n v="294.89"/>
    <x v="309"/>
    <x v="3"/>
  </r>
  <r>
    <d v="2022-03-10T00:00:00"/>
    <s v="Jordan 1 High"/>
    <s v="Sneakers"/>
    <s v="Nike"/>
    <s v="Women"/>
    <s v="Sportswear"/>
    <x v="6"/>
    <x v="1"/>
    <n v="208.24"/>
    <x v="310"/>
    <x v="2"/>
  </r>
  <r>
    <d v="2022-04-08T00:00:00"/>
    <s v="Jordan 1 High"/>
    <s v="Sneakers"/>
    <s v="Nike"/>
    <s v="Men"/>
    <s v="Casual"/>
    <x v="3"/>
    <x v="0"/>
    <n v="94.25"/>
    <x v="311"/>
    <x v="3"/>
  </r>
  <r>
    <d v="2022-08-03T00:00:00"/>
    <s v="Nike Tech Fleece"/>
    <s v="Hoodie"/>
    <s v="Nike"/>
    <s v="Women"/>
    <s v="Casual"/>
    <x v="4"/>
    <x v="0"/>
    <n v="259"/>
    <x v="312"/>
    <x v="0"/>
  </r>
  <r>
    <d v="2022-05-05T00:00:00"/>
    <s v="Puma Joggers"/>
    <s v="Joggers"/>
    <s v="Puma"/>
    <s v="Women"/>
    <s v="Casual"/>
    <x v="4"/>
    <x v="2"/>
    <n v="299.73"/>
    <x v="313"/>
    <x v="2"/>
  </r>
  <r>
    <d v="2022-05-19T00:00:00"/>
    <s v="Adidas Ultraboost"/>
    <s v="Sneakers"/>
    <s v="Adidas"/>
    <s v="Men"/>
    <s v="Casual"/>
    <x v="5"/>
    <x v="0"/>
    <n v="71.260000000000005"/>
    <x v="314"/>
    <x v="2"/>
  </r>
  <r>
    <d v="2022-07-17T00:00:00"/>
    <s v="Nike Dunk Low"/>
    <s v="Sneakers"/>
    <s v="Nike"/>
    <s v="Women"/>
    <s v="Limited Edition"/>
    <x v="0"/>
    <x v="0"/>
    <n v="270.14"/>
    <x v="315"/>
    <x v="3"/>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6">
  <r>
    <d v="2022-05-27T00:00:00"/>
    <x v="0"/>
    <s v="T-shirt"/>
    <s v="Essentials"/>
    <s v="Unisex"/>
    <s v="Limited Edition"/>
    <s v="Japan"/>
    <x v="0"/>
    <n v="141.82"/>
    <n v="709.1"/>
    <s v="Card"/>
  </r>
  <r>
    <d v="2022-04-28T00:00:00"/>
    <x v="1"/>
    <s v="Sneakers"/>
    <s v="Adidas"/>
    <s v="Unisex"/>
    <s v="Sportswear"/>
    <s v="Australia"/>
    <x v="1"/>
    <n v="70.69"/>
    <n v="70.69"/>
    <s v="UPI"/>
  </r>
  <r>
    <d v="2022-03-13T00:00:00"/>
    <x v="2"/>
    <s v="Hoodie"/>
    <s v="Off-White"/>
    <s v="Women"/>
    <s v="Casual"/>
    <s v="UK"/>
    <x v="1"/>
    <n v="89.14"/>
    <n v="89.14"/>
    <s v="Cash on Delivery"/>
  </r>
  <r>
    <d v="2022-07-24T00:00:00"/>
    <x v="3"/>
    <s v="Cap"/>
    <s v="New Era"/>
    <s v="Unisex"/>
    <s v="Limited Edition"/>
    <s v="India"/>
    <x v="2"/>
    <n v="135.07"/>
    <n v="540.28"/>
    <s v="Cash on Delivery"/>
  </r>
  <r>
    <d v="2022-06-11T00:00:00"/>
    <x v="4"/>
    <s v="Sneakers"/>
    <s v="Adidas"/>
    <s v="Men"/>
    <s v="Streetwear"/>
    <s v="Germany"/>
    <x v="3"/>
    <n v="223"/>
    <n v="446"/>
    <s v="Cash on Delivery"/>
  </r>
  <r>
    <d v="2022-06-28T00:00:00"/>
    <x v="0"/>
    <s v="T-shirt"/>
    <s v="Essentials"/>
    <s v="Unisex"/>
    <s v="Limited Edition"/>
    <s v="UK"/>
    <x v="2"/>
    <n v="238.52"/>
    <n v="954.08"/>
    <s v="Cash on Delivery"/>
  </r>
  <r>
    <d v="2022-07-12T00:00:00"/>
    <x v="5"/>
    <s v="Hoodie"/>
    <s v="Nike"/>
    <s v="Women"/>
    <s v="Casual"/>
    <s v="Australia"/>
    <x v="0"/>
    <n v="120.55"/>
    <n v="602.75"/>
    <s v="UPI"/>
  </r>
  <r>
    <d v="2022-02-13T00:00:00"/>
    <x v="3"/>
    <s v="Cap"/>
    <s v="New Era"/>
    <s v="Women"/>
    <s v="Streetwear"/>
    <s v="Germany"/>
    <x v="2"/>
    <n v="212.66"/>
    <n v="850.64"/>
    <s v="Wallet"/>
  </r>
  <r>
    <d v="2022-07-10T00:00:00"/>
    <x v="2"/>
    <s v="Hoodie"/>
    <s v="Off-White"/>
    <s v="Women"/>
    <s v="Streetwear"/>
    <s v="Canada"/>
    <x v="0"/>
    <n v="256.22000000000003"/>
    <n v="1281.0999999999999"/>
    <s v="Wallet"/>
  </r>
  <r>
    <d v="2022-01-22T00:00:00"/>
    <x v="6"/>
    <s v="Sneakers"/>
    <s v="Nike"/>
    <s v="Unisex"/>
    <s v="Casual"/>
    <s v="Canada"/>
    <x v="2"/>
    <n v="124.4"/>
    <n v="497.6"/>
    <s v="Wallet"/>
  </r>
  <r>
    <d v="2022-06-18T00:00:00"/>
    <x v="6"/>
    <s v="Sneakers"/>
    <s v="Nike"/>
    <s v="Women"/>
    <s v="Casual"/>
    <s v="Germany"/>
    <x v="3"/>
    <n v="80.33"/>
    <n v="160.66"/>
    <s v="Card"/>
  </r>
  <r>
    <d v="2022-03-18T00:00:00"/>
    <x v="7"/>
    <s v="Hoodie"/>
    <s v="Supreme"/>
    <s v="Unisex"/>
    <s v="Sportswear"/>
    <s v="Canada"/>
    <x v="0"/>
    <n v="58.65"/>
    <n v="293.25"/>
    <s v="UPI"/>
  </r>
  <r>
    <d v="2022-08-21T00:00:00"/>
    <x v="8"/>
    <s v="Sneakers"/>
    <s v="Nike"/>
    <s v="Women"/>
    <s v="Streetwear"/>
    <s v="USA"/>
    <x v="0"/>
    <n v="183.55"/>
    <n v="917.75"/>
    <s v="Cash on Delivery"/>
  </r>
  <r>
    <d v="2022-07-07T00:00:00"/>
    <x v="9"/>
    <s v="Joggers"/>
    <s v="Puma"/>
    <s v="Unisex"/>
    <s v="Streetwear"/>
    <s v="Canada"/>
    <x v="3"/>
    <n v="210.77"/>
    <n v="421.54"/>
    <s v="Card"/>
  </r>
  <r>
    <d v="2022-05-11T00:00:00"/>
    <x v="1"/>
    <s v="Sneakers"/>
    <s v="Adidas"/>
    <s v="Unisex"/>
    <s v="Casual"/>
    <s v="Germany"/>
    <x v="2"/>
    <n v="218.82"/>
    <n v="875.28"/>
    <s v="Wallet"/>
  </r>
  <r>
    <d v="2022-06-17T00:00:00"/>
    <x v="0"/>
    <s v="T-shirt"/>
    <s v="Essentials"/>
    <s v="Women"/>
    <s v="Sportswear"/>
    <s v="UK"/>
    <x v="0"/>
    <n v="133.74"/>
    <n v="668.7"/>
    <s v="Card"/>
  </r>
  <r>
    <d v="2022-05-24T00:00:00"/>
    <x v="4"/>
    <s v="Sneakers"/>
    <s v="Adidas"/>
    <s v="Women"/>
    <s v="Casual"/>
    <s v="UK"/>
    <x v="1"/>
    <n v="208.47"/>
    <n v="208.47"/>
    <s v="Cash on Delivery"/>
  </r>
  <r>
    <d v="2022-05-28T00:00:00"/>
    <x v="2"/>
    <s v="Hoodie"/>
    <s v="Off-White"/>
    <s v="Unisex"/>
    <s v="Limited Edition"/>
    <s v="Canada"/>
    <x v="1"/>
    <n v="180.42"/>
    <n v="180.42"/>
    <s v="Cash on Delivery"/>
  </r>
  <r>
    <d v="2022-06-29T00:00:00"/>
    <x v="9"/>
    <s v="Joggers"/>
    <s v="Puma"/>
    <s v="Men"/>
    <s v="Casual"/>
    <s v="Japan"/>
    <x v="4"/>
    <n v="127.36"/>
    <n v="382.08"/>
    <s v="Card"/>
  </r>
  <r>
    <d v="2022-05-25T00:00:00"/>
    <x v="7"/>
    <s v="Hoodie"/>
    <s v="Supreme"/>
    <s v="Men"/>
    <s v="Streetwear"/>
    <s v="Japan"/>
    <x v="4"/>
    <n v="149.51"/>
    <n v="448.53"/>
    <s v="Cash on Delivery"/>
  </r>
  <r>
    <d v="2022-03-09T00:00:00"/>
    <x v="3"/>
    <s v="Cap"/>
    <s v="New Era"/>
    <s v="Men"/>
    <s v="Casual"/>
    <s v="India"/>
    <x v="4"/>
    <n v="136.36000000000001"/>
    <n v="409.08"/>
    <s v="Card"/>
  </r>
  <r>
    <d v="2022-08-21T00:00:00"/>
    <x v="5"/>
    <s v="Hoodie"/>
    <s v="Nike"/>
    <s v="Unisex"/>
    <s v="Casual"/>
    <s v="UK"/>
    <x v="0"/>
    <n v="162.38"/>
    <n v="811.9"/>
    <s v="Card"/>
  </r>
  <r>
    <d v="2022-05-27T00:00:00"/>
    <x v="9"/>
    <s v="Joggers"/>
    <s v="Puma"/>
    <s v="Women"/>
    <s v="Sportswear"/>
    <s v="Australia"/>
    <x v="3"/>
    <n v="259.66000000000003"/>
    <n v="519.32000000000005"/>
    <s v="Wallet"/>
  </r>
  <r>
    <d v="2022-05-22T00:00:00"/>
    <x v="2"/>
    <s v="Hoodie"/>
    <s v="Off-White"/>
    <s v="Men"/>
    <s v="Streetwear"/>
    <s v="Canada"/>
    <x v="1"/>
    <n v="180.39"/>
    <n v="180.39"/>
    <s v="Card"/>
  </r>
  <r>
    <d v="2022-06-02T00:00:00"/>
    <x v="2"/>
    <s v="Hoodie"/>
    <s v="Off-White"/>
    <s v="Men"/>
    <s v="Limited Edition"/>
    <s v="Canada"/>
    <x v="4"/>
    <n v="80.349999999999994"/>
    <n v="241.05"/>
    <s v="Card"/>
  </r>
  <r>
    <d v="2022-03-06T00:00:00"/>
    <x v="0"/>
    <s v="T-shirt"/>
    <s v="Essentials"/>
    <s v="Men"/>
    <s v="Streetwear"/>
    <s v="Japan"/>
    <x v="3"/>
    <n v="222.08"/>
    <n v="444.16"/>
    <s v="UPI"/>
  </r>
  <r>
    <d v="2022-03-21T00:00:00"/>
    <x v="9"/>
    <s v="Joggers"/>
    <s v="Puma"/>
    <s v="Women"/>
    <s v="Sportswear"/>
    <s v="Germany"/>
    <x v="1"/>
    <n v="287.44"/>
    <n v="287.44"/>
    <s v="UPI"/>
  </r>
  <r>
    <d v="2022-07-16T00:00:00"/>
    <x v="0"/>
    <s v="T-shirt"/>
    <s v="Essentials"/>
    <s v="Unisex"/>
    <s v="Limited Edition"/>
    <s v="UK"/>
    <x v="0"/>
    <n v="137.9"/>
    <n v="689.5"/>
    <s v="UPI"/>
  </r>
  <r>
    <d v="2022-03-19T00:00:00"/>
    <x v="2"/>
    <s v="Hoodie"/>
    <s v="Off-White"/>
    <s v="Unisex"/>
    <s v="Streetwear"/>
    <s v="Canada"/>
    <x v="4"/>
    <n v="214.68"/>
    <n v="644.04"/>
    <s v="UPI"/>
  </r>
  <r>
    <d v="2022-08-04T00:00:00"/>
    <x v="5"/>
    <s v="Hoodie"/>
    <s v="Nike"/>
    <s v="Women"/>
    <s v="Limited Edition"/>
    <s v="USA"/>
    <x v="3"/>
    <n v="269.88"/>
    <n v="539.76"/>
    <s v="Cash on Delivery"/>
  </r>
  <r>
    <d v="2022-05-03T00:00:00"/>
    <x v="6"/>
    <s v="Sneakers"/>
    <s v="Nike"/>
    <s v="Unisex"/>
    <s v="Sportswear"/>
    <s v="India"/>
    <x v="1"/>
    <n v="96.97"/>
    <n v="96.97"/>
    <s v="Wallet"/>
  </r>
  <r>
    <d v="2022-07-01T00:00:00"/>
    <x v="3"/>
    <s v="Cap"/>
    <s v="New Era"/>
    <s v="Women"/>
    <s v="Limited Edition"/>
    <s v="Australia"/>
    <x v="2"/>
    <n v="270.55"/>
    <n v="1082.2"/>
    <s v="Cash on Delivery"/>
  </r>
  <r>
    <d v="2022-06-16T00:00:00"/>
    <x v="4"/>
    <s v="Sneakers"/>
    <s v="Adidas"/>
    <s v="Unisex"/>
    <s v="Sportswear"/>
    <s v="Australia"/>
    <x v="4"/>
    <n v="261.31"/>
    <n v="783.93"/>
    <s v="Card"/>
  </r>
  <r>
    <d v="2022-01-10T00:00:00"/>
    <x v="3"/>
    <s v="Cap"/>
    <s v="New Era"/>
    <s v="Unisex"/>
    <s v="Sportswear"/>
    <s v="USA"/>
    <x v="2"/>
    <n v="56.4"/>
    <n v="225.6"/>
    <s v="Card"/>
  </r>
  <r>
    <d v="2022-07-08T00:00:00"/>
    <x v="1"/>
    <s v="Sneakers"/>
    <s v="Adidas"/>
    <s v="Men"/>
    <s v="Sportswear"/>
    <s v="Germany"/>
    <x v="4"/>
    <n v="239.55"/>
    <n v="718.65"/>
    <s v="Card"/>
  </r>
  <r>
    <d v="2022-08-20T00:00:00"/>
    <x v="6"/>
    <s v="Sneakers"/>
    <s v="Nike"/>
    <s v="Unisex"/>
    <s v="Limited Edition"/>
    <s v="Germany"/>
    <x v="3"/>
    <n v="94.62"/>
    <n v="189.24"/>
    <s v="Cash on Delivery"/>
  </r>
  <r>
    <d v="2022-07-24T00:00:00"/>
    <x v="0"/>
    <s v="T-shirt"/>
    <s v="Essentials"/>
    <s v="Unisex"/>
    <s v="Limited Edition"/>
    <s v="Germany"/>
    <x v="2"/>
    <n v="57.22"/>
    <n v="228.88"/>
    <s v="Cash on Delivery"/>
  </r>
  <r>
    <d v="2022-07-14T00:00:00"/>
    <x v="8"/>
    <s v="Sneakers"/>
    <s v="Nike"/>
    <s v="Men"/>
    <s v="Limited Edition"/>
    <s v="Germany"/>
    <x v="1"/>
    <n v="170.86"/>
    <n v="170.86"/>
    <s v="Wallet"/>
  </r>
  <r>
    <d v="2022-02-11T00:00:00"/>
    <x v="4"/>
    <s v="Sneakers"/>
    <s v="Adidas"/>
    <s v="Men"/>
    <s v="Streetwear"/>
    <s v="Australia"/>
    <x v="4"/>
    <n v="105.79"/>
    <n v="317.37"/>
    <s v="Wallet"/>
  </r>
  <r>
    <d v="2022-05-26T00:00:00"/>
    <x v="4"/>
    <s v="Sneakers"/>
    <s v="Adidas"/>
    <s v="Men"/>
    <s v="Streetwear"/>
    <s v="Australia"/>
    <x v="0"/>
    <n v="112.95"/>
    <n v="564.75"/>
    <s v="Card"/>
  </r>
  <r>
    <d v="2022-08-20T00:00:00"/>
    <x v="2"/>
    <s v="Hoodie"/>
    <s v="Off-White"/>
    <s v="Unisex"/>
    <s v="Limited Edition"/>
    <s v="USA"/>
    <x v="0"/>
    <n v="55.8"/>
    <n v="279"/>
    <s v="Card"/>
  </r>
  <r>
    <d v="2022-05-05T00:00:00"/>
    <x v="7"/>
    <s v="Hoodie"/>
    <s v="Supreme"/>
    <s v="Men"/>
    <s v="Sportswear"/>
    <s v="India"/>
    <x v="1"/>
    <n v="50.1"/>
    <n v="50.1"/>
    <s v="Card"/>
  </r>
  <r>
    <d v="2022-08-31T00:00:00"/>
    <x v="1"/>
    <s v="Sneakers"/>
    <s v="Adidas"/>
    <s v="Men"/>
    <s v="Limited Edition"/>
    <s v="USA"/>
    <x v="1"/>
    <n v="56.49"/>
    <n v="56.49"/>
    <s v="UPI"/>
  </r>
  <r>
    <d v="2022-04-21T00:00:00"/>
    <x v="2"/>
    <s v="Hoodie"/>
    <s v="Off-White"/>
    <s v="Men"/>
    <s v="Sportswear"/>
    <s v="Australia"/>
    <x v="0"/>
    <n v="100.65"/>
    <n v="503.25"/>
    <s v="Wallet"/>
  </r>
  <r>
    <d v="2022-08-21T00:00:00"/>
    <x v="4"/>
    <s v="Sneakers"/>
    <s v="Adidas"/>
    <s v="Men"/>
    <s v="Casual"/>
    <s v="Japan"/>
    <x v="3"/>
    <n v="160.44"/>
    <n v="320.88"/>
    <s v="UPI"/>
  </r>
  <r>
    <d v="2022-04-15T00:00:00"/>
    <x v="9"/>
    <s v="Joggers"/>
    <s v="Puma"/>
    <s v="Women"/>
    <s v="Streetwear"/>
    <s v="Japan"/>
    <x v="2"/>
    <n v="242.44"/>
    <n v="969.76"/>
    <s v="Cash on Delivery"/>
  </r>
  <r>
    <d v="2022-05-07T00:00:00"/>
    <x v="1"/>
    <s v="Sneakers"/>
    <s v="Adidas"/>
    <s v="Unisex"/>
    <s v="Streetwear"/>
    <s v="Australia"/>
    <x v="3"/>
    <n v="209.81"/>
    <n v="419.62"/>
    <s v="Card"/>
  </r>
  <r>
    <d v="2022-03-14T00:00:00"/>
    <x v="4"/>
    <s v="Sneakers"/>
    <s v="Adidas"/>
    <s v="Men"/>
    <s v="Casual"/>
    <s v="India"/>
    <x v="2"/>
    <n v="261.95999999999998"/>
    <n v="1047.8399999999999"/>
    <s v="Cash on Delivery"/>
  </r>
  <r>
    <d v="2022-08-30T00:00:00"/>
    <x v="7"/>
    <s v="Hoodie"/>
    <s v="Supreme"/>
    <s v="Men"/>
    <s v="Casual"/>
    <s v="USA"/>
    <x v="4"/>
    <n v="242.71"/>
    <n v="728.13"/>
    <s v="Cash on Delivery"/>
  </r>
  <r>
    <d v="2022-06-06T00:00:00"/>
    <x v="6"/>
    <s v="Sneakers"/>
    <s v="Nike"/>
    <s v="Women"/>
    <s v="Limited Edition"/>
    <s v="USA"/>
    <x v="0"/>
    <n v="299.3"/>
    <n v="1496.5"/>
    <s v="Card"/>
  </r>
  <r>
    <d v="2022-08-29T00:00:00"/>
    <x v="1"/>
    <s v="Sneakers"/>
    <s v="Adidas"/>
    <s v="Unisex"/>
    <s v="Streetwear"/>
    <s v="USA"/>
    <x v="2"/>
    <n v="162.85"/>
    <n v="651.4"/>
    <s v="UPI"/>
  </r>
  <r>
    <d v="2022-08-02T00:00:00"/>
    <x v="9"/>
    <s v="Joggers"/>
    <s v="Puma"/>
    <s v="Unisex"/>
    <s v="Streetwear"/>
    <s v="Japan"/>
    <x v="0"/>
    <n v="215.63"/>
    <n v="1078.1500000000001"/>
    <s v="Card"/>
  </r>
  <r>
    <d v="2022-05-31T00:00:00"/>
    <x v="6"/>
    <s v="Sneakers"/>
    <s v="Nike"/>
    <s v="Women"/>
    <s v="Limited Edition"/>
    <s v="Germany"/>
    <x v="1"/>
    <n v="54.99"/>
    <n v="54.99"/>
    <s v="Cash on Delivery"/>
  </r>
  <r>
    <d v="2022-02-01T00:00:00"/>
    <x v="1"/>
    <s v="Sneakers"/>
    <s v="Adidas"/>
    <s v="Men"/>
    <s v="Sportswear"/>
    <s v="UK"/>
    <x v="2"/>
    <n v="185.7"/>
    <n v="742.8"/>
    <s v="Wallet"/>
  </r>
  <r>
    <d v="2022-04-09T00:00:00"/>
    <x v="5"/>
    <s v="Hoodie"/>
    <s v="Nike"/>
    <s v="Unisex"/>
    <s v="Streetwear"/>
    <s v="Canada"/>
    <x v="3"/>
    <n v="153.75"/>
    <n v="307.5"/>
    <s v="Cash on Delivery"/>
  </r>
  <r>
    <d v="2022-03-21T00:00:00"/>
    <x v="7"/>
    <s v="Hoodie"/>
    <s v="Supreme"/>
    <s v="Men"/>
    <s v="Limited Edition"/>
    <s v="Australia"/>
    <x v="0"/>
    <n v="235.5"/>
    <n v="1177.5"/>
    <s v="Wallet"/>
  </r>
  <r>
    <d v="2022-07-23T00:00:00"/>
    <x v="7"/>
    <s v="Hoodie"/>
    <s v="Supreme"/>
    <s v="Women"/>
    <s v="Casual"/>
    <s v="Canada"/>
    <x v="4"/>
    <n v="239.76"/>
    <n v="719.28"/>
    <s v="Card"/>
  </r>
  <r>
    <d v="2022-02-07T00:00:00"/>
    <x v="2"/>
    <s v="Hoodie"/>
    <s v="Off-White"/>
    <s v="Men"/>
    <s v="Casual"/>
    <s v="USA"/>
    <x v="2"/>
    <n v="213.82"/>
    <n v="855.28"/>
    <s v="Card"/>
  </r>
  <r>
    <d v="2022-04-27T00:00:00"/>
    <x v="1"/>
    <s v="Sneakers"/>
    <s v="Adidas"/>
    <s v="Women"/>
    <s v="Casual"/>
    <s v="Japan"/>
    <x v="1"/>
    <n v="67.2"/>
    <n v="67.2"/>
    <s v="Wallet"/>
  </r>
  <r>
    <d v="2022-03-07T00:00:00"/>
    <x v="3"/>
    <s v="Cap"/>
    <s v="New Era"/>
    <s v="Men"/>
    <s v="Sportswear"/>
    <s v="Japan"/>
    <x v="2"/>
    <n v="207.05"/>
    <n v="828.2"/>
    <s v="UPI"/>
  </r>
  <r>
    <d v="2022-05-05T00:00:00"/>
    <x v="5"/>
    <s v="Hoodie"/>
    <s v="Nike"/>
    <s v="Unisex"/>
    <s v="Sportswear"/>
    <s v="Japan"/>
    <x v="4"/>
    <n v="257.92"/>
    <n v="773.76"/>
    <s v="Wallet"/>
  </r>
  <r>
    <d v="2022-06-18T00:00:00"/>
    <x v="1"/>
    <s v="Sneakers"/>
    <s v="Adidas"/>
    <s v="Women"/>
    <s v="Limited Edition"/>
    <s v="Canada"/>
    <x v="1"/>
    <n v="122.32"/>
    <n v="122.32"/>
    <s v="Cash on Delivery"/>
  </r>
  <r>
    <d v="2022-05-26T00:00:00"/>
    <x v="0"/>
    <s v="T-shirt"/>
    <s v="Essentials"/>
    <s v="Unisex"/>
    <s v="Casual"/>
    <s v="USA"/>
    <x v="1"/>
    <n v="203.63"/>
    <n v="203.63"/>
    <s v="Cash on Delivery"/>
  </r>
  <r>
    <d v="2022-05-28T00:00:00"/>
    <x v="6"/>
    <s v="Sneakers"/>
    <s v="Nike"/>
    <s v="Men"/>
    <s v="Sportswear"/>
    <s v="Canada"/>
    <x v="4"/>
    <n v="278.14999999999998"/>
    <n v="834.45"/>
    <s v="Wallet"/>
  </r>
  <r>
    <d v="2022-07-03T00:00:00"/>
    <x v="5"/>
    <s v="Hoodie"/>
    <s v="Nike"/>
    <s v="Men"/>
    <s v="Sportswear"/>
    <s v="Germany"/>
    <x v="4"/>
    <n v="129.78"/>
    <n v="389.34"/>
    <s v="Card"/>
  </r>
  <r>
    <d v="2022-06-05T00:00:00"/>
    <x v="6"/>
    <s v="Sneakers"/>
    <s v="Nike"/>
    <s v="Men"/>
    <s v="Casual"/>
    <s v="Australia"/>
    <x v="0"/>
    <n v="199.42"/>
    <n v="997.1"/>
    <s v="Cash on Delivery"/>
  </r>
  <r>
    <d v="2022-06-26T00:00:00"/>
    <x v="4"/>
    <s v="Sneakers"/>
    <s v="Adidas"/>
    <s v="Men"/>
    <s v="Limited Edition"/>
    <s v="Japan"/>
    <x v="0"/>
    <n v="98.23"/>
    <n v="491.15"/>
    <s v="Cash on Delivery"/>
  </r>
  <r>
    <d v="2022-05-07T00:00:00"/>
    <x v="8"/>
    <s v="Sneakers"/>
    <s v="Nike"/>
    <s v="Unisex"/>
    <s v="Streetwear"/>
    <s v="Australia"/>
    <x v="1"/>
    <n v="114.47"/>
    <n v="114.47"/>
    <s v="Wallet"/>
  </r>
  <r>
    <d v="2022-03-04T00:00:00"/>
    <x v="9"/>
    <s v="Joggers"/>
    <s v="Puma"/>
    <s v="Women"/>
    <s v="Streetwear"/>
    <s v="Japan"/>
    <x v="0"/>
    <n v="224.71"/>
    <n v="1123.55"/>
    <s v="UPI"/>
  </r>
  <r>
    <d v="2022-01-29T00:00:00"/>
    <x v="6"/>
    <s v="Sneakers"/>
    <s v="Nike"/>
    <s v="Unisex"/>
    <s v="Limited Edition"/>
    <s v="India"/>
    <x v="4"/>
    <n v="104.04"/>
    <n v="312.12"/>
    <s v="Cash on Delivery"/>
  </r>
  <r>
    <d v="2022-03-02T00:00:00"/>
    <x v="9"/>
    <s v="Joggers"/>
    <s v="Puma"/>
    <s v="Men"/>
    <s v="Sportswear"/>
    <s v="UK"/>
    <x v="0"/>
    <n v="140.26"/>
    <n v="701.3"/>
    <s v="Card"/>
  </r>
  <r>
    <d v="2022-06-01T00:00:00"/>
    <x v="4"/>
    <s v="Sneakers"/>
    <s v="Adidas"/>
    <s v="Men"/>
    <s v="Streetwear"/>
    <s v="UK"/>
    <x v="0"/>
    <n v="215.38"/>
    <n v="1076.9000000000001"/>
    <s v="Card"/>
  </r>
  <r>
    <d v="2022-05-15T00:00:00"/>
    <x v="1"/>
    <s v="Sneakers"/>
    <s v="Adidas"/>
    <s v="Women"/>
    <s v="Limited Edition"/>
    <s v="Australia"/>
    <x v="2"/>
    <n v="127.55"/>
    <n v="510.2"/>
    <s v="Cash on Delivery"/>
  </r>
  <r>
    <d v="2022-08-30T00:00:00"/>
    <x v="6"/>
    <s v="Sneakers"/>
    <s v="Nike"/>
    <s v="Women"/>
    <s v="Limited Edition"/>
    <s v="UK"/>
    <x v="4"/>
    <n v="182.2"/>
    <n v="546.6"/>
    <s v="Card"/>
  </r>
  <r>
    <d v="2022-04-04T00:00:00"/>
    <x v="5"/>
    <s v="Hoodie"/>
    <s v="Nike"/>
    <s v="Men"/>
    <s v="Casual"/>
    <s v="Germany"/>
    <x v="2"/>
    <n v="246.66"/>
    <n v="986.64"/>
    <s v="Cash on Delivery"/>
  </r>
  <r>
    <d v="2022-06-16T00:00:00"/>
    <x v="1"/>
    <s v="Sneakers"/>
    <s v="Adidas"/>
    <s v="Women"/>
    <s v="Casual"/>
    <s v="Japan"/>
    <x v="0"/>
    <n v="262.68"/>
    <n v="1313.4"/>
    <s v="Wallet"/>
  </r>
  <r>
    <d v="2022-01-24T00:00:00"/>
    <x v="4"/>
    <s v="Sneakers"/>
    <s v="Adidas"/>
    <s v="Men"/>
    <s v="Limited Edition"/>
    <s v="USA"/>
    <x v="4"/>
    <n v="101.39"/>
    <n v="304.17"/>
    <s v="Cash on Delivery"/>
  </r>
  <r>
    <d v="2022-02-14T00:00:00"/>
    <x v="2"/>
    <s v="Hoodie"/>
    <s v="Off-White"/>
    <s v="Women"/>
    <s v="Casual"/>
    <s v="Japan"/>
    <x v="1"/>
    <n v="59.05"/>
    <n v="59.05"/>
    <s v="Cash on Delivery"/>
  </r>
  <r>
    <d v="2022-03-09T00:00:00"/>
    <x v="2"/>
    <s v="Hoodie"/>
    <s v="Off-White"/>
    <s v="Unisex"/>
    <s v="Streetwear"/>
    <s v="Canada"/>
    <x v="1"/>
    <n v="101.32"/>
    <n v="101.32"/>
    <s v="UPI"/>
  </r>
  <r>
    <d v="2022-07-16T00:00:00"/>
    <x v="8"/>
    <s v="Sneakers"/>
    <s v="Nike"/>
    <s v="Men"/>
    <s v="Sportswear"/>
    <s v="Australia"/>
    <x v="2"/>
    <n v="228.88"/>
    <n v="915.52"/>
    <s v="Card"/>
  </r>
  <r>
    <d v="2022-06-15T00:00:00"/>
    <x v="8"/>
    <s v="Sneakers"/>
    <s v="Nike"/>
    <s v="Women"/>
    <s v="Limited Edition"/>
    <s v="Japan"/>
    <x v="2"/>
    <n v="258.60000000000002"/>
    <n v="1034.4000000000001"/>
    <s v="Card"/>
  </r>
  <r>
    <d v="2022-02-19T00:00:00"/>
    <x v="4"/>
    <s v="Sneakers"/>
    <s v="Adidas"/>
    <s v="Unisex"/>
    <s v="Streetwear"/>
    <s v="Australia"/>
    <x v="2"/>
    <n v="129.94999999999999"/>
    <n v="519.79999999999995"/>
    <s v="Cash on Delivery"/>
  </r>
  <r>
    <d v="2022-07-06T00:00:00"/>
    <x v="4"/>
    <s v="Sneakers"/>
    <s v="Adidas"/>
    <s v="Women"/>
    <s v="Casual"/>
    <s v="Germany"/>
    <x v="0"/>
    <n v="190.03"/>
    <n v="950.15"/>
    <s v="Cash on Delivery"/>
  </r>
  <r>
    <d v="2022-02-01T00:00:00"/>
    <x v="3"/>
    <s v="Cap"/>
    <s v="New Era"/>
    <s v="Unisex"/>
    <s v="Casual"/>
    <s v="Canada"/>
    <x v="1"/>
    <n v="239.21"/>
    <n v="239.21"/>
    <s v="Wallet"/>
  </r>
  <r>
    <d v="2022-03-25T00:00:00"/>
    <x v="0"/>
    <s v="T-shirt"/>
    <s v="Essentials"/>
    <s v="Unisex"/>
    <s v="Streetwear"/>
    <s v="Australia"/>
    <x v="1"/>
    <n v="271.18"/>
    <n v="271.18"/>
    <s v="Cash on Delivery"/>
  </r>
  <r>
    <d v="2022-02-03T00:00:00"/>
    <x v="9"/>
    <s v="Joggers"/>
    <s v="Puma"/>
    <s v="Women"/>
    <s v="Streetwear"/>
    <s v="Japan"/>
    <x v="0"/>
    <n v="140.65"/>
    <n v="703.25"/>
    <s v="Wallet"/>
  </r>
  <r>
    <d v="2022-06-30T00:00:00"/>
    <x v="0"/>
    <s v="T-shirt"/>
    <s v="Essentials"/>
    <s v="Unisex"/>
    <s v="Streetwear"/>
    <s v="UK"/>
    <x v="4"/>
    <n v="97.21"/>
    <n v="291.63"/>
    <s v="Cash on Delivery"/>
  </r>
  <r>
    <d v="2022-02-12T00:00:00"/>
    <x v="7"/>
    <s v="Hoodie"/>
    <s v="Supreme"/>
    <s v="Men"/>
    <s v="Sportswear"/>
    <s v="UK"/>
    <x v="0"/>
    <n v="110.05"/>
    <n v="550.25"/>
    <s v="Card"/>
  </r>
  <r>
    <d v="2022-07-15T00:00:00"/>
    <x v="4"/>
    <s v="Sneakers"/>
    <s v="Adidas"/>
    <s v="Unisex"/>
    <s v="Casual"/>
    <s v="Germany"/>
    <x v="1"/>
    <n v="209.13"/>
    <n v="209.13"/>
    <s v="Cash on Delivery"/>
  </r>
  <r>
    <d v="2022-02-06T00:00:00"/>
    <x v="8"/>
    <s v="Sneakers"/>
    <s v="Nike"/>
    <s v="Women"/>
    <s v="Sportswear"/>
    <s v="Australia"/>
    <x v="1"/>
    <n v="256.81"/>
    <n v="256.81"/>
    <s v="Card"/>
  </r>
  <r>
    <d v="2022-01-20T00:00:00"/>
    <x v="7"/>
    <s v="Hoodie"/>
    <s v="Supreme"/>
    <s v="Women"/>
    <s v="Limited Edition"/>
    <s v="Germany"/>
    <x v="3"/>
    <n v="53.05"/>
    <n v="106.1"/>
    <s v="Cash on Delivery"/>
  </r>
  <r>
    <d v="2022-04-03T00:00:00"/>
    <x v="1"/>
    <s v="Sneakers"/>
    <s v="Adidas"/>
    <s v="Men"/>
    <s v="Sportswear"/>
    <s v="UK"/>
    <x v="2"/>
    <n v="127.11"/>
    <n v="508.44"/>
    <s v="Cash on Delivery"/>
  </r>
  <r>
    <d v="2022-07-02T00:00:00"/>
    <x v="5"/>
    <s v="Hoodie"/>
    <s v="Nike"/>
    <s v="Women"/>
    <s v="Sportswear"/>
    <s v="Japan"/>
    <x v="3"/>
    <n v="259.45999999999998"/>
    <n v="518.91999999999996"/>
    <s v="Wallet"/>
  </r>
  <r>
    <d v="2022-03-12T00:00:00"/>
    <x v="2"/>
    <s v="Hoodie"/>
    <s v="Off-White"/>
    <s v="Unisex"/>
    <s v="Casual"/>
    <s v="UK"/>
    <x v="3"/>
    <n v="183.29"/>
    <n v="366.58"/>
    <s v="Wallet"/>
  </r>
  <r>
    <d v="2022-01-16T00:00:00"/>
    <x v="2"/>
    <s v="Hoodie"/>
    <s v="Off-White"/>
    <s v="Women"/>
    <s v="Sportswear"/>
    <s v="Canada"/>
    <x v="3"/>
    <n v="130.4"/>
    <n v="260.8"/>
    <s v="Cash on Delivery"/>
  </r>
  <r>
    <d v="2022-03-01T00:00:00"/>
    <x v="1"/>
    <s v="Sneakers"/>
    <s v="Adidas"/>
    <s v="Men"/>
    <s v="Streetwear"/>
    <s v="Canada"/>
    <x v="0"/>
    <n v="112.04"/>
    <n v="560.20000000000005"/>
    <s v="Wallet"/>
  </r>
  <r>
    <d v="2022-02-27T00:00:00"/>
    <x v="9"/>
    <s v="Joggers"/>
    <s v="Puma"/>
    <s v="Women"/>
    <s v="Casual"/>
    <s v="Japan"/>
    <x v="0"/>
    <n v="85.1"/>
    <n v="425.5"/>
    <s v="Cash on Delivery"/>
  </r>
  <r>
    <d v="2022-07-02T00:00:00"/>
    <x v="9"/>
    <s v="Joggers"/>
    <s v="Puma"/>
    <s v="Unisex"/>
    <s v="Streetwear"/>
    <s v="Australia"/>
    <x v="1"/>
    <n v="180.65"/>
    <n v="180.65"/>
    <s v="Cash on Delivery"/>
  </r>
  <r>
    <d v="2022-02-08T00:00:00"/>
    <x v="3"/>
    <s v="Cap"/>
    <s v="New Era"/>
    <s v="Women"/>
    <s v="Casual"/>
    <s v="UK"/>
    <x v="0"/>
    <n v="147.13"/>
    <n v="735.65"/>
    <s v="Wallet"/>
  </r>
  <r>
    <d v="2022-01-22T00:00:00"/>
    <x v="9"/>
    <s v="Joggers"/>
    <s v="Puma"/>
    <s v="Women"/>
    <s v="Limited Edition"/>
    <s v="Australia"/>
    <x v="4"/>
    <n v="110.78"/>
    <n v="332.34"/>
    <s v="Cash on Delivery"/>
  </r>
  <r>
    <d v="2022-06-24T00:00:00"/>
    <x v="5"/>
    <s v="Hoodie"/>
    <s v="Nike"/>
    <s v="Women"/>
    <s v="Streetwear"/>
    <s v="India"/>
    <x v="0"/>
    <n v="58.37"/>
    <n v="291.85000000000002"/>
    <s v="UPI"/>
  </r>
  <r>
    <d v="2022-07-23T00:00:00"/>
    <x v="7"/>
    <s v="Hoodie"/>
    <s v="Supreme"/>
    <s v="Women"/>
    <s v="Casual"/>
    <s v="Germany"/>
    <x v="0"/>
    <n v="241.67"/>
    <n v="1208.3499999999999"/>
    <s v="Card"/>
  </r>
  <r>
    <d v="2022-07-25T00:00:00"/>
    <x v="2"/>
    <s v="Hoodie"/>
    <s v="Off-White"/>
    <s v="Women"/>
    <s v="Limited Edition"/>
    <s v="USA"/>
    <x v="3"/>
    <n v="89.67"/>
    <n v="179.34"/>
    <s v="UPI"/>
  </r>
  <r>
    <d v="2022-05-29T00:00:00"/>
    <x v="8"/>
    <s v="Sneakers"/>
    <s v="Nike"/>
    <s v="Women"/>
    <s v="Streetwear"/>
    <s v="Canada"/>
    <x v="1"/>
    <n v="132.09"/>
    <n v="132.09"/>
    <s v="UPI"/>
  </r>
  <r>
    <d v="2022-08-04T00:00:00"/>
    <x v="3"/>
    <s v="Cap"/>
    <s v="New Era"/>
    <s v="Women"/>
    <s v="Casual"/>
    <s v="Japan"/>
    <x v="3"/>
    <n v="202.18"/>
    <n v="404.36"/>
    <s v="UPI"/>
  </r>
  <r>
    <d v="2022-02-12T00:00:00"/>
    <x v="1"/>
    <s v="Sneakers"/>
    <s v="Adidas"/>
    <s v="Men"/>
    <s v="Casual"/>
    <s v="UK"/>
    <x v="4"/>
    <n v="90.19"/>
    <n v="270.57"/>
    <s v="Cash on Delivery"/>
  </r>
  <r>
    <d v="2022-03-01T00:00:00"/>
    <x v="5"/>
    <s v="Hoodie"/>
    <s v="Nike"/>
    <s v="Unisex"/>
    <s v="Streetwear"/>
    <s v="USA"/>
    <x v="3"/>
    <n v="179.28"/>
    <n v="358.56"/>
    <s v="Cash on Delivery"/>
  </r>
  <r>
    <d v="2022-03-23T00:00:00"/>
    <x v="5"/>
    <s v="Hoodie"/>
    <s v="Nike"/>
    <s v="Men"/>
    <s v="Sportswear"/>
    <s v="USA"/>
    <x v="0"/>
    <n v="188.61"/>
    <n v="943.05"/>
    <s v="Wallet"/>
  </r>
  <r>
    <d v="2022-08-30T00:00:00"/>
    <x v="0"/>
    <s v="T-shirt"/>
    <s v="Essentials"/>
    <s v="Men"/>
    <s v="Sportswear"/>
    <s v="UK"/>
    <x v="3"/>
    <n v="111.36"/>
    <n v="222.72"/>
    <s v="Card"/>
  </r>
  <r>
    <d v="2022-02-18T00:00:00"/>
    <x v="3"/>
    <s v="Cap"/>
    <s v="New Era"/>
    <s v="Women"/>
    <s v="Sportswear"/>
    <s v="UK"/>
    <x v="4"/>
    <n v="53.98"/>
    <n v="161.94"/>
    <s v="Cash on Delivery"/>
  </r>
  <r>
    <d v="2022-05-28T00:00:00"/>
    <x v="2"/>
    <s v="Hoodie"/>
    <s v="Off-White"/>
    <s v="Unisex"/>
    <s v="Streetwear"/>
    <s v="Canada"/>
    <x v="2"/>
    <n v="240.64"/>
    <n v="962.56"/>
    <s v="Cash on Delivery"/>
  </r>
  <r>
    <d v="2022-02-28T00:00:00"/>
    <x v="2"/>
    <s v="Hoodie"/>
    <s v="Off-White"/>
    <s v="Women"/>
    <s v="Casual"/>
    <s v="USA"/>
    <x v="0"/>
    <n v="195.57"/>
    <n v="977.85"/>
    <s v="Cash on Delivery"/>
  </r>
  <r>
    <d v="2022-03-09T00:00:00"/>
    <x v="5"/>
    <s v="Hoodie"/>
    <s v="Nike"/>
    <s v="Unisex"/>
    <s v="Streetwear"/>
    <s v="Canada"/>
    <x v="4"/>
    <n v="224.66"/>
    <n v="673.98"/>
    <s v="Cash on Delivery"/>
  </r>
  <r>
    <d v="2022-04-28T00:00:00"/>
    <x v="9"/>
    <s v="Joggers"/>
    <s v="Puma"/>
    <s v="Women"/>
    <s v="Sportswear"/>
    <s v="Canada"/>
    <x v="4"/>
    <n v="65.2"/>
    <n v="195.6"/>
    <s v="Wallet"/>
  </r>
  <r>
    <d v="2022-07-13T00:00:00"/>
    <x v="4"/>
    <s v="Sneakers"/>
    <s v="Adidas"/>
    <s v="Women"/>
    <s v="Limited Edition"/>
    <s v="Canada"/>
    <x v="2"/>
    <n v="117.78"/>
    <n v="471.12"/>
    <s v="UPI"/>
  </r>
  <r>
    <d v="2022-02-09T00:00:00"/>
    <x v="6"/>
    <s v="Sneakers"/>
    <s v="Nike"/>
    <s v="Women"/>
    <s v="Streetwear"/>
    <s v="India"/>
    <x v="2"/>
    <n v="214.93"/>
    <n v="859.72"/>
    <s v="Card"/>
  </r>
  <r>
    <d v="2022-08-16T00:00:00"/>
    <x v="9"/>
    <s v="Joggers"/>
    <s v="Puma"/>
    <s v="Unisex"/>
    <s v="Limited Edition"/>
    <s v="Japan"/>
    <x v="3"/>
    <n v="249.49"/>
    <n v="498.98"/>
    <s v="Cash on Delivery"/>
  </r>
  <r>
    <d v="2022-06-13T00:00:00"/>
    <x v="1"/>
    <s v="Sneakers"/>
    <s v="Adidas"/>
    <s v="Men"/>
    <s v="Casual"/>
    <s v="India"/>
    <x v="2"/>
    <n v="141.35"/>
    <n v="565.4"/>
    <s v="UPI"/>
  </r>
  <r>
    <d v="2022-03-03T00:00:00"/>
    <x v="9"/>
    <s v="Joggers"/>
    <s v="Puma"/>
    <s v="Unisex"/>
    <s v="Limited Edition"/>
    <s v="Japan"/>
    <x v="4"/>
    <n v="264.14"/>
    <n v="792.42"/>
    <s v="Card"/>
  </r>
  <r>
    <d v="2022-01-03T00:00:00"/>
    <x v="0"/>
    <s v="T-shirt"/>
    <s v="Essentials"/>
    <s v="Unisex"/>
    <s v="Casual"/>
    <s v="UK"/>
    <x v="0"/>
    <n v="73.58"/>
    <n v="367.9"/>
    <s v="UPI"/>
  </r>
  <r>
    <d v="2022-07-26T00:00:00"/>
    <x v="0"/>
    <s v="T-shirt"/>
    <s v="Essentials"/>
    <s v="Unisex"/>
    <s v="Streetwear"/>
    <s v="USA"/>
    <x v="1"/>
    <n v="106.59"/>
    <n v="106.59"/>
    <s v="Card"/>
  </r>
  <r>
    <d v="2022-02-12T00:00:00"/>
    <x v="5"/>
    <s v="Hoodie"/>
    <s v="Nike"/>
    <s v="Men"/>
    <s v="Streetwear"/>
    <s v="Canada"/>
    <x v="4"/>
    <n v="59.98"/>
    <n v="179.94"/>
    <s v="UPI"/>
  </r>
  <r>
    <d v="2022-03-02T00:00:00"/>
    <x v="9"/>
    <s v="Joggers"/>
    <s v="Puma"/>
    <s v="Women"/>
    <s v="Casual"/>
    <s v="Japan"/>
    <x v="4"/>
    <n v="87.81"/>
    <n v="263.43"/>
    <s v="Card"/>
  </r>
  <r>
    <d v="2022-04-06T00:00:00"/>
    <x v="5"/>
    <s v="Hoodie"/>
    <s v="Nike"/>
    <s v="Men"/>
    <s v="Sportswear"/>
    <s v="Japan"/>
    <x v="3"/>
    <n v="283.60000000000002"/>
    <n v="567.20000000000005"/>
    <s v="UPI"/>
  </r>
  <r>
    <d v="2022-08-11T00:00:00"/>
    <x v="9"/>
    <s v="Joggers"/>
    <s v="Puma"/>
    <s v="Men"/>
    <s v="Limited Edition"/>
    <s v="Japan"/>
    <x v="3"/>
    <n v="194.31"/>
    <n v="388.62"/>
    <s v="UPI"/>
  </r>
  <r>
    <d v="2022-06-23T00:00:00"/>
    <x v="7"/>
    <s v="Hoodie"/>
    <s v="Supreme"/>
    <s v="Unisex"/>
    <s v="Limited Edition"/>
    <s v="Japan"/>
    <x v="2"/>
    <n v="199.68"/>
    <n v="798.72"/>
    <s v="Wallet"/>
  </r>
  <r>
    <d v="2022-04-08T00:00:00"/>
    <x v="0"/>
    <s v="T-shirt"/>
    <s v="Essentials"/>
    <s v="Women"/>
    <s v="Sportswear"/>
    <s v="Japan"/>
    <x v="0"/>
    <n v="145.47"/>
    <n v="727.35"/>
    <s v="Card"/>
  </r>
  <r>
    <d v="2022-01-31T00:00:00"/>
    <x v="7"/>
    <s v="Hoodie"/>
    <s v="Supreme"/>
    <s v="Women"/>
    <s v="Limited Edition"/>
    <s v="Australia"/>
    <x v="1"/>
    <n v="141.11000000000001"/>
    <n v="141.11000000000001"/>
    <s v="UPI"/>
  </r>
  <r>
    <d v="2022-04-16T00:00:00"/>
    <x v="6"/>
    <s v="Sneakers"/>
    <s v="Nike"/>
    <s v="Women"/>
    <s v="Casual"/>
    <s v="UK"/>
    <x v="3"/>
    <n v="188.4"/>
    <n v="376.8"/>
    <s v="Card"/>
  </r>
  <r>
    <d v="2022-03-30T00:00:00"/>
    <x v="7"/>
    <s v="Hoodie"/>
    <s v="Supreme"/>
    <s v="Men"/>
    <s v="Limited Edition"/>
    <s v="Germany"/>
    <x v="2"/>
    <n v="145.28"/>
    <n v="581.12"/>
    <s v="Card"/>
  </r>
  <r>
    <d v="2022-07-15T00:00:00"/>
    <x v="4"/>
    <s v="Sneakers"/>
    <s v="Adidas"/>
    <s v="Men"/>
    <s v="Streetwear"/>
    <s v="Australia"/>
    <x v="3"/>
    <n v="277.48"/>
    <n v="554.96"/>
    <s v="Card"/>
  </r>
  <r>
    <d v="2022-08-16T00:00:00"/>
    <x v="5"/>
    <s v="Hoodie"/>
    <s v="Nike"/>
    <s v="Women"/>
    <s v="Limited Edition"/>
    <s v="Japan"/>
    <x v="2"/>
    <n v="153.56"/>
    <n v="614.24"/>
    <s v="Wallet"/>
  </r>
  <r>
    <d v="2022-03-15T00:00:00"/>
    <x v="0"/>
    <s v="T-shirt"/>
    <s v="Essentials"/>
    <s v="Men"/>
    <s v="Casual"/>
    <s v="Japan"/>
    <x v="3"/>
    <n v="74.83"/>
    <n v="149.66"/>
    <s v="Card"/>
  </r>
  <r>
    <d v="2022-07-06T00:00:00"/>
    <x v="7"/>
    <s v="Hoodie"/>
    <s v="Supreme"/>
    <s v="Women"/>
    <s v="Limited Edition"/>
    <s v="Germany"/>
    <x v="1"/>
    <n v="136.80000000000001"/>
    <n v="136.80000000000001"/>
    <s v="UPI"/>
  </r>
  <r>
    <d v="2022-06-26T00:00:00"/>
    <x v="1"/>
    <s v="Sneakers"/>
    <s v="Adidas"/>
    <s v="Unisex"/>
    <s v="Casual"/>
    <s v="USA"/>
    <x v="4"/>
    <n v="209.69"/>
    <n v="629.07000000000005"/>
    <s v="Wallet"/>
  </r>
  <r>
    <d v="2022-03-18T00:00:00"/>
    <x v="7"/>
    <s v="Hoodie"/>
    <s v="Supreme"/>
    <s v="Men"/>
    <s v="Casual"/>
    <s v="India"/>
    <x v="4"/>
    <n v="200.87"/>
    <n v="602.61"/>
    <s v="Cash on Delivery"/>
  </r>
  <r>
    <d v="2022-02-04T00:00:00"/>
    <x v="9"/>
    <s v="Joggers"/>
    <s v="Puma"/>
    <s v="Men"/>
    <s v="Streetwear"/>
    <s v="Japan"/>
    <x v="1"/>
    <n v="221.26"/>
    <n v="221.26"/>
    <s v="Card"/>
  </r>
  <r>
    <d v="2022-01-03T00:00:00"/>
    <x v="8"/>
    <s v="Sneakers"/>
    <s v="Nike"/>
    <s v="Women"/>
    <s v="Streetwear"/>
    <s v="USA"/>
    <x v="0"/>
    <n v="176.98"/>
    <n v="884.9"/>
    <s v="Card"/>
  </r>
  <r>
    <d v="2022-08-06T00:00:00"/>
    <x v="3"/>
    <s v="Cap"/>
    <s v="New Era"/>
    <s v="Men"/>
    <s v="Casual"/>
    <s v="UK"/>
    <x v="0"/>
    <n v="77.08"/>
    <n v="385.4"/>
    <s v="Wallet"/>
  </r>
  <r>
    <d v="2022-03-06T00:00:00"/>
    <x v="6"/>
    <s v="Sneakers"/>
    <s v="Nike"/>
    <s v="Men"/>
    <s v="Casual"/>
    <s v="Canada"/>
    <x v="2"/>
    <n v="239.54"/>
    <n v="958.16"/>
    <s v="Wallet"/>
  </r>
  <r>
    <d v="2022-03-19T00:00:00"/>
    <x v="7"/>
    <s v="Hoodie"/>
    <s v="Supreme"/>
    <s v="Men"/>
    <s v="Streetwear"/>
    <s v="India"/>
    <x v="0"/>
    <n v="179.54"/>
    <n v="897.7"/>
    <s v="UPI"/>
  </r>
  <r>
    <d v="2022-04-05T00:00:00"/>
    <x v="2"/>
    <s v="Hoodie"/>
    <s v="Off-White"/>
    <s v="Women"/>
    <s v="Streetwear"/>
    <s v="Canada"/>
    <x v="4"/>
    <n v="274.23"/>
    <n v="822.69"/>
    <s v="Cash on Delivery"/>
  </r>
  <r>
    <d v="2022-03-11T00:00:00"/>
    <x v="5"/>
    <s v="Hoodie"/>
    <s v="Nike"/>
    <s v="Women"/>
    <s v="Limited Edition"/>
    <s v="India"/>
    <x v="0"/>
    <n v="99.89"/>
    <n v="499.45"/>
    <s v="Cash on Delivery"/>
  </r>
  <r>
    <d v="2022-04-03T00:00:00"/>
    <x v="1"/>
    <s v="Sneakers"/>
    <s v="Adidas"/>
    <s v="Women"/>
    <s v="Sportswear"/>
    <s v="UK"/>
    <x v="2"/>
    <n v="148.11000000000001"/>
    <n v="592.44000000000005"/>
    <s v="Cash on Delivery"/>
  </r>
  <r>
    <d v="2022-06-30T00:00:00"/>
    <x v="6"/>
    <s v="Sneakers"/>
    <s v="Nike"/>
    <s v="Unisex"/>
    <s v="Sportswear"/>
    <s v="India"/>
    <x v="0"/>
    <n v="81.97"/>
    <n v="409.85"/>
    <s v="Cash on Delivery"/>
  </r>
  <r>
    <d v="2022-01-09T00:00:00"/>
    <x v="1"/>
    <s v="Sneakers"/>
    <s v="Adidas"/>
    <s v="Women"/>
    <s v="Limited Edition"/>
    <s v="India"/>
    <x v="4"/>
    <n v="291.29000000000002"/>
    <n v="873.87"/>
    <s v="Wallet"/>
  </r>
  <r>
    <d v="2022-05-02T00:00:00"/>
    <x v="4"/>
    <s v="Sneakers"/>
    <s v="Adidas"/>
    <s v="Men"/>
    <s v="Streetwear"/>
    <s v="Canada"/>
    <x v="0"/>
    <n v="138.94999999999999"/>
    <n v="694.75"/>
    <s v="UPI"/>
  </r>
  <r>
    <d v="2022-01-27T00:00:00"/>
    <x v="4"/>
    <s v="Sneakers"/>
    <s v="Adidas"/>
    <s v="Men"/>
    <s v="Streetwear"/>
    <s v="Japan"/>
    <x v="2"/>
    <n v="208.19"/>
    <n v="832.76"/>
    <s v="Wallet"/>
  </r>
  <r>
    <d v="2022-07-27T00:00:00"/>
    <x v="6"/>
    <s v="Sneakers"/>
    <s v="Nike"/>
    <s v="Men"/>
    <s v="Limited Edition"/>
    <s v="India"/>
    <x v="0"/>
    <n v="291.7"/>
    <n v="1458.5"/>
    <s v="Wallet"/>
  </r>
  <r>
    <d v="2022-06-10T00:00:00"/>
    <x v="0"/>
    <s v="T-shirt"/>
    <s v="Essentials"/>
    <s v="Women"/>
    <s v="Sportswear"/>
    <s v="Australia"/>
    <x v="4"/>
    <n v="209.89"/>
    <n v="629.66999999999996"/>
    <s v="UPI"/>
  </r>
  <r>
    <d v="2022-05-04T00:00:00"/>
    <x v="6"/>
    <s v="Sneakers"/>
    <s v="Nike"/>
    <s v="Unisex"/>
    <s v="Casual"/>
    <s v="Japan"/>
    <x v="2"/>
    <n v="171.49"/>
    <n v="685.96"/>
    <s v="Cash on Delivery"/>
  </r>
  <r>
    <d v="2022-01-17T00:00:00"/>
    <x v="5"/>
    <s v="Hoodie"/>
    <s v="Nike"/>
    <s v="Men"/>
    <s v="Casual"/>
    <s v="Germany"/>
    <x v="4"/>
    <n v="156.22"/>
    <n v="468.66"/>
    <s v="Wallet"/>
  </r>
  <r>
    <d v="2022-06-07T00:00:00"/>
    <x v="1"/>
    <s v="Sneakers"/>
    <s v="Adidas"/>
    <s v="Men"/>
    <s v="Streetwear"/>
    <s v="Japan"/>
    <x v="2"/>
    <n v="158.82"/>
    <n v="635.28"/>
    <s v="UPI"/>
  </r>
  <r>
    <d v="2022-07-12T00:00:00"/>
    <x v="2"/>
    <s v="Hoodie"/>
    <s v="Off-White"/>
    <s v="Men"/>
    <s v="Sportswear"/>
    <s v="UK"/>
    <x v="4"/>
    <n v="218.91"/>
    <n v="656.73"/>
    <s v="Wallet"/>
  </r>
  <r>
    <d v="2022-07-27T00:00:00"/>
    <x v="7"/>
    <s v="Hoodie"/>
    <s v="Supreme"/>
    <s v="Women"/>
    <s v="Limited Edition"/>
    <s v="Australia"/>
    <x v="0"/>
    <n v="54.88"/>
    <n v="274.39999999999998"/>
    <s v="Wallet"/>
  </r>
  <r>
    <d v="2022-05-08T00:00:00"/>
    <x v="3"/>
    <s v="Cap"/>
    <s v="New Era"/>
    <s v="Women"/>
    <s v="Sportswear"/>
    <s v="Canada"/>
    <x v="1"/>
    <n v="75.27"/>
    <n v="75.27"/>
    <s v="Card"/>
  </r>
  <r>
    <d v="2022-06-12T00:00:00"/>
    <x v="9"/>
    <s v="Joggers"/>
    <s v="Puma"/>
    <s v="Men"/>
    <s v="Limited Edition"/>
    <s v="India"/>
    <x v="1"/>
    <n v="144.04"/>
    <n v="144.04"/>
    <s v="Cash on Delivery"/>
  </r>
  <r>
    <d v="2022-07-26T00:00:00"/>
    <x v="6"/>
    <s v="Sneakers"/>
    <s v="Nike"/>
    <s v="Men"/>
    <s v="Streetwear"/>
    <s v="Germany"/>
    <x v="2"/>
    <n v="196.45"/>
    <n v="785.8"/>
    <s v="UPI"/>
  </r>
  <r>
    <d v="2022-01-17T00:00:00"/>
    <x v="8"/>
    <s v="Sneakers"/>
    <s v="Nike"/>
    <s v="Men"/>
    <s v="Limited Edition"/>
    <s v="USA"/>
    <x v="4"/>
    <n v="213.66"/>
    <n v="640.98"/>
    <s v="Card"/>
  </r>
  <r>
    <d v="2022-08-16T00:00:00"/>
    <x v="1"/>
    <s v="Sneakers"/>
    <s v="Adidas"/>
    <s v="Men"/>
    <s v="Streetwear"/>
    <s v="UK"/>
    <x v="1"/>
    <n v="164.57"/>
    <n v="164.57"/>
    <s v="Cash on Delivery"/>
  </r>
  <r>
    <d v="2022-04-13T00:00:00"/>
    <x v="6"/>
    <s v="Sneakers"/>
    <s v="Nike"/>
    <s v="Men"/>
    <s v="Casual"/>
    <s v="Canada"/>
    <x v="2"/>
    <n v="203.25"/>
    <n v="813"/>
    <s v="Wallet"/>
  </r>
  <r>
    <d v="2022-05-13T00:00:00"/>
    <x v="2"/>
    <s v="Hoodie"/>
    <s v="Off-White"/>
    <s v="Women"/>
    <s v="Sportswear"/>
    <s v="UK"/>
    <x v="0"/>
    <n v="91.11"/>
    <n v="455.55"/>
    <s v="Cash on Delivery"/>
  </r>
  <r>
    <d v="2022-02-17T00:00:00"/>
    <x v="2"/>
    <s v="Hoodie"/>
    <s v="Off-White"/>
    <s v="Unisex"/>
    <s v="Streetwear"/>
    <s v="USA"/>
    <x v="4"/>
    <n v="57.92"/>
    <n v="173.76"/>
    <s v="Cash on Delivery"/>
  </r>
  <r>
    <d v="2022-07-31T00:00:00"/>
    <x v="6"/>
    <s v="Sneakers"/>
    <s v="Nike"/>
    <s v="Women"/>
    <s v="Limited Edition"/>
    <s v="Japan"/>
    <x v="4"/>
    <n v="209.3"/>
    <n v="627.9"/>
    <s v="Wallet"/>
  </r>
  <r>
    <d v="2022-08-25T00:00:00"/>
    <x v="4"/>
    <s v="Sneakers"/>
    <s v="Adidas"/>
    <s v="Unisex"/>
    <s v="Casual"/>
    <s v="Germany"/>
    <x v="1"/>
    <n v="112.26"/>
    <n v="112.26"/>
    <s v="UPI"/>
  </r>
  <r>
    <d v="2022-08-30T00:00:00"/>
    <x v="8"/>
    <s v="Sneakers"/>
    <s v="Nike"/>
    <s v="Women"/>
    <s v="Limited Edition"/>
    <s v="Canada"/>
    <x v="3"/>
    <n v="216.83"/>
    <n v="433.66"/>
    <s v="UPI"/>
  </r>
  <r>
    <d v="2022-07-21T00:00:00"/>
    <x v="9"/>
    <s v="Joggers"/>
    <s v="Puma"/>
    <s v="Unisex"/>
    <s v="Limited Edition"/>
    <s v="Canada"/>
    <x v="0"/>
    <n v="68.52"/>
    <n v="342.6"/>
    <s v="UPI"/>
  </r>
  <r>
    <d v="2022-08-02T00:00:00"/>
    <x v="7"/>
    <s v="Hoodie"/>
    <s v="Supreme"/>
    <s v="Men"/>
    <s v="Casual"/>
    <s v="Canada"/>
    <x v="1"/>
    <n v="98.04"/>
    <n v="98.04"/>
    <s v="Cash on Delivery"/>
  </r>
  <r>
    <d v="2022-06-30T00:00:00"/>
    <x v="0"/>
    <s v="T-shirt"/>
    <s v="Essentials"/>
    <s v="Men"/>
    <s v="Casual"/>
    <s v="India"/>
    <x v="0"/>
    <n v="204.35"/>
    <n v="1021.75"/>
    <s v="Wallet"/>
  </r>
  <r>
    <d v="2022-04-10T00:00:00"/>
    <x v="8"/>
    <s v="Sneakers"/>
    <s v="Nike"/>
    <s v="Women"/>
    <s v="Streetwear"/>
    <s v="Germany"/>
    <x v="2"/>
    <n v="283.7"/>
    <n v="1134.8"/>
    <s v="Card"/>
  </r>
  <r>
    <d v="2022-07-03T00:00:00"/>
    <x v="2"/>
    <s v="Hoodie"/>
    <s v="Off-White"/>
    <s v="Women"/>
    <s v="Limited Edition"/>
    <s v="India"/>
    <x v="2"/>
    <n v="172.52"/>
    <n v="690.08"/>
    <s v="UPI"/>
  </r>
  <r>
    <d v="2022-02-26T00:00:00"/>
    <x v="6"/>
    <s v="Sneakers"/>
    <s v="Nike"/>
    <s v="Men"/>
    <s v="Limited Edition"/>
    <s v="USA"/>
    <x v="4"/>
    <n v="51.81"/>
    <n v="155.43"/>
    <s v="Wallet"/>
  </r>
  <r>
    <d v="2022-04-29T00:00:00"/>
    <x v="5"/>
    <s v="Hoodie"/>
    <s v="Nike"/>
    <s v="Men"/>
    <s v="Sportswear"/>
    <s v="Japan"/>
    <x v="0"/>
    <n v="71.28"/>
    <n v="356.4"/>
    <s v="Cash on Delivery"/>
  </r>
  <r>
    <d v="2022-02-24T00:00:00"/>
    <x v="1"/>
    <s v="Sneakers"/>
    <s v="Adidas"/>
    <s v="Unisex"/>
    <s v="Sportswear"/>
    <s v="Canada"/>
    <x v="3"/>
    <n v="248.44"/>
    <n v="496.88"/>
    <s v="Cash on Delivery"/>
  </r>
  <r>
    <d v="2022-07-03T00:00:00"/>
    <x v="1"/>
    <s v="Sneakers"/>
    <s v="Adidas"/>
    <s v="Women"/>
    <s v="Sportswear"/>
    <s v="India"/>
    <x v="3"/>
    <n v="107.04"/>
    <n v="214.08"/>
    <s v="Card"/>
  </r>
  <r>
    <d v="2022-08-30T00:00:00"/>
    <x v="9"/>
    <s v="Joggers"/>
    <s v="Puma"/>
    <s v="Women"/>
    <s v="Sportswear"/>
    <s v="Australia"/>
    <x v="1"/>
    <n v="132.07"/>
    <n v="132.07"/>
    <s v="Wallet"/>
  </r>
  <r>
    <d v="2022-07-09T00:00:00"/>
    <x v="8"/>
    <s v="Sneakers"/>
    <s v="Nike"/>
    <s v="Men"/>
    <s v="Casual"/>
    <s v="Japan"/>
    <x v="4"/>
    <n v="118.37"/>
    <n v="355.11"/>
    <s v="Card"/>
  </r>
  <r>
    <d v="2022-04-18T00:00:00"/>
    <x v="5"/>
    <s v="Hoodie"/>
    <s v="Nike"/>
    <s v="Women"/>
    <s v="Streetwear"/>
    <s v="Germany"/>
    <x v="0"/>
    <n v="243.74"/>
    <n v="1218.7"/>
    <s v="Wallet"/>
  </r>
  <r>
    <d v="2022-01-16T00:00:00"/>
    <x v="8"/>
    <s v="Sneakers"/>
    <s v="Nike"/>
    <s v="Unisex"/>
    <s v="Limited Edition"/>
    <s v="Japan"/>
    <x v="0"/>
    <n v="150.02000000000001"/>
    <n v="750.1"/>
    <s v="Cash on Delivery"/>
  </r>
  <r>
    <d v="2022-04-02T00:00:00"/>
    <x v="5"/>
    <s v="Hoodie"/>
    <s v="Nike"/>
    <s v="Women"/>
    <s v="Streetwear"/>
    <s v="Australia"/>
    <x v="4"/>
    <n v="73.31"/>
    <n v="219.93"/>
    <s v="Wallet"/>
  </r>
  <r>
    <d v="2022-08-25T00:00:00"/>
    <x v="9"/>
    <s v="Joggers"/>
    <s v="Puma"/>
    <s v="Men"/>
    <s v="Casual"/>
    <s v="Australia"/>
    <x v="3"/>
    <n v="176.24"/>
    <n v="352.48"/>
    <s v="Cash on Delivery"/>
  </r>
  <r>
    <d v="2022-05-27T00:00:00"/>
    <x v="4"/>
    <s v="Sneakers"/>
    <s v="Adidas"/>
    <s v="Women"/>
    <s v="Sportswear"/>
    <s v="UK"/>
    <x v="0"/>
    <n v="135.5"/>
    <n v="677.5"/>
    <s v="UPI"/>
  </r>
  <r>
    <d v="2022-08-18T00:00:00"/>
    <x v="0"/>
    <s v="T-shirt"/>
    <s v="Essentials"/>
    <s v="Men"/>
    <s v="Sportswear"/>
    <s v="Canada"/>
    <x v="2"/>
    <n v="250.12"/>
    <n v="1000.48"/>
    <s v="Card"/>
  </r>
  <r>
    <d v="2022-07-03T00:00:00"/>
    <x v="1"/>
    <s v="Sneakers"/>
    <s v="Adidas"/>
    <s v="Women"/>
    <s v="Casual"/>
    <s v="Australia"/>
    <x v="2"/>
    <n v="145.88999999999999"/>
    <n v="583.55999999999995"/>
    <s v="Card"/>
  </r>
  <r>
    <d v="2022-05-07T00:00:00"/>
    <x v="5"/>
    <s v="Hoodie"/>
    <s v="Nike"/>
    <s v="Unisex"/>
    <s v="Casual"/>
    <s v="USA"/>
    <x v="2"/>
    <n v="281.54000000000002"/>
    <n v="1126.1600000000001"/>
    <s v="Wallet"/>
  </r>
  <r>
    <d v="2022-06-25T00:00:00"/>
    <x v="6"/>
    <s v="Sneakers"/>
    <s v="Nike"/>
    <s v="Unisex"/>
    <s v="Casual"/>
    <s v="Australia"/>
    <x v="2"/>
    <n v="121.42"/>
    <n v="485.68"/>
    <s v="Card"/>
  </r>
  <r>
    <d v="2022-06-03T00:00:00"/>
    <x v="6"/>
    <s v="Sneakers"/>
    <s v="Nike"/>
    <s v="Women"/>
    <s v="Streetwear"/>
    <s v="India"/>
    <x v="2"/>
    <n v="265.91000000000003"/>
    <n v="1063.6400000000001"/>
    <s v="UPI"/>
  </r>
  <r>
    <d v="2022-01-25T00:00:00"/>
    <x v="0"/>
    <s v="T-shirt"/>
    <s v="Essentials"/>
    <s v="Women"/>
    <s v="Limited Edition"/>
    <s v="Germany"/>
    <x v="1"/>
    <n v="240.42"/>
    <n v="240.42"/>
    <s v="Card"/>
  </r>
  <r>
    <d v="2022-01-08T00:00:00"/>
    <x v="4"/>
    <s v="Sneakers"/>
    <s v="Adidas"/>
    <s v="Women"/>
    <s v="Sportswear"/>
    <s v="USA"/>
    <x v="0"/>
    <n v="275.27"/>
    <n v="1376.35"/>
    <s v="Card"/>
  </r>
  <r>
    <d v="2022-08-09T00:00:00"/>
    <x v="7"/>
    <s v="Hoodie"/>
    <s v="Supreme"/>
    <s v="Women"/>
    <s v="Streetwear"/>
    <s v="India"/>
    <x v="4"/>
    <n v="154.79"/>
    <n v="464.37"/>
    <s v="Card"/>
  </r>
  <r>
    <d v="2022-08-13T00:00:00"/>
    <x v="7"/>
    <s v="Hoodie"/>
    <s v="Supreme"/>
    <s v="Unisex"/>
    <s v="Sportswear"/>
    <s v="India"/>
    <x v="0"/>
    <n v="139"/>
    <n v="695"/>
    <s v="UPI"/>
  </r>
  <r>
    <d v="2022-06-21T00:00:00"/>
    <x v="5"/>
    <s v="Hoodie"/>
    <s v="Nike"/>
    <s v="Unisex"/>
    <s v="Streetwear"/>
    <s v="Australia"/>
    <x v="4"/>
    <n v="79.27"/>
    <n v="237.81"/>
    <s v="Card"/>
  </r>
  <r>
    <d v="2022-08-23T00:00:00"/>
    <x v="2"/>
    <s v="Hoodie"/>
    <s v="Off-White"/>
    <s v="Men"/>
    <s v="Casual"/>
    <s v="Canada"/>
    <x v="3"/>
    <n v="237.1"/>
    <n v="474.2"/>
    <s v="Cash on Delivery"/>
  </r>
  <r>
    <d v="2022-01-29T00:00:00"/>
    <x v="2"/>
    <s v="Hoodie"/>
    <s v="Off-White"/>
    <s v="Men"/>
    <s v="Casual"/>
    <s v="UK"/>
    <x v="2"/>
    <n v="228.46"/>
    <n v="913.84"/>
    <s v="Cash on Delivery"/>
  </r>
  <r>
    <d v="2022-06-12T00:00:00"/>
    <x v="7"/>
    <s v="Hoodie"/>
    <s v="Supreme"/>
    <s v="Men"/>
    <s v="Sportswear"/>
    <s v="Canada"/>
    <x v="2"/>
    <n v="52.42"/>
    <n v="209.68"/>
    <s v="Wallet"/>
  </r>
  <r>
    <d v="2022-08-26T00:00:00"/>
    <x v="8"/>
    <s v="Sneakers"/>
    <s v="Nike"/>
    <s v="Men"/>
    <s v="Limited Edition"/>
    <s v="Japan"/>
    <x v="4"/>
    <n v="270.52"/>
    <n v="811.56"/>
    <s v="UPI"/>
  </r>
  <r>
    <d v="2022-01-08T00:00:00"/>
    <x v="6"/>
    <s v="Sneakers"/>
    <s v="Nike"/>
    <s v="Unisex"/>
    <s v="Limited Edition"/>
    <s v="UK"/>
    <x v="2"/>
    <n v="119.36"/>
    <n v="477.44"/>
    <s v="Cash on Delivery"/>
  </r>
  <r>
    <d v="2022-01-23T00:00:00"/>
    <x v="3"/>
    <s v="Cap"/>
    <s v="New Era"/>
    <s v="Women"/>
    <s v="Limited Edition"/>
    <s v="UK"/>
    <x v="4"/>
    <n v="125.26"/>
    <n v="375.78"/>
    <s v="Wallet"/>
  </r>
  <r>
    <d v="2022-06-02T00:00:00"/>
    <x v="2"/>
    <s v="Hoodie"/>
    <s v="Off-White"/>
    <s v="Women"/>
    <s v="Casual"/>
    <s v="Canada"/>
    <x v="4"/>
    <n v="296.55"/>
    <n v="889.65"/>
    <s v="Card"/>
  </r>
  <r>
    <d v="2022-06-13T00:00:00"/>
    <x v="9"/>
    <s v="Joggers"/>
    <s v="Puma"/>
    <s v="Women"/>
    <s v="Casual"/>
    <s v="UK"/>
    <x v="1"/>
    <n v="56.73"/>
    <n v="56.73"/>
    <s v="Wallet"/>
  </r>
  <r>
    <d v="2022-01-18T00:00:00"/>
    <x v="7"/>
    <s v="Hoodie"/>
    <s v="Supreme"/>
    <s v="Unisex"/>
    <s v="Casual"/>
    <s v="UK"/>
    <x v="1"/>
    <n v="91.56"/>
    <n v="91.56"/>
    <s v="UPI"/>
  </r>
  <r>
    <d v="2022-04-11T00:00:00"/>
    <x v="3"/>
    <s v="Cap"/>
    <s v="New Era"/>
    <s v="Women"/>
    <s v="Streetwear"/>
    <s v="USA"/>
    <x v="3"/>
    <n v="152.54"/>
    <n v="305.08"/>
    <s v="Card"/>
  </r>
  <r>
    <d v="2022-07-04T00:00:00"/>
    <x v="3"/>
    <s v="Cap"/>
    <s v="New Era"/>
    <s v="Women"/>
    <s v="Casual"/>
    <s v="Australia"/>
    <x v="2"/>
    <n v="61.37"/>
    <n v="245.48"/>
    <s v="Cash on Delivery"/>
  </r>
  <r>
    <d v="2022-03-07T00:00:00"/>
    <x v="2"/>
    <s v="Hoodie"/>
    <s v="Off-White"/>
    <s v="Men"/>
    <s v="Streetwear"/>
    <s v="Japan"/>
    <x v="4"/>
    <n v="162.36000000000001"/>
    <n v="487.08"/>
    <s v="Wallet"/>
  </r>
  <r>
    <d v="2022-06-29T00:00:00"/>
    <x v="7"/>
    <s v="Hoodie"/>
    <s v="Supreme"/>
    <s v="Men"/>
    <s v="Streetwear"/>
    <s v="USA"/>
    <x v="3"/>
    <n v="257.5"/>
    <n v="515"/>
    <s v="UPI"/>
  </r>
  <r>
    <d v="2022-05-21T00:00:00"/>
    <x v="8"/>
    <s v="Sneakers"/>
    <s v="Nike"/>
    <s v="Women"/>
    <s v="Casual"/>
    <s v="Germany"/>
    <x v="2"/>
    <n v="202.28"/>
    <n v="809.12"/>
    <s v="Card"/>
  </r>
  <r>
    <d v="2022-07-07T00:00:00"/>
    <x v="3"/>
    <s v="Cap"/>
    <s v="New Era"/>
    <s v="Unisex"/>
    <s v="Casual"/>
    <s v="India"/>
    <x v="1"/>
    <n v="224.83"/>
    <n v="224.83"/>
    <s v="Cash on Delivery"/>
  </r>
  <r>
    <d v="2022-04-02T00:00:00"/>
    <x v="9"/>
    <s v="Joggers"/>
    <s v="Puma"/>
    <s v="Men"/>
    <s v="Streetwear"/>
    <s v="Canada"/>
    <x v="4"/>
    <n v="256.27"/>
    <n v="768.81"/>
    <s v="Cash on Delivery"/>
  </r>
  <r>
    <d v="2022-03-26T00:00:00"/>
    <x v="1"/>
    <s v="Sneakers"/>
    <s v="Adidas"/>
    <s v="Women"/>
    <s v="Limited Edition"/>
    <s v="UK"/>
    <x v="3"/>
    <n v="277.26"/>
    <n v="554.52"/>
    <s v="UPI"/>
  </r>
  <r>
    <d v="2022-07-04T00:00:00"/>
    <x v="9"/>
    <s v="Joggers"/>
    <s v="Puma"/>
    <s v="Unisex"/>
    <s v="Streetwear"/>
    <s v="Canada"/>
    <x v="4"/>
    <n v="271.19"/>
    <n v="813.57"/>
    <s v="Cash on Delivery"/>
  </r>
  <r>
    <d v="2022-01-12T00:00:00"/>
    <x v="2"/>
    <s v="Hoodie"/>
    <s v="Off-White"/>
    <s v="Men"/>
    <s v="Streetwear"/>
    <s v="Canada"/>
    <x v="4"/>
    <n v="205.62"/>
    <n v="616.86"/>
    <s v="Wallet"/>
  </r>
  <r>
    <d v="2022-08-01T00:00:00"/>
    <x v="6"/>
    <s v="Sneakers"/>
    <s v="Nike"/>
    <s v="Men"/>
    <s v="Streetwear"/>
    <s v="USA"/>
    <x v="2"/>
    <n v="130.97"/>
    <n v="523.88"/>
    <s v="Card"/>
  </r>
  <r>
    <d v="2022-03-26T00:00:00"/>
    <x v="0"/>
    <s v="T-shirt"/>
    <s v="Essentials"/>
    <s v="Men"/>
    <s v="Streetwear"/>
    <s v="Canada"/>
    <x v="0"/>
    <n v="267.70999999999998"/>
    <n v="1338.55"/>
    <s v="Cash on Delivery"/>
  </r>
  <r>
    <d v="2022-01-04T00:00:00"/>
    <x v="8"/>
    <s v="Sneakers"/>
    <s v="Nike"/>
    <s v="Men"/>
    <s v="Sportswear"/>
    <s v="USA"/>
    <x v="2"/>
    <n v="151.37"/>
    <n v="605.48"/>
    <s v="UPI"/>
  </r>
  <r>
    <d v="2022-03-07T00:00:00"/>
    <x v="2"/>
    <s v="Hoodie"/>
    <s v="Off-White"/>
    <s v="Men"/>
    <s v="Sportswear"/>
    <s v="Canada"/>
    <x v="0"/>
    <n v="89.84"/>
    <n v="449.2"/>
    <s v="Wallet"/>
  </r>
  <r>
    <d v="2022-04-25T00:00:00"/>
    <x v="9"/>
    <s v="Joggers"/>
    <s v="Puma"/>
    <s v="Men"/>
    <s v="Streetwear"/>
    <s v="Canada"/>
    <x v="1"/>
    <n v="276.64"/>
    <n v="276.64"/>
    <s v="Card"/>
  </r>
  <r>
    <d v="2022-03-15T00:00:00"/>
    <x v="9"/>
    <s v="Joggers"/>
    <s v="Puma"/>
    <s v="Unisex"/>
    <s v="Limited Edition"/>
    <s v="India"/>
    <x v="4"/>
    <n v="203.41"/>
    <n v="610.23"/>
    <s v="Card"/>
  </r>
  <r>
    <d v="2022-08-10T00:00:00"/>
    <x v="5"/>
    <s v="Hoodie"/>
    <s v="Nike"/>
    <s v="Men"/>
    <s v="Limited Edition"/>
    <s v="UK"/>
    <x v="3"/>
    <n v="195.85"/>
    <n v="391.7"/>
    <s v="Wallet"/>
  </r>
  <r>
    <d v="2022-08-04T00:00:00"/>
    <x v="9"/>
    <s v="Joggers"/>
    <s v="Puma"/>
    <s v="Men"/>
    <s v="Sportswear"/>
    <s v="Australia"/>
    <x v="3"/>
    <n v="288.87"/>
    <n v="577.74"/>
    <s v="UPI"/>
  </r>
  <r>
    <d v="2022-05-11T00:00:00"/>
    <x v="5"/>
    <s v="Hoodie"/>
    <s v="Nike"/>
    <s v="Men"/>
    <s v="Sportswear"/>
    <s v="Australia"/>
    <x v="1"/>
    <n v="65.45"/>
    <n v="65.45"/>
    <s v="Cash on Delivery"/>
  </r>
  <r>
    <d v="2022-01-01T00:00:00"/>
    <x v="1"/>
    <s v="Sneakers"/>
    <s v="Adidas"/>
    <s v="Unisex"/>
    <s v="Casual"/>
    <s v="USA"/>
    <x v="1"/>
    <n v="202.42"/>
    <n v="202.42"/>
    <s v="Wallet"/>
  </r>
  <r>
    <d v="2022-03-05T00:00:00"/>
    <x v="5"/>
    <s v="Hoodie"/>
    <s v="Nike"/>
    <s v="Men"/>
    <s v="Streetwear"/>
    <s v="Australia"/>
    <x v="3"/>
    <n v="51.11"/>
    <n v="102.22"/>
    <s v="Cash on Delivery"/>
  </r>
  <r>
    <d v="2022-07-24T00:00:00"/>
    <x v="3"/>
    <s v="Cap"/>
    <s v="New Era"/>
    <s v="Men"/>
    <s v="Limited Edition"/>
    <s v="Japan"/>
    <x v="1"/>
    <n v="292.68"/>
    <n v="292.68"/>
    <s v="UPI"/>
  </r>
  <r>
    <d v="2022-08-10T00:00:00"/>
    <x v="9"/>
    <s v="Joggers"/>
    <s v="Puma"/>
    <s v="Women"/>
    <s v="Casual"/>
    <s v="USA"/>
    <x v="3"/>
    <n v="175.51"/>
    <n v="351.02"/>
    <s v="UPI"/>
  </r>
  <r>
    <d v="2022-03-13T00:00:00"/>
    <x v="1"/>
    <s v="Sneakers"/>
    <s v="Adidas"/>
    <s v="Women"/>
    <s v="Sportswear"/>
    <s v="Germany"/>
    <x v="2"/>
    <n v="211.37"/>
    <n v="845.48"/>
    <s v="Card"/>
  </r>
  <r>
    <d v="2022-03-23T00:00:00"/>
    <x v="5"/>
    <s v="Hoodie"/>
    <s v="Nike"/>
    <s v="Unisex"/>
    <s v="Casual"/>
    <s v="Germany"/>
    <x v="1"/>
    <n v="209.78"/>
    <n v="209.78"/>
    <s v="UPI"/>
  </r>
  <r>
    <d v="2022-05-12T00:00:00"/>
    <x v="8"/>
    <s v="Sneakers"/>
    <s v="Nike"/>
    <s v="Unisex"/>
    <s v="Casual"/>
    <s v="India"/>
    <x v="1"/>
    <n v="59.85"/>
    <n v="59.85"/>
    <s v="Wallet"/>
  </r>
  <r>
    <d v="2022-07-17T00:00:00"/>
    <x v="8"/>
    <s v="Sneakers"/>
    <s v="Nike"/>
    <s v="Unisex"/>
    <s v="Streetwear"/>
    <s v="Canada"/>
    <x v="4"/>
    <n v="156.27000000000001"/>
    <n v="468.81"/>
    <s v="UPI"/>
  </r>
  <r>
    <d v="2022-03-08T00:00:00"/>
    <x v="1"/>
    <s v="Sneakers"/>
    <s v="Adidas"/>
    <s v="Unisex"/>
    <s v="Limited Edition"/>
    <s v="Australia"/>
    <x v="3"/>
    <n v="175"/>
    <n v="350"/>
    <s v="Card"/>
  </r>
  <r>
    <d v="2022-08-05T00:00:00"/>
    <x v="2"/>
    <s v="Hoodie"/>
    <s v="Off-White"/>
    <s v="Men"/>
    <s v="Casual"/>
    <s v="UK"/>
    <x v="3"/>
    <n v="88"/>
    <n v="176"/>
    <s v="Wallet"/>
  </r>
  <r>
    <d v="2022-07-02T00:00:00"/>
    <x v="8"/>
    <s v="Sneakers"/>
    <s v="Nike"/>
    <s v="Men"/>
    <s v="Casual"/>
    <s v="UK"/>
    <x v="2"/>
    <n v="293.33"/>
    <n v="1173.32"/>
    <s v="Card"/>
  </r>
  <r>
    <d v="2022-07-17T00:00:00"/>
    <x v="8"/>
    <s v="Sneakers"/>
    <s v="Nike"/>
    <s v="Unisex"/>
    <s v="Limited Edition"/>
    <s v="Germany"/>
    <x v="0"/>
    <n v="285.37"/>
    <n v="1426.85"/>
    <s v="UPI"/>
  </r>
  <r>
    <d v="2022-01-15T00:00:00"/>
    <x v="2"/>
    <s v="Hoodie"/>
    <s v="Off-White"/>
    <s v="Women"/>
    <s v="Sportswear"/>
    <s v="USA"/>
    <x v="0"/>
    <n v="220.59"/>
    <n v="1102.95"/>
    <s v="Wallet"/>
  </r>
  <r>
    <d v="2022-03-03T00:00:00"/>
    <x v="8"/>
    <s v="Sneakers"/>
    <s v="Nike"/>
    <s v="Men"/>
    <s v="Streetwear"/>
    <s v="Australia"/>
    <x v="0"/>
    <n v="214"/>
    <n v="1070"/>
    <s v="Wallet"/>
  </r>
  <r>
    <d v="2022-08-18T00:00:00"/>
    <x v="1"/>
    <s v="Sneakers"/>
    <s v="Adidas"/>
    <s v="Unisex"/>
    <s v="Limited Edition"/>
    <s v="Germany"/>
    <x v="0"/>
    <n v="208.24"/>
    <n v="1041.2"/>
    <s v="Card"/>
  </r>
  <r>
    <d v="2022-06-07T00:00:00"/>
    <x v="7"/>
    <s v="Hoodie"/>
    <s v="Supreme"/>
    <s v="Unisex"/>
    <s v="Casual"/>
    <s v="Germany"/>
    <x v="2"/>
    <n v="133.69999999999999"/>
    <n v="534.79999999999995"/>
    <s v="UPI"/>
  </r>
  <r>
    <d v="2022-08-24T00:00:00"/>
    <x v="0"/>
    <s v="T-shirt"/>
    <s v="Essentials"/>
    <s v="Men"/>
    <s v="Casual"/>
    <s v="India"/>
    <x v="3"/>
    <n v="158.69999999999999"/>
    <n v="317.39999999999998"/>
    <s v="Wallet"/>
  </r>
  <r>
    <d v="2022-01-19T00:00:00"/>
    <x v="5"/>
    <s v="Hoodie"/>
    <s v="Nike"/>
    <s v="Women"/>
    <s v="Streetwear"/>
    <s v="UK"/>
    <x v="3"/>
    <n v="244.13"/>
    <n v="488.26"/>
    <s v="Cash on Delivery"/>
  </r>
  <r>
    <d v="2022-08-19T00:00:00"/>
    <x v="5"/>
    <s v="Hoodie"/>
    <s v="Nike"/>
    <s v="Women"/>
    <s v="Casual"/>
    <s v="Australia"/>
    <x v="0"/>
    <n v="147.99"/>
    <n v="739.95"/>
    <s v="UPI"/>
  </r>
  <r>
    <d v="2022-08-11T00:00:00"/>
    <x v="0"/>
    <s v="T-shirt"/>
    <s v="Essentials"/>
    <s v="Unisex"/>
    <s v="Casual"/>
    <s v="Japan"/>
    <x v="1"/>
    <n v="157.81"/>
    <n v="157.81"/>
    <s v="Cash on Delivery"/>
  </r>
  <r>
    <d v="2022-03-24T00:00:00"/>
    <x v="9"/>
    <s v="Joggers"/>
    <s v="Puma"/>
    <s v="Unisex"/>
    <s v="Streetwear"/>
    <s v="Germany"/>
    <x v="3"/>
    <n v="212.76"/>
    <n v="425.52"/>
    <s v="Wallet"/>
  </r>
  <r>
    <d v="2022-01-17T00:00:00"/>
    <x v="4"/>
    <s v="Sneakers"/>
    <s v="Adidas"/>
    <s v="Women"/>
    <s v="Casual"/>
    <s v="Australia"/>
    <x v="4"/>
    <n v="225.9"/>
    <n v="677.7"/>
    <s v="Wallet"/>
  </r>
  <r>
    <d v="2022-02-09T00:00:00"/>
    <x v="3"/>
    <s v="Cap"/>
    <s v="New Era"/>
    <s v="Men"/>
    <s v="Streetwear"/>
    <s v="Canada"/>
    <x v="4"/>
    <n v="112.98"/>
    <n v="338.94"/>
    <s v="Wallet"/>
  </r>
  <r>
    <d v="2022-05-13T00:00:00"/>
    <x v="3"/>
    <s v="Cap"/>
    <s v="New Era"/>
    <s v="Unisex"/>
    <s v="Casual"/>
    <s v="Canada"/>
    <x v="3"/>
    <n v="100.84"/>
    <n v="201.68"/>
    <s v="Cash on Delivery"/>
  </r>
  <r>
    <d v="2022-02-03T00:00:00"/>
    <x v="6"/>
    <s v="Sneakers"/>
    <s v="Nike"/>
    <s v="Women"/>
    <s v="Casual"/>
    <s v="Canada"/>
    <x v="2"/>
    <n v="292.75"/>
    <n v="1171"/>
    <s v="Wallet"/>
  </r>
  <r>
    <d v="2022-02-08T00:00:00"/>
    <x v="5"/>
    <s v="Hoodie"/>
    <s v="Nike"/>
    <s v="Men"/>
    <s v="Streetwear"/>
    <s v="UK"/>
    <x v="4"/>
    <n v="82.62"/>
    <n v="247.86"/>
    <s v="Cash on Delivery"/>
  </r>
  <r>
    <d v="2022-07-18T00:00:00"/>
    <x v="2"/>
    <s v="Hoodie"/>
    <s v="Off-White"/>
    <s v="Men"/>
    <s v="Sportswear"/>
    <s v="Australia"/>
    <x v="4"/>
    <n v="246.13"/>
    <n v="738.39"/>
    <s v="UPI"/>
  </r>
  <r>
    <d v="2022-04-29T00:00:00"/>
    <x v="8"/>
    <s v="Sneakers"/>
    <s v="Nike"/>
    <s v="Men"/>
    <s v="Streetwear"/>
    <s v="Germany"/>
    <x v="2"/>
    <n v="168.01"/>
    <n v="672.04"/>
    <s v="Wallet"/>
  </r>
  <r>
    <d v="2022-08-26T00:00:00"/>
    <x v="4"/>
    <s v="Sneakers"/>
    <s v="Adidas"/>
    <s v="Men"/>
    <s v="Sportswear"/>
    <s v="Japan"/>
    <x v="1"/>
    <n v="93.08"/>
    <n v="93.08"/>
    <s v="Wallet"/>
  </r>
  <r>
    <d v="2022-01-14T00:00:00"/>
    <x v="2"/>
    <s v="Hoodie"/>
    <s v="Off-White"/>
    <s v="Women"/>
    <s v="Limited Edition"/>
    <s v="Australia"/>
    <x v="4"/>
    <n v="161.55000000000001"/>
    <n v="484.65"/>
    <s v="UPI"/>
  </r>
  <r>
    <d v="2022-02-25T00:00:00"/>
    <x v="3"/>
    <s v="Cap"/>
    <s v="New Era"/>
    <s v="Men"/>
    <s v="Casual"/>
    <s v="Germany"/>
    <x v="4"/>
    <n v="228.84"/>
    <n v="686.52"/>
    <s v="UPI"/>
  </r>
  <r>
    <d v="2022-05-23T00:00:00"/>
    <x v="2"/>
    <s v="Hoodie"/>
    <s v="Off-White"/>
    <s v="Women"/>
    <s v="Sportswear"/>
    <s v="USA"/>
    <x v="2"/>
    <n v="221.31"/>
    <n v="885.24"/>
    <s v="Card"/>
  </r>
  <r>
    <d v="2022-07-26T00:00:00"/>
    <x v="3"/>
    <s v="Cap"/>
    <s v="New Era"/>
    <s v="Women"/>
    <s v="Sportswear"/>
    <s v="UK"/>
    <x v="3"/>
    <n v="287.68"/>
    <n v="575.36"/>
    <s v="Cash on Delivery"/>
  </r>
  <r>
    <d v="2022-01-16T00:00:00"/>
    <x v="8"/>
    <s v="Sneakers"/>
    <s v="Nike"/>
    <s v="Women"/>
    <s v="Limited Edition"/>
    <s v="UK"/>
    <x v="0"/>
    <n v="168.7"/>
    <n v="843.5"/>
    <s v="Wallet"/>
  </r>
  <r>
    <d v="2022-06-01T00:00:00"/>
    <x v="0"/>
    <s v="T-shirt"/>
    <s v="Essentials"/>
    <s v="Women"/>
    <s v="Streetwear"/>
    <s v="UK"/>
    <x v="4"/>
    <n v="153.82"/>
    <n v="461.46"/>
    <s v="Cash on Delivery"/>
  </r>
  <r>
    <d v="2022-02-13T00:00:00"/>
    <x v="4"/>
    <s v="Sneakers"/>
    <s v="Adidas"/>
    <s v="Unisex"/>
    <s v="Casual"/>
    <s v="Japan"/>
    <x v="2"/>
    <n v="281"/>
    <n v="1124"/>
    <s v="UPI"/>
  </r>
  <r>
    <d v="2022-03-28T00:00:00"/>
    <x v="9"/>
    <s v="Joggers"/>
    <s v="Puma"/>
    <s v="Women"/>
    <s v="Streetwear"/>
    <s v="India"/>
    <x v="0"/>
    <n v="112.4"/>
    <n v="562"/>
    <s v="Wallet"/>
  </r>
  <r>
    <d v="2022-01-20T00:00:00"/>
    <x v="2"/>
    <s v="Hoodie"/>
    <s v="Off-White"/>
    <s v="Unisex"/>
    <s v="Limited Edition"/>
    <s v="Canada"/>
    <x v="1"/>
    <n v="233.16"/>
    <n v="233.16"/>
    <s v="Cash on Delivery"/>
  </r>
  <r>
    <d v="2022-02-27T00:00:00"/>
    <x v="1"/>
    <s v="Sneakers"/>
    <s v="Adidas"/>
    <s v="Unisex"/>
    <s v="Sportswear"/>
    <s v="USA"/>
    <x v="0"/>
    <n v="248.71"/>
    <n v="1243.55"/>
    <s v="Wallet"/>
  </r>
  <r>
    <d v="2022-05-26T00:00:00"/>
    <x v="5"/>
    <s v="Hoodie"/>
    <s v="Nike"/>
    <s v="Men"/>
    <s v="Casual"/>
    <s v="Australia"/>
    <x v="0"/>
    <n v="157.19999999999999"/>
    <n v="786"/>
    <s v="Wallet"/>
  </r>
  <r>
    <d v="2022-01-29T00:00:00"/>
    <x v="1"/>
    <s v="Sneakers"/>
    <s v="Adidas"/>
    <s v="Men"/>
    <s v="Limited Edition"/>
    <s v="Australia"/>
    <x v="2"/>
    <n v="113.75"/>
    <n v="455"/>
    <s v="Wallet"/>
  </r>
  <r>
    <d v="2022-04-14T00:00:00"/>
    <x v="1"/>
    <s v="Sneakers"/>
    <s v="Adidas"/>
    <s v="Women"/>
    <s v="Streetwear"/>
    <s v="Germany"/>
    <x v="1"/>
    <n v="109.66"/>
    <n v="109.66"/>
    <s v="Cash on Delivery"/>
  </r>
  <r>
    <d v="2022-06-06T00:00:00"/>
    <x v="9"/>
    <s v="Joggers"/>
    <s v="Puma"/>
    <s v="Women"/>
    <s v="Casual"/>
    <s v="India"/>
    <x v="1"/>
    <n v="81.569999999999993"/>
    <n v="81.569999999999993"/>
    <s v="UPI"/>
  </r>
  <r>
    <d v="2022-02-08T00:00:00"/>
    <x v="0"/>
    <s v="T-shirt"/>
    <s v="Essentials"/>
    <s v="Men"/>
    <s v="Casual"/>
    <s v="Canada"/>
    <x v="3"/>
    <n v="247.2"/>
    <n v="494.4"/>
    <s v="UPI"/>
  </r>
  <r>
    <d v="2022-05-06T00:00:00"/>
    <x v="9"/>
    <s v="Joggers"/>
    <s v="Puma"/>
    <s v="Women"/>
    <s v="Sportswear"/>
    <s v="Japan"/>
    <x v="2"/>
    <n v="250.26"/>
    <n v="1001.04"/>
    <s v="Card"/>
  </r>
  <r>
    <d v="2022-01-06T00:00:00"/>
    <x v="4"/>
    <s v="Sneakers"/>
    <s v="Adidas"/>
    <s v="Unisex"/>
    <s v="Sportswear"/>
    <s v="Germany"/>
    <x v="1"/>
    <n v="137.19999999999999"/>
    <n v="137.19999999999999"/>
    <s v="Card"/>
  </r>
  <r>
    <d v="2022-03-18T00:00:00"/>
    <x v="4"/>
    <s v="Sneakers"/>
    <s v="Adidas"/>
    <s v="Women"/>
    <s v="Streetwear"/>
    <s v="Canada"/>
    <x v="4"/>
    <n v="164.06"/>
    <n v="492.18"/>
    <s v="UPI"/>
  </r>
  <r>
    <d v="2022-02-07T00:00:00"/>
    <x v="2"/>
    <s v="Hoodie"/>
    <s v="Off-White"/>
    <s v="Unisex"/>
    <s v="Streetwear"/>
    <s v="USA"/>
    <x v="2"/>
    <n v="198.45"/>
    <n v="793.8"/>
    <s v="Wallet"/>
  </r>
  <r>
    <d v="2022-06-05T00:00:00"/>
    <x v="9"/>
    <s v="Joggers"/>
    <s v="Puma"/>
    <s v="Unisex"/>
    <s v="Limited Edition"/>
    <s v="Germany"/>
    <x v="3"/>
    <n v="162.47999999999999"/>
    <n v="324.95999999999998"/>
    <s v="Cash on Delivery"/>
  </r>
  <r>
    <d v="2022-06-13T00:00:00"/>
    <x v="7"/>
    <s v="Hoodie"/>
    <s v="Supreme"/>
    <s v="Men"/>
    <s v="Casual"/>
    <s v="UK"/>
    <x v="2"/>
    <n v="243.48"/>
    <n v="973.92"/>
    <s v="Wallet"/>
  </r>
  <r>
    <d v="2022-08-10T00:00:00"/>
    <x v="8"/>
    <s v="Sneakers"/>
    <s v="Nike"/>
    <s v="Women"/>
    <s v="Limited Edition"/>
    <s v="UK"/>
    <x v="2"/>
    <n v="183.4"/>
    <n v="733.6"/>
    <s v="Card"/>
  </r>
  <r>
    <d v="2022-05-05T00:00:00"/>
    <x v="2"/>
    <s v="Hoodie"/>
    <s v="Off-White"/>
    <s v="Men"/>
    <s v="Streetwear"/>
    <s v="UK"/>
    <x v="1"/>
    <n v="271.44"/>
    <n v="271.44"/>
    <s v="Cash on Delivery"/>
  </r>
  <r>
    <d v="2022-03-01T00:00:00"/>
    <x v="2"/>
    <s v="Hoodie"/>
    <s v="Off-White"/>
    <s v="Unisex"/>
    <s v="Limited Edition"/>
    <s v="USA"/>
    <x v="3"/>
    <n v="135.47999999999999"/>
    <n v="270.95999999999998"/>
    <s v="Cash on Delivery"/>
  </r>
  <r>
    <d v="2022-01-21T00:00:00"/>
    <x v="0"/>
    <s v="T-shirt"/>
    <s v="Essentials"/>
    <s v="Men"/>
    <s v="Sportswear"/>
    <s v="Japan"/>
    <x v="0"/>
    <n v="148.46"/>
    <n v="742.3"/>
    <s v="Card"/>
  </r>
  <r>
    <d v="2022-07-10T00:00:00"/>
    <x v="3"/>
    <s v="Cap"/>
    <s v="New Era"/>
    <s v="Men"/>
    <s v="Casual"/>
    <s v="Canada"/>
    <x v="0"/>
    <n v="251.06"/>
    <n v="1255.3"/>
    <s v="UPI"/>
  </r>
  <r>
    <d v="2022-03-12T00:00:00"/>
    <x v="3"/>
    <s v="Cap"/>
    <s v="New Era"/>
    <s v="Unisex"/>
    <s v="Streetwear"/>
    <s v="Germany"/>
    <x v="3"/>
    <n v="195.41"/>
    <n v="390.82"/>
    <s v="Card"/>
  </r>
  <r>
    <d v="2022-01-22T00:00:00"/>
    <x v="1"/>
    <s v="Sneakers"/>
    <s v="Adidas"/>
    <s v="Unisex"/>
    <s v="Limited Edition"/>
    <s v="India"/>
    <x v="2"/>
    <n v="206.29"/>
    <n v="825.16"/>
    <s v="Wallet"/>
  </r>
  <r>
    <d v="2022-05-13T00:00:00"/>
    <x v="3"/>
    <s v="Cap"/>
    <s v="New Era"/>
    <s v="Women"/>
    <s v="Streetwear"/>
    <s v="Japan"/>
    <x v="2"/>
    <n v="146.09"/>
    <n v="584.36"/>
    <s v="Cash on Delivery"/>
  </r>
  <r>
    <d v="2022-05-26T00:00:00"/>
    <x v="1"/>
    <s v="Sneakers"/>
    <s v="Adidas"/>
    <s v="Women"/>
    <s v="Limited Edition"/>
    <s v="USA"/>
    <x v="1"/>
    <n v="284.3"/>
    <n v="284.3"/>
    <s v="Card"/>
  </r>
  <r>
    <d v="2022-01-14T00:00:00"/>
    <x v="9"/>
    <s v="Joggers"/>
    <s v="Puma"/>
    <s v="Unisex"/>
    <s v="Limited Edition"/>
    <s v="Australia"/>
    <x v="0"/>
    <n v="289.47000000000003"/>
    <n v="1447.35"/>
    <s v="Card"/>
  </r>
  <r>
    <d v="2022-03-10T00:00:00"/>
    <x v="5"/>
    <s v="Hoodie"/>
    <s v="Nike"/>
    <s v="Women"/>
    <s v="Sportswear"/>
    <s v="UK"/>
    <x v="3"/>
    <n v="218.25"/>
    <n v="436.5"/>
    <s v="Wallet"/>
  </r>
  <r>
    <d v="2022-07-08T00:00:00"/>
    <x v="6"/>
    <s v="Sneakers"/>
    <s v="Nike"/>
    <s v="Men"/>
    <s v="Streetwear"/>
    <s v="India"/>
    <x v="2"/>
    <n v="204.62"/>
    <n v="818.48"/>
    <s v="Wallet"/>
  </r>
  <r>
    <d v="2022-01-03T00:00:00"/>
    <x v="9"/>
    <s v="Joggers"/>
    <s v="Puma"/>
    <s v="Women"/>
    <s v="Limited Edition"/>
    <s v="Japan"/>
    <x v="3"/>
    <n v="267.42"/>
    <n v="534.84"/>
    <s v="Cash on Delivery"/>
  </r>
  <r>
    <d v="2022-04-02T00:00:00"/>
    <x v="7"/>
    <s v="Hoodie"/>
    <s v="Supreme"/>
    <s v="Men"/>
    <s v="Casual"/>
    <s v="Germany"/>
    <x v="1"/>
    <n v="144.59"/>
    <n v="144.59"/>
    <s v="UPI"/>
  </r>
  <r>
    <d v="2022-08-17T00:00:00"/>
    <x v="1"/>
    <s v="Sneakers"/>
    <s v="Adidas"/>
    <s v="Men"/>
    <s v="Sportswear"/>
    <s v="Canada"/>
    <x v="3"/>
    <n v="80.47"/>
    <n v="160.94"/>
    <s v="Card"/>
  </r>
  <r>
    <d v="2022-04-26T00:00:00"/>
    <x v="5"/>
    <s v="Hoodie"/>
    <s v="Nike"/>
    <s v="Men"/>
    <s v="Casual"/>
    <s v="Canada"/>
    <x v="3"/>
    <n v="98.17"/>
    <n v="196.34"/>
    <s v="Card"/>
  </r>
  <r>
    <d v="2022-06-15T00:00:00"/>
    <x v="2"/>
    <s v="Hoodie"/>
    <s v="Off-White"/>
    <s v="Men"/>
    <s v="Sportswear"/>
    <s v="UK"/>
    <x v="3"/>
    <n v="63.76"/>
    <n v="127.52"/>
    <s v="Cash on Delivery"/>
  </r>
  <r>
    <d v="2022-04-06T00:00:00"/>
    <x v="7"/>
    <s v="Hoodie"/>
    <s v="Supreme"/>
    <s v="Men"/>
    <s v="Casual"/>
    <s v="UK"/>
    <x v="3"/>
    <n v="157.12"/>
    <n v="314.24"/>
    <s v="Card"/>
  </r>
  <r>
    <d v="2022-04-07T00:00:00"/>
    <x v="7"/>
    <s v="Hoodie"/>
    <s v="Supreme"/>
    <s v="Women"/>
    <s v="Casual"/>
    <s v="Germany"/>
    <x v="0"/>
    <n v="293.20999999999998"/>
    <n v="1466.05"/>
    <s v="Cash on Delivery"/>
  </r>
  <r>
    <d v="2022-03-30T00:00:00"/>
    <x v="2"/>
    <s v="Hoodie"/>
    <s v="Off-White"/>
    <s v="Men"/>
    <s v="Streetwear"/>
    <s v="UK"/>
    <x v="3"/>
    <n v="142.25"/>
    <n v="284.5"/>
    <s v="UPI"/>
  </r>
  <r>
    <d v="2022-07-02T00:00:00"/>
    <x v="2"/>
    <s v="Hoodie"/>
    <s v="Off-White"/>
    <s v="Men"/>
    <s v="Sportswear"/>
    <s v="Japan"/>
    <x v="1"/>
    <n v="86.17"/>
    <n v="86.17"/>
    <s v="Wallet"/>
  </r>
  <r>
    <d v="2022-07-09T00:00:00"/>
    <x v="5"/>
    <s v="Hoodie"/>
    <s v="Nike"/>
    <s v="Women"/>
    <s v="Limited Edition"/>
    <s v="Canada"/>
    <x v="4"/>
    <n v="172.37"/>
    <n v="517.11"/>
    <s v="Card"/>
  </r>
  <r>
    <d v="2022-02-05T00:00:00"/>
    <x v="2"/>
    <s v="Hoodie"/>
    <s v="Off-White"/>
    <s v="Men"/>
    <s v="Sportswear"/>
    <s v="India"/>
    <x v="4"/>
    <n v="236.05"/>
    <n v="708.15"/>
    <s v="UPI"/>
  </r>
  <r>
    <d v="2022-07-11T00:00:00"/>
    <x v="5"/>
    <s v="Hoodie"/>
    <s v="Nike"/>
    <s v="Men"/>
    <s v="Streetwear"/>
    <s v="UK"/>
    <x v="4"/>
    <n v="256.72000000000003"/>
    <n v="770.16"/>
    <s v="UPI"/>
  </r>
  <r>
    <d v="2022-06-02T00:00:00"/>
    <x v="8"/>
    <s v="Sneakers"/>
    <s v="Nike"/>
    <s v="Men"/>
    <s v="Limited Edition"/>
    <s v="UK"/>
    <x v="2"/>
    <n v="205.64"/>
    <n v="822.56"/>
    <s v="Wallet"/>
  </r>
  <r>
    <d v="2022-05-29T00:00:00"/>
    <x v="2"/>
    <s v="Hoodie"/>
    <s v="Off-White"/>
    <s v="Men"/>
    <s v="Streetwear"/>
    <s v="Germany"/>
    <x v="2"/>
    <n v="68.180000000000007"/>
    <n v="272.72000000000003"/>
    <s v="Cash on Delivery"/>
  </r>
  <r>
    <d v="2022-03-21T00:00:00"/>
    <x v="3"/>
    <s v="Cap"/>
    <s v="New Era"/>
    <s v="Men"/>
    <s v="Limited Edition"/>
    <s v="Australia"/>
    <x v="2"/>
    <n v="68.97"/>
    <n v="275.88"/>
    <s v="Card"/>
  </r>
  <r>
    <d v="2022-06-06T00:00:00"/>
    <x v="5"/>
    <s v="Hoodie"/>
    <s v="Nike"/>
    <s v="Unisex"/>
    <s v="Limited Edition"/>
    <s v="Germany"/>
    <x v="0"/>
    <n v="123.23"/>
    <n v="616.15"/>
    <s v="Wallet"/>
  </r>
  <r>
    <d v="2022-08-24T00:00:00"/>
    <x v="8"/>
    <s v="Sneakers"/>
    <s v="Nike"/>
    <s v="Women"/>
    <s v="Streetwear"/>
    <s v="Australia"/>
    <x v="0"/>
    <n v="273"/>
    <n v="1365"/>
    <s v="Card"/>
  </r>
  <r>
    <d v="2022-02-10T00:00:00"/>
    <x v="1"/>
    <s v="Sneakers"/>
    <s v="Adidas"/>
    <s v="Women"/>
    <s v="Casual"/>
    <s v="Canada"/>
    <x v="4"/>
    <n v="225.84"/>
    <n v="677.52"/>
    <s v="Card"/>
  </r>
  <r>
    <d v="2022-03-01T00:00:00"/>
    <x v="6"/>
    <s v="Sneakers"/>
    <s v="Nike"/>
    <s v="Women"/>
    <s v="Sportswear"/>
    <s v="Canada"/>
    <x v="4"/>
    <n v="235.36"/>
    <n v="706.08"/>
    <s v="Wallet"/>
  </r>
  <r>
    <d v="2022-03-17T00:00:00"/>
    <x v="1"/>
    <s v="Sneakers"/>
    <s v="Adidas"/>
    <s v="Women"/>
    <s v="Sportswear"/>
    <s v="India"/>
    <x v="0"/>
    <n v="189.94"/>
    <n v="949.7"/>
    <s v="Cash on Delivery"/>
  </r>
  <r>
    <d v="2022-01-03T00:00:00"/>
    <x v="2"/>
    <s v="Hoodie"/>
    <s v="Off-White"/>
    <s v="Women"/>
    <s v="Casual"/>
    <s v="USA"/>
    <x v="4"/>
    <n v="110.2"/>
    <n v="330.6"/>
    <s v="Card"/>
  </r>
  <r>
    <d v="2022-06-29T00:00:00"/>
    <x v="2"/>
    <s v="Hoodie"/>
    <s v="Off-White"/>
    <s v="Unisex"/>
    <s v="Sportswear"/>
    <s v="Germany"/>
    <x v="3"/>
    <n v="54.76"/>
    <n v="109.52"/>
    <s v="Wallet"/>
  </r>
  <r>
    <d v="2022-06-02T00:00:00"/>
    <x v="7"/>
    <s v="Hoodie"/>
    <s v="Supreme"/>
    <s v="Women"/>
    <s v="Sportswear"/>
    <s v="Australia"/>
    <x v="1"/>
    <n v="296.56"/>
    <n v="296.56"/>
    <s v="UPI"/>
  </r>
  <r>
    <d v="2022-06-04T00:00:00"/>
    <x v="1"/>
    <s v="Sneakers"/>
    <s v="Adidas"/>
    <s v="Women"/>
    <s v="Sportswear"/>
    <s v="Australia"/>
    <x v="1"/>
    <n v="296.51"/>
    <n v="296.51"/>
    <s v="Wallet"/>
  </r>
  <r>
    <d v="2022-04-03T00:00:00"/>
    <x v="9"/>
    <s v="Joggers"/>
    <s v="Puma"/>
    <s v="Men"/>
    <s v="Casual"/>
    <s v="India"/>
    <x v="1"/>
    <n v="89.5"/>
    <n v="89.5"/>
    <s v="UPI"/>
  </r>
  <r>
    <d v="2022-03-16T00:00:00"/>
    <x v="1"/>
    <s v="Sneakers"/>
    <s v="Adidas"/>
    <s v="Unisex"/>
    <s v="Casual"/>
    <s v="UK"/>
    <x v="4"/>
    <n v="280.64"/>
    <n v="841.92"/>
    <s v="Card"/>
  </r>
  <r>
    <d v="2022-02-15T00:00:00"/>
    <x v="5"/>
    <s v="Hoodie"/>
    <s v="Nike"/>
    <s v="Women"/>
    <s v="Streetwear"/>
    <s v="Canada"/>
    <x v="0"/>
    <n v="234.28"/>
    <n v="1171.4000000000001"/>
    <s v="Cash on Delivery"/>
  </r>
  <r>
    <d v="2022-01-01T00:00:00"/>
    <x v="8"/>
    <s v="Sneakers"/>
    <s v="Nike"/>
    <s v="Women"/>
    <s v="Streetwear"/>
    <s v="Japan"/>
    <x v="3"/>
    <n v="294.89"/>
    <n v="589.78"/>
    <s v="Wallet"/>
  </r>
  <r>
    <d v="2022-03-10T00:00:00"/>
    <x v="6"/>
    <s v="Sneakers"/>
    <s v="Nike"/>
    <s v="Women"/>
    <s v="Sportswear"/>
    <s v="USA"/>
    <x v="1"/>
    <n v="208.24"/>
    <n v="208.24"/>
    <s v="Cash on Delivery"/>
  </r>
  <r>
    <d v="2022-04-08T00:00:00"/>
    <x v="6"/>
    <s v="Sneakers"/>
    <s v="Nike"/>
    <s v="Men"/>
    <s v="Casual"/>
    <s v="India"/>
    <x v="0"/>
    <n v="94.25"/>
    <n v="471.25"/>
    <s v="Wallet"/>
  </r>
  <r>
    <d v="2022-08-03T00:00:00"/>
    <x v="5"/>
    <s v="Hoodie"/>
    <s v="Nike"/>
    <s v="Women"/>
    <s v="Casual"/>
    <s v="Germany"/>
    <x v="0"/>
    <n v="259"/>
    <n v="1295"/>
    <s v="Card"/>
  </r>
  <r>
    <d v="2022-05-05T00:00:00"/>
    <x v="9"/>
    <s v="Joggers"/>
    <s v="Puma"/>
    <s v="Women"/>
    <s v="Casual"/>
    <s v="Germany"/>
    <x v="2"/>
    <n v="299.73"/>
    <n v="1198.92"/>
    <s v="Cash on Delivery"/>
  </r>
  <r>
    <d v="2022-05-19T00:00:00"/>
    <x v="4"/>
    <s v="Sneakers"/>
    <s v="Adidas"/>
    <s v="Men"/>
    <s v="Casual"/>
    <s v="Canada"/>
    <x v="0"/>
    <n v="71.260000000000005"/>
    <n v="356.3"/>
    <s v="Cash on Delivery"/>
  </r>
  <r>
    <d v="2022-07-17T00:00:00"/>
    <x v="8"/>
    <s v="Sneakers"/>
    <s v="Nike"/>
    <s v="Women"/>
    <s v="Limited Edition"/>
    <s v="Japan"/>
    <x v="0"/>
    <n v="270.14"/>
    <n v="1350.7"/>
    <s v="Wallet"/>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6">
  <r>
    <x v="0"/>
    <s v="Fear of God Essentials Tee"/>
    <s v="T-shirt"/>
    <s v="Essentials"/>
    <s v="Unisex"/>
    <x v="0"/>
    <s v="Japan"/>
    <n v="5"/>
    <n v="141.82"/>
    <n v="709.1"/>
    <s v="Card"/>
  </r>
  <r>
    <x v="1"/>
    <s v="Yeezy Boost 350"/>
    <s v="Sneakers"/>
    <s v="Adidas"/>
    <s v="Unisex"/>
    <x v="1"/>
    <s v="Australia"/>
    <n v="1"/>
    <n v="70.69"/>
    <n v="70.69"/>
    <s v="UPI"/>
  </r>
  <r>
    <x v="2"/>
    <s v="Off-White Hoodie"/>
    <s v="Hoodie"/>
    <s v="Off-White"/>
    <s v="Women"/>
    <x v="2"/>
    <s v="UK"/>
    <n v="1"/>
    <n v="89.14"/>
    <n v="89.14"/>
    <s v="Cash on Delivery"/>
  </r>
  <r>
    <x v="3"/>
    <s v="New Era Cap"/>
    <s v="Cap"/>
    <s v="New Era"/>
    <s v="Unisex"/>
    <x v="0"/>
    <s v="India"/>
    <n v="4"/>
    <n v="135.07"/>
    <n v="540.28"/>
    <s v="Cash on Delivery"/>
  </r>
  <r>
    <x v="4"/>
    <s v="Adidas Ultraboost"/>
    <s v="Sneakers"/>
    <s v="Adidas"/>
    <s v="Men"/>
    <x v="3"/>
    <s v="Germany"/>
    <n v="2"/>
    <n v="223"/>
    <n v="446"/>
    <s v="Cash on Delivery"/>
  </r>
  <r>
    <x v="5"/>
    <s v="Fear of God Essentials Tee"/>
    <s v="T-shirt"/>
    <s v="Essentials"/>
    <s v="Unisex"/>
    <x v="0"/>
    <s v="UK"/>
    <n v="4"/>
    <n v="238.52"/>
    <n v="954.08"/>
    <s v="Cash on Delivery"/>
  </r>
  <r>
    <x v="6"/>
    <s v="Nike Tech Fleece"/>
    <s v="Hoodie"/>
    <s v="Nike"/>
    <s v="Women"/>
    <x v="2"/>
    <s v="Australia"/>
    <n v="5"/>
    <n v="120.55"/>
    <n v="602.75"/>
    <s v="UPI"/>
  </r>
  <r>
    <x v="7"/>
    <s v="New Era Cap"/>
    <s v="Cap"/>
    <s v="New Era"/>
    <s v="Women"/>
    <x v="3"/>
    <s v="Germany"/>
    <n v="4"/>
    <n v="212.66"/>
    <n v="850.64"/>
    <s v="Wallet"/>
  </r>
  <r>
    <x v="8"/>
    <s v="Off-White Hoodie"/>
    <s v="Hoodie"/>
    <s v="Off-White"/>
    <s v="Women"/>
    <x v="3"/>
    <s v="Canada"/>
    <n v="5"/>
    <n v="256.22000000000003"/>
    <n v="1281.0999999999999"/>
    <s v="Wallet"/>
  </r>
  <r>
    <x v="9"/>
    <s v="Jordan 1 High"/>
    <s v="Sneakers"/>
    <s v="Nike"/>
    <s v="Unisex"/>
    <x v="2"/>
    <s v="Canada"/>
    <n v="4"/>
    <n v="124.4"/>
    <n v="497.6"/>
    <s v="Wallet"/>
  </r>
  <r>
    <x v="10"/>
    <s v="Jordan 1 High"/>
    <s v="Sneakers"/>
    <s v="Nike"/>
    <s v="Women"/>
    <x v="2"/>
    <s v="Germany"/>
    <n v="2"/>
    <n v="80.33"/>
    <n v="160.66"/>
    <s v="Card"/>
  </r>
  <r>
    <x v="11"/>
    <s v="Supreme Hoodie"/>
    <s v="Hoodie"/>
    <s v="Supreme"/>
    <s v="Unisex"/>
    <x v="1"/>
    <s v="Canada"/>
    <n v="5"/>
    <n v="58.65"/>
    <n v="293.25"/>
    <s v="UPI"/>
  </r>
  <r>
    <x v="12"/>
    <s v="Nike Dunk Low"/>
    <s v="Sneakers"/>
    <s v="Nike"/>
    <s v="Women"/>
    <x v="3"/>
    <s v="USA"/>
    <n v="5"/>
    <n v="183.55"/>
    <n v="917.75"/>
    <s v="Cash on Delivery"/>
  </r>
  <r>
    <x v="13"/>
    <s v="Puma Joggers"/>
    <s v="Joggers"/>
    <s v="Puma"/>
    <s v="Unisex"/>
    <x v="3"/>
    <s v="Canada"/>
    <n v="2"/>
    <n v="210.77"/>
    <n v="421.54"/>
    <s v="Card"/>
  </r>
  <r>
    <x v="14"/>
    <s v="Yeezy Boost 350"/>
    <s v="Sneakers"/>
    <s v="Adidas"/>
    <s v="Unisex"/>
    <x v="2"/>
    <s v="Germany"/>
    <n v="4"/>
    <n v="218.82"/>
    <n v="875.28"/>
    <s v="Wallet"/>
  </r>
  <r>
    <x v="15"/>
    <s v="Fear of God Essentials Tee"/>
    <s v="T-shirt"/>
    <s v="Essentials"/>
    <s v="Women"/>
    <x v="1"/>
    <s v="UK"/>
    <n v="5"/>
    <n v="133.74"/>
    <n v="668.7"/>
    <s v="Card"/>
  </r>
  <r>
    <x v="16"/>
    <s v="Adidas Ultraboost"/>
    <s v="Sneakers"/>
    <s v="Adidas"/>
    <s v="Women"/>
    <x v="2"/>
    <s v="UK"/>
    <n v="1"/>
    <n v="208.47"/>
    <n v="208.47"/>
    <s v="Cash on Delivery"/>
  </r>
  <r>
    <x v="17"/>
    <s v="Off-White Hoodie"/>
    <s v="Hoodie"/>
    <s v="Off-White"/>
    <s v="Unisex"/>
    <x v="0"/>
    <s v="Canada"/>
    <n v="1"/>
    <n v="180.42"/>
    <n v="180.42"/>
    <s v="Cash on Delivery"/>
  </r>
  <r>
    <x v="18"/>
    <s v="Puma Joggers"/>
    <s v="Joggers"/>
    <s v="Puma"/>
    <s v="Men"/>
    <x v="2"/>
    <s v="Japan"/>
    <n v="3"/>
    <n v="127.36"/>
    <n v="382.08"/>
    <s v="Card"/>
  </r>
  <r>
    <x v="19"/>
    <s v="Supreme Hoodie"/>
    <s v="Hoodie"/>
    <s v="Supreme"/>
    <s v="Men"/>
    <x v="3"/>
    <s v="Japan"/>
    <n v="3"/>
    <n v="149.51"/>
    <n v="448.53"/>
    <s v="Cash on Delivery"/>
  </r>
  <r>
    <x v="20"/>
    <s v="New Era Cap"/>
    <s v="Cap"/>
    <s v="New Era"/>
    <s v="Men"/>
    <x v="2"/>
    <s v="India"/>
    <n v="3"/>
    <n v="136.36000000000001"/>
    <n v="409.08"/>
    <s v="Card"/>
  </r>
  <r>
    <x v="12"/>
    <s v="Nike Tech Fleece"/>
    <s v="Hoodie"/>
    <s v="Nike"/>
    <s v="Unisex"/>
    <x v="2"/>
    <s v="UK"/>
    <n v="5"/>
    <n v="162.38"/>
    <n v="811.9"/>
    <s v="Card"/>
  </r>
  <r>
    <x v="0"/>
    <s v="Puma Joggers"/>
    <s v="Joggers"/>
    <s v="Puma"/>
    <s v="Women"/>
    <x v="1"/>
    <s v="Australia"/>
    <n v="2"/>
    <n v="259.66000000000003"/>
    <n v="519.32000000000005"/>
    <s v="Wallet"/>
  </r>
  <r>
    <x v="21"/>
    <s v="Off-White Hoodie"/>
    <s v="Hoodie"/>
    <s v="Off-White"/>
    <s v="Men"/>
    <x v="3"/>
    <s v="Canada"/>
    <n v="1"/>
    <n v="180.39"/>
    <n v="180.39"/>
    <s v="Card"/>
  </r>
  <r>
    <x v="22"/>
    <s v="Off-White Hoodie"/>
    <s v="Hoodie"/>
    <s v="Off-White"/>
    <s v="Men"/>
    <x v="0"/>
    <s v="Canada"/>
    <n v="3"/>
    <n v="80.349999999999994"/>
    <n v="241.05"/>
    <s v="Card"/>
  </r>
  <r>
    <x v="23"/>
    <s v="Fear of God Essentials Tee"/>
    <s v="T-shirt"/>
    <s v="Essentials"/>
    <s v="Men"/>
    <x v="3"/>
    <s v="Japan"/>
    <n v="2"/>
    <n v="222.08"/>
    <n v="444.16"/>
    <s v="UPI"/>
  </r>
  <r>
    <x v="24"/>
    <s v="Puma Joggers"/>
    <s v="Joggers"/>
    <s v="Puma"/>
    <s v="Women"/>
    <x v="1"/>
    <s v="Germany"/>
    <n v="1"/>
    <n v="287.44"/>
    <n v="287.44"/>
    <s v="UPI"/>
  </r>
  <r>
    <x v="25"/>
    <s v="Fear of God Essentials Tee"/>
    <s v="T-shirt"/>
    <s v="Essentials"/>
    <s v="Unisex"/>
    <x v="0"/>
    <s v="UK"/>
    <n v="5"/>
    <n v="137.9"/>
    <n v="689.5"/>
    <s v="UPI"/>
  </r>
  <r>
    <x v="26"/>
    <s v="Off-White Hoodie"/>
    <s v="Hoodie"/>
    <s v="Off-White"/>
    <s v="Unisex"/>
    <x v="3"/>
    <s v="Canada"/>
    <n v="3"/>
    <n v="214.68"/>
    <n v="644.04"/>
    <s v="UPI"/>
  </r>
  <r>
    <x v="27"/>
    <s v="Nike Tech Fleece"/>
    <s v="Hoodie"/>
    <s v="Nike"/>
    <s v="Women"/>
    <x v="0"/>
    <s v="USA"/>
    <n v="2"/>
    <n v="269.88"/>
    <n v="539.76"/>
    <s v="Cash on Delivery"/>
  </r>
  <r>
    <x v="28"/>
    <s v="Jordan 1 High"/>
    <s v="Sneakers"/>
    <s v="Nike"/>
    <s v="Unisex"/>
    <x v="1"/>
    <s v="India"/>
    <n v="1"/>
    <n v="96.97"/>
    <n v="96.97"/>
    <s v="Wallet"/>
  </r>
  <r>
    <x v="29"/>
    <s v="New Era Cap"/>
    <s v="Cap"/>
    <s v="New Era"/>
    <s v="Women"/>
    <x v="0"/>
    <s v="Australia"/>
    <n v="4"/>
    <n v="270.55"/>
    <n v="1082.2"/>
    <s v="Cash on Delivery"/>
  </r>
  <r>
    <x v="30"/>
    <s v="Adidas Ultraboost"/>
    <s v="Sneakers"/>
    <s v="Adidas"/>
    <s v="Unisex"/>
    <x v="1"/>
    <s v="Australia"/>
    <n v="3"/>
    <n v="261.31"/>
    <n v="783.93"/>
    <s v="Card"/>
  </r>
  <r>
    <x v="31"/>
    <s v="New Era Cap"/>
    <s v="Cap"/>
    <s v="New Era"/>
    <s v="Unisex"/>
    <x v="1"/>
    <s v="USA"/>
    <n v="4"/>
    <n v="56.4"/>
    <n v="225.6"/>
    <s v="Card"/>
  </r>
  <r>
    <x v="32"/>
    <s v="Yeezy Boost 350"/>
    <s v="Sneakers"/>
    <s v="Adidas"/>
    <s v="Men"/>
    <x v="1"/>
    <s v="Germany"/>
    <n v="3"/>
    <n v="239.55"/>
    <n v="718.65"/>
    <s v="Card"/>
  </r>
  <r>
    <x v="33"/>
    <s v="Jordan 1 High"/>
    <s v="Sneakers"/>
    <s v="Nike"/>
    <s v="Unisex"/>
    <x v="0"/>
    <s v="Germany"/>
    <n v="2"/>
    <n v="94.62"/>
    <n v="189.24"/>
    <s v="Cash on Delivery"/>
  </r>
  <r>
    <x v="3"/>
    <s v="Fear of God Essentials Tee"/>
    <s v="T-shirt"/>
    <s v="Essentials"/>
    <s v="Unisex"/>
    <x v="0"/>
    <s v="Germany"/>
    <n v="4"/>
    <n v="57.22"/>
    <n v="228.88"/>
    <s v="Cash on Delivery"/>
  </r>
  <r>
    <x v="34"/>
    <s v="Nike Dunk Low"/>
    <s v="Sneakers"/>
    <s v="Nike"/>
    <s v="Men"/>
    <x v="0"/>
    <s v="Germany"/>
    <n v="1"/>
    <n v="170.86"/>
    <n v="170.86"/>
    <s v="Wallet"/>
  </r>
  <r>
    <x v="35"/>
    <s v="Adidas Ultraboost"/>
    <s v="Sneakers"/>
    <s v="Adidas"/>
    <s v="Men"/>
    <x v="3"/>
    <s v="Australia"/>
    <n v="3"/>
    <n v="105.79"/>
    <n v="317.37"/>
    <s v="Wallet"/>
  </r>
  <r>
    <x v="36"/>
    <s v="Adidas Ultraboost"/>
    <s v="Sneakers"/>
    <s v="Adidas"/>
    <s v="Men"/>
    <x v="3"/>
    <s v="Australia"/>
    <n v="5"/>
    <n v="112.95"/>
    <n v="564.75"/>
    <s v="Card"/>
  </r>
  <r>
    <x v="33"/>
    <s v="Off-White Hoodie"/>
    <s v="Hoodie"/>
    <s v="Off-White"/>
    <s v="Unisex"/>
    <x v="0"/>
    <s v="USA"/>
    <n v="5"/>
    <n v="55.8"/>
    <n v="279"/>
    <s v="Card"/>
  </r>
  <r>
    <x v="37"/>
    <s v="Supreme Hoodie"/>
    <s v="Hoodie"/>
    <s v="Supreme"/>
    <s v="Men"/>
    <x v="1"/>
    <s v="India"/>
    <n v="1"/>
    <n v="50.1"/>
    <n v="50.1"/>
    <s v="Card"/>
  </r>
  <r>
    <x v="38"/>
    <s v="Yeezy Boost 350"/>
    <s v="Sneakers"/>
    <s v="Adidas"/>
    <s v="Men"/>
    <x v="0"/>
    <s v="USA"/>
    <n v="1"/>
    <n v="56.49"/>
    <n v="56.49"/>
    <s v="UPI"/>
  </r>
  <r>
    <x v="39"/>
    <s v="Off-White Hoodie"/>
    <s v="Hoodie"/>
    <s v="Off-White"/>
    <s v="Men"/>
    <x v="1"/>
    <s v="Australia"/>
    <n v="5"/>
    <n v="100.65"/>
    <n v="503.25"/>
    <s v="Wallet"/>
  </r>
  <r>
    <x v="12"/>
    <s v="Adidas Ultraboost"/>
    <s v="Sneakers"/>
    <s v="Adidas"/>
    <s v="Men"/>
    <x v="2"/>
    <s v="Japan"/>
    <n v="2"/>
    <n v="160.44"/>
    <n v="320.88"/>
    <s v="UPI"/>
  </r>
  <r>
    <x v="40"/>
    <s v="Puma Joggers"/>
    <s v="Joggers"/>
    <s v="Puma"/>
    <s v="Women"/>
    <x v="3"/>
    <s v="Japan"/>
    <n v="4"/>
    <n v="242.44"/>
    <n v="969.76"/>
    <s v="Cash on Delivery"/>
  </r>
  <r>
    <x v="41"/>
    <s v="Yeezy Boost 350"/>
    <s v="Sneakers"/>
    <s v="Adidas"/>
    <s v="Unisex"/>
    <x v="3"/>
    <s v="Australia"/>
    <n v="2"/>
    <n v="209.81"/>
    <n v="419.62"/>
    <s v="Card"/>
  </r>
  <r>
    <x v="42"/>
    <s v="Adidas Ultraboost"/>
    <s v="Sneakers"/>
    <s v="Adidas"/>
    <s v="Men"/>
    <x v="2"/>
    <s v="India"/>
    <n v="4"/>
    <n v="261.95999999999998"/>
    <n v="1047.8399999999999"/>
    <s v="Cash on Delivery"/>
  </r>
  <r>
    <x v="43"/>
    <s v="Supreme Hoodie"/>
    <s v="Hoodie"/>
    <s v="Supreme"/>
    <s v="Men"/>
    <x v="2"/>
    <s v="USA"/>
    <n v="3"/>
    <n v="242.71"/>
    <n v="728.13"/>
    <s v="Cash on Delivery"/>
  </r>
  <r>
    <x v="44"/>
    <s v="Jordan 1 High"/>
    <s v="Sneakers"/>
    <s v="Nike"/>
    <s v="Women"/>
    <x v="0"/>
    <s v="USA"/>
    <n v="5"/>
    <n v="299.3"/>
    <n v="1496.5"/>
    <s v="Card"/>
  </r>
  <r>
    <x v="45"/>
    <s v="Yeezy Boost 350"/>
    <s v="Sneakers"/>
    <s v="Adidas"/>
    <s v="Unisex"/>
    <x v="3"/>
    <s v="USA"/>
    <n v="4"/>
    <n v="162.85"/>
    <n v="651.4"/>
    <s v="UPI"/>
  </r>
  <r>
    <x v="46"/>
    <s v="Puma Joggers"/>
    <s v="Joggers"/>
    <s v="Puma"/>
    <s v="Unisex"/>
    <x v="3"/>
    <s v="Japan"/>
    <n v="5"/>
    <n v="215.63"/>
    <n v="1078.1500000000001"/>
    <s v="Card"/>
  </r>
  <r>
    <x v="47"/>
    <s v="Jordan 1 High"/>
    <s v="Sneakers"/>
    <s v="Nike"/>
    <s v="Women"/>
    <x v="0"/>
    <s v="Germany"/>
    <n v="1"/>
    <n v="54.99"/>
    <n v="54.99"/>
    <s v="Cash on Delivery"/>
  </r>
  <r>
    <x v="48"/>
    <s v="Yeezy Boost 350"/>
    <s v="Sneakers"/>
    <s v="Adidas"/>
    <s v="Men"/>
    <x v="1"/>
    <s v="UK"/>
    <n v="4"/>
    <n v="185.7"/>
    <n v="742.8"/>
    <s v="Wallet"/>
  </r>
  <r>
    <x v="49"/>
    <s v="Nike Tech Fleece"/>
    <s v="Hoodie"/>
    <s v="Nike"/>
    <s v="Unisex"/>
    <x v="3"/>
    <s v="Canada"/>
    <n v="2"/>
    <n v="153.75"/>
    <n v="307.5"/>
    <s v="Cash on Delivery"/>
  </r>
  <r>
    <x v="24"/>
    <s v="Supreme Hoodie"/>
    <s v="Hoodie"/>
    <s v="Supreme"/>
    <s v="Men"/>
    <x v="0"/>
    <s v="Australia"/>
    <n v="5"/>
    <n v="235.5"/>
    <n v="1177.5"/>
    <s v="Wallet"/>
  </r>
  <r>
    <x v="50"/>
    <s v="Supreme Hoodie"/>
    <s v="Hoodie"/>
    <s v="Supreme"/>
    <s v="Women"/>
    <x v="2"/>
    <s v="Canada"/>
    <n v="3"/>
    <n v="239.76"/>
    <n v="719.28"/>
    <s v="Card"/>
  </r>
  <r>
    <x v="51"/>
    <s v="Off-White Hoodie"/>
    <s v="Hoodie"/>
    <s v="Off-White"/>
    <s v="Men"/>
    <x v="2"/>
    <s v="USA"/>
    <n v="4"/>
    <n v="213.82"/>
    <n v="855.28"/>
    <s v="Card"/>
  </r>
  <r>
    <x v="52"/>
    <s v="Yeezy Boost 350"/>
    <s v="Sneakers"/>
    <s v="Adidas"/>
    <s v="Women"/>
    <x v="2"/>
    <s v="Japan"/>
    <n v="1"/>
    <n v="67.2"/>
    <n v="67.2"/>
    <s v="Wallet"/>
  </r>
  <r>
    <x v="53"/>
    <s v="New Era Cap"/>
    <s v="Cap"/>
    <s v="New Era"/>
    <s v="Men"/>
    <x v="1"/>
    <s v="Japan"/>
    <n v="4"/>
    <n v="207.05"/>
    <n v="828.2"/>
    <s v="UPI"/>
  </r>
  <r>
    <x v="37"/>
    <s v="Nike Tech Fleece"/>
    <s v="Hoodie"/>
    <s v="Nike"/>
    <s v="Unisex"/>
    <x v="1"/>
    <s v="Japan"/>
    <n v="3"/>
    <n v="257.92"/>
    <n v="773.76"/>
    <s v="Wallet"/>
  </r>
  <r>
    <x v="10"/>
    <s v="Yeezy Boost 350"/>
    <s v="Sneakers"/>
    <s v="Adidas"/>
    <s v="Women"/>
    <x v="0"/>
    <s v="Canada"/>
    <n v="1"/>
    <n v="122.32"/>
    <n v="122.32"/>
    <s v="Cash on Delivery"/>
  </r>
  <r>
    <x v="36"/>
    <s v="Fear of God Essentials Tee"/>
    <s v="T-shirt"/>
    <s v="Essentials"/>
    <s v="Unisex"/>
    <x v="2"/>
    <s v="USA"/>
    <n v="1"/>
    <n v="203.63"/>
    <n v="203.63"/>
    <s v="Cash on Delivery"/>
  </r>
  <r>
    <x v="17"/>
    <s v="Jordan 1 High"/>
    <s v="Sneakers"/>
    <s v="Nike"/>
    <s v="Men"/>
    <x v="1"/>
    <s v="Canada"/>
    <n v="3"/>
    <n v="278.14999999999998"/>
    <n v="834.45"/>
    <s v="Wallet"/>
  </r>
  <r>
    <x v="54"/>
    <s v="Nike Tech Fleece"/>
    <s v="Hoodie"/>
    <s v="Nike"/>
    <s v="Men"/>
    <x v="1"/>
    <s v="Germany"/>
    <n v="3"/>
    <n v="129.78"/>
    <n v="389.34"/>
    <s v="Card"/>
  </r>
  <r>
    <x v="55"/>
    <s v="Jordan 1 High"/>
    <s v="Sneakers"/>
    <s v="Nike"/>
    <s v="Men"/>
    <x v="2"/>
    <s v="Australia"/>
    <n v="5"/>
    <n v="199.42"/>
    <n v="997.1"/>
    <s v="Cash on Delivery"/>
  </r>
  <r>
    <x v="56"/>
    <s v="Adidas Ultraboost"/>
    <s v="Sneakers"/>
    <s v="Adidas"/>
    <s v="Men"/>
    <x v="0"/>
    <s v="Japan"/>
    <n v="5"/>
    <n v="98.23"/>
    <n v="491.15"/>
    <s v="Cash on Delivery"/>
  </r>
  <r>
    <x v="41"/>
    <s v="Nike Dunk Low"/>
    <s v="Sneakers"/>
    <s v="Nike"/>
    <s v="Unisex"/>
    <x v="3"/>
    <s v="Australia"/>
    <n v="1"/>
    <n v="114.47"/>
    <n v="114.47"/>
    <s v="Wallet"/>
  </r>
  <r>
    <x v="57"/>
    <s v="Puma Joggers"/>
    <s v="Joggers"/>
    <s v="Puma"/>
    <s v="Women"/>
    <x v="3"/>
    <s v="Japan"/>
    <n v="5"/>
    <n v="224.71"/>
    <n v="1123.55"/>
    <s v="UPI"/>
  </r>
  <r>
    <x v="58"/>
    <s v="Jordan 1 High"/>
    <s v="Sneakers"/>
    <s v="Nike"/>
    <s v="Unisex"/>
    <x v="0"/>
    <s v="India"/>
    <n v="3"/>
    <n v="104.04"/>
    <n v="312.12"/>
    <s v="Cash on Delivery"/>
  </r>
  <r>
    <x v="59"/>
    <s v="Puma Joggers"/>
    <s v="Joggers"/>
    <s v="Puma"/>
    <s v="Men"/>
    <x v="1"/>
    <s v="UK"/>
    <n v="5"/>
    <n v="140.26"/>
    <n v="701.3"/>
    <s v="Card"/>
  </r>
  <r>
    <x v="60"/>
    <s v="Adidas Ultraboost"/>
    <s v="Sneakers"/>
    <s v="Adidas"/>
    <s v="Men"/>
    <x v="3"/>
    <s v="UK"/>
    <n v="5"/>
    <n v="215.38"/>
    <n v="1076.9000000000001"/>
    <s v="Card"/>
  </r>
  <r>
    <x v="61"/>
    <s v="Yeezy Boost 350"/>
    <s v="Sneakers"/>
    <s v="Adidas"/>
    <s v="Women"/>
    <x v="0"/>
    <s v="Australia"/>
    <n v="4"/>
    <n v="127.55"/>
    <n v="510.2"/>
    <s v="Cash on Delivery"/>
  </r>
  <r>
    <x v="43"/>
    <s v="Jordan 1 High"/>
    <s v="Sneakers"/>
    <s v="Nike"/>
    <s v="Women"/>
    <x v="0"/>
    <s v="UK"/>
    <n v="3"/>
    <n v="182.2"/>
    <n v="546.6"/>
    <s v="Card"/>
  </r>
  <r>
    <x v="62"/>
    <s v="Nike Tech Fleece"/>
    <s v="Hoodie"/>
    <s v="Nike"/>
    <s v="Men"/>
    <x v="2"/>
    <s v="Germany"/>
    <n v="4"/>
    <n v="246.66"/>
    <n v="986.64"/>
    <s v="Cash on Delivery"/>
  </r>
  <r>
    <x v="30"/>
    <s v="Yeezy Boost 350"/>
    <s v="Sneakers"/>
    <s v="Adidas"/>
    <s v="Women"/>
    <x v="2"/>
    <s v="Japan"/>
    <n v="5"/>
    <n v="262.68"/>
    <n v="1313.4"/>
    <s v="Wallet"/>
  </r>
  <r>
    <x v="63"/>
    <s v="Adidas Ultraboost"/>
    <s v="Sneakers"/>
    <s v="Adidas"/>
    <s v="Men"/>
    <x v="0"/>
    <s v="USA"/>
    <n v="3"/>
    <n v="101.39"/>
    <n v="304.17"/>
    <s v="Cash on Delivery"/>
  </r>
  <r>
    <x v="64"/>
    <s v="Off-White Hoodie"/>
    <s v="Hoodie"/>
    <s v="Off-White"/>
    <s v="Women"/>
    <x v="2"/>
    <s v="Japan"/>
    <n v="1"/>
    <n v="59.05"/>
    <n v="59.05"/>
    <s v="Cash on Delivery"/>
  </r>
  <r>
    <x v="20"/>
    <s v="Off-White Hoodie"/>
    <s v="Hoodie"/>
    <s v="Off-White"/>
    <s v="Unisex"/>
    <x v="3"/>
    <s v="Canada"/>
    <n v="1"/>
    <n v="101.32"/>
    <n v="101.32"/>
    <s v="UPI"/>
  </r>
  <r>
    <x v="25"/>
    <s v="Nike Dunk Low"/>
    <s v="Sneakers"/>
    <s v="Nike"/>
    <s v="Men"/>
    <x v="1"/>
    <s v="Australia"/>
    <n v="4"/>
    <n v="228.88"/>
    <n v="915.52"/>
    <s v="Card"/>
  </r>
  <r>
    <x v="65"/>
    <s v="Nike Dunk Low"/>
    <s v="Sneakers"/>
    <s v="Nike"/>
    <s v="Women"/>
    <x v="0"/>
    <s v="Japan"/>
    <n v="4"/>
    <n v="258.60000000000002"/>
    <n v="1034.4000000000001"/>
    <s v="Card"/>
  </r>
  <r>
    <x v="66"/>
    <s v="Adidas Ultraboost"/>
    <s v="Sneakers"/>
    <s v="Adidas"/>
    <s v="Unisex"/>
    <x v="3"/>
    <s v="Australia"/>
    <n v="4"/>
    <n v="129.94999999999999"/>
    <n v="519.79999999999995"/>
    <s v="Cash on Delivery"/>
  </r>
  <r>
    <x v="67"/>
    <s v="Adidas Ultraboost"/>
    <s v="Sneakers"/>
    <s v="Adidas"/>
    <s v="Women"/>
    <x v="2"/>
    <s v="Germany"/>
    <n v="5"/>
    <n v="190.03"/>
    <n v="950.15"/>
    <s v="Cash on Delivery"/>
  </r>
  <r>
    <x v="48"/>
    <s v="New Era Cap"/>
    <s v="Cap"/>
    <s v="New Era"/>
    <s v="Unisex"/>
    <x v="2"/>
    <s v="Canada"/>
    <n v="1"/>
    <n v="239.21"/>
    <n v="239.21"/>
    <s v="Wallet"/>
  </r>
  <r>
    <x v="68"/>
    <s v="Fear of God Essentials Tee"/>
    <s v="T-shirt"/>
    <s v="Essentials"/>
    <s v="Unisex"/>
    <x v="3"/>
    <s v="Australia"/>
    <n v="1"/>
    <n v="271.18"/>
    <n v="271.18"/>
    <s v="Cash on Delivery"/>
  </r>
  <r>
    <x v="69"/>
    <s v="Puma Joggers"/>
    <s v="Joggers"/>
    <s v="Puma"/>
    <s v="Women"/>
    <x v="3"/>
    <s v="Japan"/>
    <n v="5"/>
    <n v="140.65"/>
    <n v="703.25"/>
    <s v="Wallet"/>
  </r>
  <r>
    <x v="70"/>
    <s v="Fear of God Essentials Tee"/>
    <s v="T-shirt"/>
    <s v="Essentials"/>
    <s v="Unisex"/>
    <x v="3"/>
    <s v="UK"/>
    <n v="3"/>
    <n v="97.21"/>
    <n v="291.63"/>
    <s v="Cash on Delivery"/>
  </r>
  <r>
    <x v="71"/>
    <s v="Supreme Hoodie"/>
    <s v="Hoodie"/>
    <s v="Supreme"/>
    <s v="Men"/>
    <x v="1"/>
    <s v="UK"/>
    <n v="5"/>
    <n v="110.05"/>
    <n v="550.25"/>
    <s v="Card"/>
  </r>
  <r>
    <x v="72"/>
    <s v="Adidas Ultraboost"/>
    <s v="Sneakers"/>
    <s v="Adidas"/>
    <s v="Unisex"/>
    <x v="2"/>
    <s v="Germany"/>
    <n v="1"/>
    <n v="209.13"/>
    <n v="209.13"/>
    <s v="Cash on Delivery"/>
  </r>
  <r>
    <x v="73"/>
    <s v="Nike Dunk Low"/>
    <s v="Sneakers"/>
    <s v="Nike"/>
    <s v="Women"/>
    <x v="1"/>
    <s v="Australia"/>
    <n v="1"/>
    <n v="256.81"/>
    <n v="256.81"/>
    <s v="Card"/>
  </r>
  <r>
    <x v="74"/>
    <s v="Supreme Hoodie"/>
    <s v="Hoodie"/>
    <s v="Supreme"/>
    <s v="Women"/>
    <x v="0"/>
    <s v="Germany"/>
    <n v="2"/>
    <n v="53.05"/>
    <n v="106.1"/>
    <s v="Cash on Delivery"/>
  </r>
  <r>
    <x v="75"/>
    <s v="Yeezy Boost 350"/>
    <s v="Sneakers"/>
    <s v="Adidas"/>
    <s v="Men"/>
    <x v="1"/>
    <s v="UK"/>
    <n v="4"/>
    <n v="127.11"/>
    <n v="508.44"/>
    <s v="Cash on Delivery"/>
  </r>
  <r>
    <x v="76"/>
    <s v="Nike Tech Fleece"/>
    <s v="Hoodie"/>
    <s v="Nike"/>
    <s v="Women"/>
    <x v="1"/>
    <s v="Japan"/>
    <n v="2"/>
    <n v="259.45999999999998"/>
    <n v="518.91999999999996"/>
    <s v="Wallet"/>
  </r>
  <r>
    <x v="77"/>
    <s v="Off-White Hoodie"/>
    <s v="Hoodie"/>
    <s v="Off-White"/>
    <s v="Unisex"/>
    <x v="2"/>
    <s v="UK"/>
    <n v="2"/>
    <n v="183.29"/>
    <n v="366.58"/>
    <s v="Wallet"/>
  </r>
  <r>
    <x v="78"/>
    <s v="Off-White Hoodie"/>
    <s v="Hoodie"/>
    <s v="Off-White"/>
    <s v="Women"/>
    <x v="1"/>
    <s v="Canada"/>
    <n v="2"/>
    <n v="130.4"/>
    <n v="260.8"/>
    <s v="Cash on Delivery"/>
  </r>
  <r>
    <x v="79"/>
    <s v="Yeezy Boost 350"/>
    <s v="Sneakers"/>
    <s v="Adidas"/>
    <s v="Men"/>
    <x v="3"/>
    <s v="Canada"/>
    <n v="5"/>
    <n v="112.04"/>
    <n v="560.20000000000005"/>
    <s v="Wallet"/>
  </r>
  <r>
    <x v="80"/>
    <s v="Puma Joggers"/>
    <s v="Joggers"/>
    <s v="Puma"/>
    <s v="Women"/>
    <x v="2"/>
    <s v="Japan"/>
    <n v="5"/>
    <n v="85.1"/>
    <n v="425.5"/>
    <s v="Cash on Delivery"/>
  </r>
  <r>
    <x v="76"/>
    <s v="Puma Joggers"/>
    <s v="Joggers"/>
    <s v="Puma"/>
    <s v="Unisex"/>
    <x v="3"/>
    <s v="Australia"/>
    <n v="1"/>
    <n v="180.65"/>
    <n v="180.65"/>
    <s v="Cash on Delivery"/>
  </r>
  <r>
    <x v="81"/>
    <s v="New Era Cap"/>
    <s v="Cap"/>
    <s v="New Era"/>
    <s v="Women"/>
    <x v="2"/>
    <s v="UK"/>
    <n v="5"/>
    <n v="147.13"/>
    <n v="735.65"/>
    <s v="Wallet"/>
  </r>
  <r>
    <x v="9"/>
    <s v="Puma Joggers"/>
    <s v="Joggers"/>
    <s v="Puma"/>
    <s v="Women"/>
    <x v="0"/>
    <s v="Australia"/>
    <n v="3"/>
    <n v="110.78"/>
    <n v="332.34"/>
    <s v="Cash on Delivery"/>
  </r>
  <r>
    <x v="82"/>
    <s v="Nike Tech Fleece"/>
    <s v="Hoodie"/>
    <s v="Nike"/>
    <s v="Women"/>
    <x v="3"/>
    <s v="India"/>
    <n v="5"/>
    <n v="58.37"/>
    <n v="291.85000000000002"/>
    <s v="UPI"/>
  </r>
  <r>
    <x v="50"/>
    <s v="Supreme Hoodie"/>
    <s v="Hoodie"/>
    <s v="Supreme"/>
    <s v="Women"/>
    <x v="2"/>
    <s v="Germany"/>
    <n v="5"/>
    <n v="241.67"/>
    <n v="1208.3499999999999"/>
    <s v="Card"/>
  </r>
  <r>
    <x v="83"/>
    <s v="Off-White Hoodie"/>
    <s v="Hoodie"/>
    <s v="Off-White"/>
    <s v="Women"/>
    <x v="0"/>
    <s v="USA"/>
    <n v="2"/>
    <n v="89.67"/>
    <n v="179.34"/>
    <s v="UPI"/>
  </r>
  <r>
    <x v="84"/>
    <s v="Nike Dunk Low"/>
    <s v="Sneakers"/>
    <s v="Nike"/>
    <s v="Women"/>
    <x v="3"/>
    <s v="Canada"/>
    <n v="1"/>
    <n v="132.09"/>
    <n v="132.09"/>
    <s v="UPI"/>
  </r>
  <r>
    <x v="27"/>
    <s v="New Era Cap"/>
    <s v="Cap"/>
    <s v="New Era"/>
    <s v="Women"/>
    <x v="2"/>
    <s v="Japan"/>
    <n v="2"/>
    <n v="202.18"/>
    <n v="404.36"/>
    <s v="UPI"/>
  </r>
  <r>
    <x v="71"/>
    <s v="Yeezy Boost 350"/>
    <s v="Sneakers"/>
    <s v="Adidas"/>
    <s v="Men"/>
    <x v="2"/>
    <s v="UK"/>
    <n v="3"/>
    <n v="90.19"/>
    <n v="270.57"/>
    <s v="Cash on Delivery"/>
  </r>
  <r>
    <x v="79"/>
    <s v="Nike Tech Fleece"/>
    <s v="Hoodie"/>
    <s v="Nike"/>
    <s v="Unisex"/>
    <x v="3"/>
    <s v="USA"/>
    <n v="2"/>
    <n v="179.28"/>
    <n v="358.56"/>
    <s v="Cash on Delivery"/>
  </r>
  <r>
    <x v="85"/>
    <s v="Nike Tech Fleece"/>
    <s v="Hoodie"/>
    <s v="Nike"/>
    <s v="Men"/>
    <x v="1"/>
    <s v="USA"/>
    <n v="5"/>
    <n v="188.61"/>
    <n v="943.05"/>
    <s v="Wallet"/>
  </r>
  <r>
    <x v="43"/>
    <s v="Fear of God Essentials Tee"/>
    <s v="T-shirt"/>
    <s v="Essentials"/>
    <s v="Men"/>
    <x v="1"/>
    <s v="UK"/>
    <n v="2"/>
    <n v="111.36"/>
    <n v="222.72"/>
    <s v="Card"/>
  </r>
  <r>
    <x v="86"/>
    <s v="New Era Cap"/>
    <s v="Cap"/>
    <s v="New Era"/>
    <s v="Women"/>
    <x v="1"/>
    <s v="UK"/>
    <n v="3"/>
    <n v="53.98"/>
    <n v="161.94"/>
    <s v="Cash on Delivery"/>
  </r>
  <r>
    <x v="17"/>
    <s v="Off-White Hoodie"/>
    <s v="Hoodie"/>
    <s v="Off-White"/>
    <s v="Unisex"/>
    <x v="3"/>
    <s v="Canada"/>
    <n v="4"/>
    <n v="240.64"/>
    <n v="962.56"/>
    <s v="Cash on Delivery"/>
  </r>
  <r>
    <x v="87"/>
    <s v="Off-White Hoodie"/>
    <s v="Hoodie"/>
    <s v="Off-White"/>
    <s v="Women"/>
    <x v="2"/>
    <s v="USA"/>
    <n v="5"/>
    <n v="195.57"/>
    <n v="977.85"/>
    <s v="Cash on Delivery"/>
  </r>
  <r>
    <x v="20"/>
    <s v="Nike Tech Fleece"/>
    <s v="Hoodie"/>
    <s v="Nike"/>
    <s v="Unisex"/>
    <x v="3"/>
    <s v="Canada"/>
    <n v="3"/>
    <n v="224.66"/>
    <n v="673.98"/>
    <s v="Cash on Delivery"/>
  </r>
  <r>
    <x v="1"/>
    <s v="Puma Joggers"/>
    <s v="Joggers"/>
    <s v="Puma"/>
    <s v="Women"/>
    <x v="1"/>
    <s v="Canada"/>
    <n v="3"/>
    <n v="65.2"/>
    <n v="195.6"/>
    <s v="Wallet"/>
  </r>
  <r>
    <x v="88"/>
    <s v="Adidas Ultraboost"/>
    <s v="Sneakers"/>
    <s v="Adidas"/>
    <s v="Women"/>
    <x v="0"/>
    <s v="Canada"/>
    <n v="4"/>
    <n v="117.78"/>
    <n v="471.12"/>
    <s v="UPI"/>
  </r>
  <r>
    <x v="89"/>
    <s v="Jordan 1 High"/>
    <s v="Sneakers"/>
    <s v="Nike"/>
    <s v="Women"/>
    <x v="3"/>
    <s v="India"/>
    <n v="4"/>
    <n v="214.93"/>
    <n v="859.72"/>
    <s v="Card"/>
  </r>
  <r>
    <x v="90"/>
    <s v="Puma Joggers"/>
    <s v="Joggers"/>
    <s v="Puma"/>
    <s v="Unisex"/>
    <x v="0"/>
    <s v="Japan"/>
    <n v="2"/>
    <n v="249.49"/>
    <n v="498.98"/>
    <s v="Cash on Delivery"/>
  </r>
  <r>
    <x v="91"/>
    <s v="Yeezy Boost 350"/>
    <s v="Sneakers"/>
    <s v="Adidas"/>
    <s v="Men"/>
    <x v="2"/>
    <s v="India"/>
    <n v="4"/>
    <n v="141.35"/>
    <n v="565.4"/>
    <s v="UPI"/>
  </r>
  <r>
    <x v="92"/>
    <s v="Puma Joggers"/>
    <s v="Joggers"/>
    <s v="Puma"/>
    <s v="Unisex"/>
    <x v="0"/>
    <s v="Japan"/>
    <n v="3"/>
    <n v="264.14"/>
    <n v="792.42"/>
    <s v="Card"/>
  </r>
  <r>
    <x v="93"/>
    <s v="Fear of God Essentials Tee"/>
    <s v="T-shirt"/>
    <s v="Essentials"/>
    <s v="Unisex"/>
    <x v="2"/>
    <s v="UK"/>
    <n v="5"/>
    <n v="73.58"/>
    <n v="367.9"/>
    <s v="UPI"/>
  </r>
  <r>
    <x v="94"/>
    <s v="Fear of God Essentials Tee"/>
    <s v="T-shirt"/>
    <s v="Essentials"/>
    <s v="Unisex"/>
    <x v="3"/>
    <s v="USA"/>
    <n v="1"/>
    <n v="106.59"/>
    <n v="106.59"/>
    <s v="Card"/>
  </r>
  <r>
    <x v="71"/>
    <s v="Nike Tech Fleece"/>
    <s v="Hoodie"/>
    <s v="Nike"/>
    <s v="Men"/>
    <x v="3"/>
    <s v="Canada"/>
    <n v="3"/>
    <n v="59.98"/>
    <n v="179.94"/>
    <s v="UPI"/>
  </r>
  <r>
    <x v="59"/>
    <s v="Puma Joggers"/>
    <s v="Joggers"/>
    <s v="Puma"/>
    <s v="Women"/>
    <x v="2"/>
    <s v="Japan"/>
    <n v="3"/>
    <n v="87.81"/>
    <n v="263.43"/>
    <s v="Card"/>
  </r>
  <r>
    <x v="95"/>
    <s v="Nike Tech Fleece"/>
    <s v="Hoodie"/>
    <s v="Nike"/>
    <s v="Men"/>
    <x v="1"/>
    <s v="Japan"/>
    <n v="2"/>
    <n v="283.60000000000002"/>
    <n v="567.20000000000005"/>
    <s v="UPI"/>
  </r>
  <r>
    <x v="96"/>
    <s v="Puma Joggers"/>
    <s v="Joggers"/>
    <s v="Puma"/>
    <s v="Men"/>
    <x v="0"/>
    <s v="Japan"/>
    <n v="2"/>
    <n v="194.31"/>
    <n v="388.62"/>
    <s v="UPI"/>
  </r>
  <r>
    <x v="97"/>
    <s v="Supreme Hoodie"/>
    <s v="Hoodie"/>
    <s v="Supreme"/>
    <s v="Unisex"/>
    <x v="0"/>
    <s v="Japan"/>
    <n v="4"/>
    <n v="199.68"/>
    <n v="798.72"/>
    <s v="Wallet"/>
  </r>
  <r>
    <x v="98"/>
    <s v="Fear of God Essentials Tee"/>
    <s v="T-shirt"/>
    <s v="Essentials"/>
    <s v="Women"/>
    <x v="1"/>
    <s v="Japan"/>
    <n v="5"/>
    <n v="145.47"/>
    <n v="727.35"/>
    <s v="Card"/>
  </r>
  <r>
    <x v="99"/>
    <s v="Supreme Hoodie"/>
    <s v="Hoodie"/>
    <s v="Supreme"/>
    <s v="Women"/>
    <x v="0"/>
    <s v="Australia"/>
    <n v="1"/>
    <n v="141.11000000000001"/>
    <n v="141.11000000000001"/>
    <s v="UPI"/>
  </r>
  <r>
    <x v="100"/>
    <s v="Jordan 1 High"/>
    <s v="Sneakers"/>
    <s v="Nike"/>
    <s v="Women"/>
    <x v="2"/>
    <s v="UK"/>
    <n v="2"/>
    <n v="188.4"/>
    <n v="376.8"/>
    <s v="Card"/>
  </r>
  <r>
    <x v="101"/>
    <s v="Supreme Hoodie"/>
    <s v="Hoodie"/>
    <s v="Supreme"/>
    <s v="Men"/>
    <x v="0"/>
    <s v="Germany"/>
    <n v="4"/>
    <n v="145.28"/>
    <n v="581.12"/>
    <s v="Card"/>
  </r>
  <r>
    <x v="72"/>
    <s v="Adidas Ultraboost"/>
    <s v="Sneakers"/>
    <s v="Adidas"/>
    <s v="Men"/>
    <x v="3"/>
    <s v="Australia"/>
    <n v="2"/>
    <n v="277.48"/>
    <n v="554.96"/>
    <s v="Card"/>
  </r>
  <r>
    <x v="90"/>
    <s v="Nike Tech Fleece"/>
    <s v="Hoodie"/>
    <s v="Nike"/>
    <s v="Women"/>
    <x v="0"/>
    <s v="Japan"/>
    <n v="4"/>
    <n v="153.56"/>
    <n v="614.24"/>
    <s v="Wallet"/>
  </r>
  <r>
    <x v="102"/>
    <s v="Fear of God Essentials Tee"/>
    <s v="T-shirt"/>
    <s v="Essentials"/>
    <s v="Men"/>
    <x v="2"/>
    <s v="Japan"/>
    <n v="2"/>
    <n v="74.83"/>
    <n v="149.66"/>
    <s v="Card"/>
  </r>
  <r>
    <x v="67"/>
    <s v="Supreme Hoodie"/>
    <s v="Hoodie"/>
    <s v="Supreme"/>
    <s v="Women"/>
    <x v="0"/>
    <s v="Germany"/>
    <n v="1"/>
    <n v="136.80000000000001"/>
    <n v="136.80000000000001"/>
    <s v="UPI"/>
  </r>
  <r>
    <x v="56"/>
    <s v="Yeezy Boost 350"/>
    <s v="Sneakers"/>
    <s v="Adidas"/>
    <s v="Unisex"/>
    <x v="2"/>
    <s v="USA"/>
    <n v="3"/>
    <n v="209.69"/>
    <n v="629.07000000000005"/>
    <s v="Wallet"/>
  </r>
  <r>
    <x v="11"/>
    <s v="Supreme Hoodie"/>
    <s v="Hoodie"/>
    <s v="Supreme"/>
    <s v="Men"/>
    <x v="2"/>
    <s v="India"/>
    <n v="3"/>
    <n v="200.87"/>
    <n v="602.61"/>
    <s v="Cash on Delivery"/>
  </r>
  <r>
    <x v="103"/>
    <s v="Puma Joggers"/>
    <s v="Joggers"/>
    <s v="Puma"/>
    <s v="Men"/>
    <x v="3"/>
    <s v="Japan"/>
    <n v="1"/>
    <n v="221.26"/>
    <n v="221.26"/>
    <s v="Card"/>
  </r>
  <r>
    <x v="93"/>
    <s v="Nike Dunk Low"/>
    <s v="Sneakers"/>
    <s v="Nike"/>
    <s v="Women"/>
    <x v="3"/>
    <s v="USA"/>
    <n v="5"/>
    <n v="176.98"/>
    <n v="884.9"/>
    <s v="Card"/>
  </r>
  <r>
    <x v="104"/>
    <s v="New Era Cap"/>
    <s v="Cap"/>
    <s v="New Era"/>
    <s v="Men"/>
    <x v="2"/>
    <s v="UK"/>
    <n v="5"/>
    <n v="77.08"/>
    <n v="385.4"/>
    <s v="Wallet"/>
  </r>
  <r>
    <x v="23"/>
    <s v="Jordan 1 High"/>
    <s v="Sneakers"/>
    <s v="Nike"/>
    <s v="Men"/>
    <x v="2"/>
    <s v="Canada"/>
    <n v="4"/>
    <n v="239.54"/>
    <n v="958.16"/>
    <s v="Wallet"/>
  </r>
  <r>
    <x v="26"/>
    <s v="Supreme Hoodie"/>
    <s v="Hoodie"/>
    <s v="Supreme"/>
    <s v="Men"/>
    <x v="3"/>
    <s v="India"/>
    <n v="5"/>
    <n v="179.54"/>
    <n v="897.7"/>
    <s v="UPI"/>
  </r>
  <r>
    <x v="105"/>
    <s v="Off-White Hoodie"/>
    <s v="Hoodie"/>
    <s v="Off-White"/>
    <s v="Women"/>
    <x v="3"/>
    <s v="Canada"/>
    <n v="3"/>
    <n v="274.23"/>
    <n v="822.69"/>
    <s v="Cash on Delivery"/>
  </r>
  <r>
    <x v="106"/>
    <s v="Nike Tech Fleece"/>
    <s v="Hoodie"/>
    <s v="Nike"/>
    <s v="Women"/>
    <x v="0"/>
    <s v="India"/>
    <n v="5"/>
    <n v="99.89"/>
    <n v="499.45"/>
    <s v="Cash on Delivery"/>
  </r>
  <r>
    <x v="75"/>
    <s v="Yeezy Boost 350"/>
    <s v="Sneakers"/>
    <s v="Adidas"/>
    <s v="Women"/>
    <x v="1"/>
    <s v="UK"/>
    <n v="4"/>
    <n v="148.11000000000001"/>
    <n v="592.44000000000005"/>
    <s v="Cash on Delivery"/>
  </r>
  <r>
    <x v="70"/>
    <s v="Jordan 1 High"/>
    <s v="Sneakers"/>
    <s v="Nike"/>
    <s v="Unisex"/>
    <x v="1"/>
    <s v="India"/>
    <n v="5"/>
    <n v="81.97"/>
    <n v="409.85"/>
    <s v="Cash on Delivery"/>
  </r>
  <r>
    <x v="107"/>
    <s v="Yeezy Boost 350"/>
    <s v="Sneakers"/>
    <s v="Adidas"/>
    <s v="Women"/>
    <x v="0"/>
    <s v="India"/>
    <n v="3"/>
    <n v="291.29000000000002"/>
    <n v="873.87"/>
    <s v="Wallet"/>
  </r>
  <r>
    <x v="108"/>
    <s v="Adidas Ultraboost"/>
    <s v="Sneakers"/>
    <s v="Adidas"/>
    <s v="Men"/>
    <x v="3"/>
    <s v="Canada"/>
    <n v="5"/>
    <n v="138.94999999999999"/>
    <n v="694.75"/>
    <s v="UPI"/>
  </r>
  <r>
    <x v="109"/>
    <s v="Adidas Ultraboost"/>
    <s v="Sneakers"/>
    <s v="Adidas"/>
    <s v="Men"/>
    <x v="3"/>
    <s v="Japan"/>
    <n v="4"/>
    <n v="208.19"/>
    <n v="832.76"/>
    <s v="Wallet"/>
  </r>
  <r>
    <x v="110"/>
    <s v="Jordan 1 High"/>
    <s v="Sneakers"/>
    <s v="Nike"/>
    <s v="Men"/>
    <x v="0"/>
    <s v="India"/>
    <n v="5"/>
    <n v="291.7"/>
    <n v="1458.5"/>
    <s v="Wallet"/>
  </r>
  <r>
    <x v="111"/>
    <s v="Fear of God Essentials Tee"/>
    <s v="T-shirt"/>
    <s v="Essentials"/>
    <s v="Women"/>
    <x v="1"/>
    <s v="Australia"/>
    <n v="3"/>
    <n v="209.89"/>
    <n v="629.66999999999996"/>
    <s v="UPI"/>
  </r>
  <r>
    <x v="112"/>
    <s v="Jordan 1 High"/>
    <s v="Sneakers"/>
    <s v="Nike"/>
    <s v="Unisex"/>
    <x v="2"/>
    <s v="Japan"/>
    <n v="4"/>
    <n v="171.49"/>
    <n v="685.96"/>
    <s v="Cash on Delivery"/>
  </r>
  <r>
    <x v="113"/>
    <s v="Nike Tech Fleece"/>
    <s v="Hoodie"/>
    <s v="Nike"/>
    <s v="Men"/>
    <x v="2"/>
    <s v="Germany"/>
    <n v="3"/>
    <n v="156.22"/>
    <n v="468.66"/>
    <s v="Wallet"/>
  </r>
  <r>
    <x v="114"/>
    <s v="Yeezy Boost 350"/>
    <s v="Sneakers"/>
    <s v="Adidas"/>
    <s v="Men"/>
    <x v="3"/>
    <s v="Japan"/>
    <n v="4"/>
    <n v="158.82"/>
    <n v="635.28"/>
    <s v="UPI"/>
  </r>
  <r>
    <x v="6"/>
    <s v="Off-White Hoodie"/>
    <s v="Hoodie"/>
    <s v="Off-White"/>
    <s v="Men"/>
    <x v="1"/>
    <s v="UK"/>
    <n v="3"/>
    <n v="218.91"/>
    <n v="656.73"/>
    <s v="Wallet"/>
  </r>
  <r>
    <x v="110"/>
    <s v="Supreme Hoodie"/>
    <s v="Hoodie"/>
    <s v="Supreme"/>
    <s v="Women"/>
    <x v="0"/>
    <s v="Australia"/>
    <n v="5"/>
    <n v="54.88"/>
    <n v="274.39999999999998"/>
    <s v="Wallet"/>
  </r>
  <r>
    <x v="115"/>
    <s v="New Era Cap"/>
    <s v="Cap"/>
    <s v="New Era"/>
    <s v="Women"/>
    <x v="1"/>
    <s v="Canada"/>
    <n v="1"/>
    <n v="75.27"/>
    <n v="75.27"/>
    <s v="Card"/>
  </r>
  <r>
    <x v="116"/>
    <s v="Puma Joggers"/>
    <s v="Joggers"/>
    <s v="Puma"/>
    <s v="Men"/>
    <x v="0"/>
    <s v="India"/>
    <n v="1"/>
    <n v="144.04"/>
    <n v="144.04"/>
    <s v="Cash on Delivery"/>
  </r>
  <r>
    <x v="94"/>
    <s v="Jordan 1 High"/>
    <s v="Sneakers"/>
    <s v="Nike"/>
    <s v="Men"/>
    <x v="3"/>
    <s v="Germany"/>
    <n v="4"/>
    <n v="196.45"/>
    <n v="785.8"/>
    <s v="UPI"/>
  </r>
  <r>
    <x v="113"/>
    <s v="Nike Dunk Low"/>
    <s v="Sneakers"/>
    <s v="Nike"/>
    <s v="Men"/>
    <x v="0"/>
    <s v="USA"/>
    <n v="3"/>
    <n v="213.66"/>
    <n v="640.98"/>
    <s v="Card"/>
  </r>
  <r>
    <x v="90"/>
    <s v="Yeezy Boost 350"/>
    <s v="Sneakers"/>
    <s v="Adidas"/>
    <s v="Men"/>
    <x v="3"/>
    <s v="UK"/>
    <n v="1"/>
    <n v="164.57"/>
    <n v="164.57"/>
    <s v="Cash on Delivery"/>
  </r>
  <r>
    <x v="117"/>
    <s v="Jordan 1 High"/>
    <s v="Sneakers"/>
    <s v="Nike"/>
    <s v="Men"/>
    <x v="2"/>
    <s v="Canada"/>
    <n v="4"/>
    <n v="203.25"/>
    <n v="813"/>
    <s v="Wallet"/>
  </r>
  <r>
    <x v="118"/>
    <s v="Off-White Hoodie"/>
    <s v="Hoodie"/>
    <s v="Off-White"/>
    <s v="Women"/>
    <x v="1"/>
    <s v="UK"/>
    <n v="5"/>
    <n v="91.11"/>
    <n v="455.55"/>
    <s v="Cash on Delivery"/>
  </r>
  <r>
    <x v="119"/>
    <s v="Off-White Hoodie"/>
    <s v="Hoodie"/>
    <s v="Off-White"/>
    <s v="Unisex"/>
    <x v="3"/>
    <s v="USA"/>
    <n v="3"/>
    <n v="57.92"/>
    <n v="173.76"/>
    <s v="Cash on Delivery"/>
  </r>
  <r>
    <x v="120"/>
    <s v="Jordan 1 High"/>
    <s v="Sneakers"/>
    <s v="Nike"/>
    <s v="Women"/>
    <x v="0"/>
    <s v="Japan"/>
    <n v="3"/>
    <n v="209.3"/>
    <n v="627.9"/>
    <s v="Wallet"/>
  </r>
  <r>
    <x v="121"/>
    <s v="Adidas Ultraboost"/>
    <s v="Sneakers"/>
    <s v="Adidas"/>
    <s v="Unisex"/>
    <x v="2"/>
    <s v="Germany"/>
    <n v="1"/>
    <n v="112.26"/>
    <n v="112.26"/>
    <s v="UPI"/>
  </r>
  <r>
    <x v="43"/>
    <s v="Nike Dunk Low"/>
    <s v="Sneakers"/>
    <s v="Nike"/>
    <s v="Women"/>
    <x v="0"/>
    <s v="Canada"/>
    <n v="2"/>
    <n v="216.83"/>
    <n v="433.66"/>
    <s v="UPI"/>
  </r>
  <r>
    <x v="122"/>
    <s v="Puma Joggers"/>
    <s v="Joggers"/>
    <s v="Puma"/>
    <s v="Unisex"/>
    <x v="0"/>
    <s v="Canada"/>
    <n v="5"/>
    <n v="68.52"/>
    <n v="342.6"/>
    <s v="UPI"/>
  </r>
  <r>
    <x v="46"/>
    <s v="Supreme Hoodie"/>
    <s v="Hoodie"/>
    <s v="Supreme"/>
    <s v="Men"/>
    <x v="2"/>
    <s v="Canada"/>
    <n v="1"/>
    <n v="98.04"/>
    <n v="98.04"/>
    <s v="Cash on Delivery"/>
  </r>
  <r>
    <x v="70"/>
    <s v="Fear of God Essentials Tee"/>
    <s v="T-shirt"/>
    <s v="Essentials"/>
    <s v="Men"/>
    <x v="2"/>
    <s v="India"/>
    <n v="5"/>
    <n v="204.35"/>
    <n v="1021.75"/>
    <s v="Wallet"/>
  </r>
  <r>
    <x v="123"/>
    <s v="Nike Dunk Low"/>
    <s v="Sneakers"/>
    <s v="Nike"/>
    <s v="Women"/>
    <x v="3"/>
    <s v="Germany"/>
    <n v="4"/>
    <n v="283.7"/>
    <n v="1134.8"/>
    <s v="Card"/>
  </r>
  <r>
    <x v="54"/>
    <s v="Off-White Hoodie"/>
    <s v="Hoodie"/>
    <s v="Off-White"/>
    <s v="Women"/>
    <x v="0"/>
    <s v="India"/>
    <n v="4"/>
    <n v="172.52"/>
    <n v="690.08"/>
    <s v="UPI"/>
  </r>
  <r>
    <x v="124"/>
    <s v="Jordan 1 High"/>
    <s v="Sneakers"/>
    <s v="Nike"/>
    <s v="Men"/>
    <x v="0"/>
    <s v="USA"/>
    <n v="3"/>
    <n v="51.81"/>
    <n v="155.43"/>
    <s v="Wallet"/>
  </r>
  <r>
    <x v="125"/>
    <s v="Nike Tech Fleece"/>
    <s v="Hoodie"/>
    <s v="Nike"/>
    <s v="Men"/>
    <x v="1"/>
    <s v="Japan"/>
    <n v="5"/>
    <n v="71.28"/>
    <n v="356.4"/>
    <s v="Cash on Delivery"/>
  </r>
  <r>
    <x v="126"/>
    <s v="Yeezy Boost 350"/>
    <s v="Sneakers"/>
    <s v="Adidas"/>
    <s v="Unisex"/>
    <x v="1"/>
    <s v="Canada"/>
    <n v="2"/>
    <n v="248.44"/>
    <n v="496.88"/>
    <s v="Cash on Delivery"/>
  </r>
  <r>
    <x v="54"/>
    <s v="Yeezy Boost 350"/>
    <s v="Sneakers"/>
    <s v="Adidas"/>
    <s v="Women"/>
    <x v="1"/>
    <s v="India"/>
    <n v="2"/>
    <n v="107.04"/>
    <n v="214.08"/>
    <s v="Card"/>
  </r>
  <r>
    <x v="43"/>
    <s v="Puma Joggers"/>
    <s v="Joggers"/>
    <s v="Puma"/>
    <s v="Women"/>
    <x v="1"/>
    <s v="Australia"/>
    <n v="1"/>
    <n v="132.07"/>
    <n v="132.07"/>
    <s v="Wallet"/>
  </r>
  <r>
    <x v="127"/>
    <s v="Nike Dunk Low"/>
    <s v="Sneakers"/>
    <s v="Nike"/>
    <s v="Men"/>
    <x v="2"/>
    <s v="Japan"/>
    <n v="3"/>
    <n v="118.37"/>
    <n v="355.11"/>
    <s v="Card"/>
  </r>
  <r>
    <x v="128"/>
    <s v="Nike Tech Fleece"/>
    <s v="Hoodie"/>
    <s v="Nike"/>
    <s v="Women"/>
    <x v="3"/>
    <s v="Germany"/>
    <n v="5"/>
    <n v="243.74"/>
    <n v="1218.7"/>
    <s v="Wallet"/>
  </r>
  <r>
    <x v="78"/>
    <s v="Nike Dunk Low"/>
    <s v="Sneakers"/>
    <s v="Nike"/>
    <s v="Unisex"/>
    <x v="0"/>
    <s v="Japan"/>
    <n v="5"/>
    <n v="150.02000000000001"/>
    <n v="750.1"/>
    <s v="Cash on Delivery"/>
  </r>
  <r>
    <x v="129"/>
    <s v="Nike Tech Fleece"/>
    <s v="Hoodie"/>
    <s v="Nike"/>
    <s v="Women"/>
    <x v="3"/>
    <s v="Australia"/>
    <n v="3"/>
    <n v="73.31"/>
    <n v="219.93"/>
    <s v="Wallet"/>
  </r>
  <r>
    <x v="121"/>
    <s v="Puma Joggers"/>
    <s v="Joggers"/>
    <s v="Puma"/>
    <s v="Men"/>
    <x v="2"/>
    <s v="Australia"/>
    <n v="2"/>
    <n v="176.24"/>
    <n v="352.48"/>
    <s v="Cash on Delivery"/>
  </r>
  <r>
    <x v="0"/>
    <s v="Adidas Ultraboost"/>
    <s v="Sneakers"/>
    <s v="Adidas"/>
    <s v="Women"/>
    <x v="1"/>
    <s v="UK"/>
    <n v="5"/>
    <n v="135.5"/>
    <n v="677.5"/>
    <s v="UPI"/>
  </r>
  <r>
    <x v="130"/>
    <s v="Fear of God Essentials Tee"/>
    <s v="T-shirt"/>
    <s v="Essentials"/>
    <s v="Men"/>
    <x v="1"/>
    <s v="Canada"/>
    <n v="4"/>
    <n v="250.12"/>
    <n v="1000.48"/>
    <s v="Card"/>
  </r>
  <r>
    <x v="54"/>
    <s v="Yeezy Boost 350"/>
    <s v="Sneakers"/>
    <s v="Adidas"/>
    <s v="Women"/>
    <x v="2"/>
    <s v="Australia"/>
    <n v="4"/>
    <n v="145.88999999999999"/>
    <n v="583.55999999999995"/>
    <s v="Card"/>
  </r>
  <r>
    <x v="41"/>
    <s v="Nike Tech Fleece"/>
    <s v="Hoodie"/>
    <s v="Nike"/>
    <s v="Unisex"/>
    <x v="2"/>
    <s v="USA"/>
    <n v="4"/>
    <n v="281.54000000000002"/>
    <n v="1126.1600000000001"/>
    <s v="Wallet"/>
  </r>
  <r>
    <x v="131"/>
    <s v="Jordan 1 High"/>
    <s v="Sneakers"/>
    <s v="Nike"/>
    <s v="Unisex"/>
    <x v="2"/>
    <s v="Australia"/>
    <n v="4"/>
    <n v="121.42"/>
    <n v="485.68"/>
    <s v="Card"/>
  </r>
  <r>
    <x v="132"/>
    <s v="Jordan 1 High"/>
    <s v="Sneakers"/>
    <s v="Nike"/>
    <s v="Women"/>
    <x v="3"/>
    <s v="India"/>
    <n v="4"/>
    <n v="265.91000000000003"/>
    <n v="1063.6400000000001"/>
    <s v="UPI"/>
  </r>
  <r>
    <x v="133"/>
    <s v="Fear of God Essentials Tee"/>
    <s v="T-shirt"/>
    <s v="Essentials"/>
    <s v="Women"/>
    <x v="0"/>
    <s v="Germany"/>
    <n v="1"/>
    <n v="240.42"/>
    <n v="240.42"/>
    <s v="Card"/>
  </r>
  <r>
    <x v="134"/>
    <s v="Adidas Ultraboost"/>
    <s v="Sneakers"/>
    <s v="Adidas"/>
    <s v="Women"/>
    <x v="1"/>
    <s v="USA"/>
    <n v="5"/>
    <n v="275.27"/>
    <n v="1376.35"/>
    <s v="Card"/>
  </r>
  <r>
    <x v="135"/>
    <s v="Supreme Hoodie"/>
    <s v="Hoodie"/>
    <s v="Supreme"/>
    <s v="Women"/>
    <x v="3"/>
    <s v="India"/>
    <n v="3"/>
    <n v="154.79"/>
    <n v="464.37"/>
    <s v="Card"/>
  </r>
  <r>
    <x v="136"/>
    <s v="Supreme Hoodie"/>
    <s v="Hoodie"/>
    <s v="Supreme"/>
    <s v="Unisex"/>
    <x v="1"/>
    <s v="India"/>
    <n v="5"/>
    <n v="139"/>
    <n v="695"/>
    <s v="UPI"/>
  </r>
  <r>
    <x v="137"/>
    <s v="Nike Tech Fleece"/>
    <s v="Hoodie"/>
    <s v="Nike"/>
    <s v="Unisex"/>
    <x v="3"/>
    <s v="Australia"/>
    <n v="3"/>
    <n v="79.27"/>
    <n v="237.81"/>
    <s v="Card"/>
  </r>
  <r>
    <x v="138"/>
    <s v="Off-White Hoodie"/>
    <s v="Hoodie"/>
    <s v="Off-White"/>
    <s v="Men"/>
    <x v="2"/>
    <s v="Canada"/>
    <n v="2"/>
    <n v="237.1"/>
    <n v="474.2"/>
    <s v="Cash on Delivery"/>
  </r>
  <r>
    <x v="58"/>
    <s v="Off-White Hoodie"/>
    <s v="Hoodie"/>
    <s v="Off-White"/>
    <s v="Men"/>
    <x v="2"/>
    <s v="UK"/>
    <n v="4"/>
    <n v="228.46"/>
    <n v="913.84"/>
    <s v="Cash on Delivery"/>
  </r>
  <r>
    <x v="116"/>
    <s v="Supreme Hoodie"/>
    <s v="Hoodie"/>
    <s v="Supreme"/>
    <s v="Men"/>
    <x v="1"/>
    <s v="Canada"/>
    <n v="4"/>
    <n v="52.42"/>
    <n v="209.68"/>
    <s v="Wallet"/>
  </r>
  <r>
    <x v="139"/>
    <s v="Nike Dunk Low"/>
    <s v="Sneakers"/>
    <s v="Nike"/>
    <s v="Men"/>
    <x v="0"/>
    <s v="Japan"/>
    <n v="3"/>
    <n v="270.52"/>
    <n v="811.56"/>
    <s v="UPI"/>
  </r>
  <r>
    <x v="134"/>
    <s v="Jordan 1 High"/>
    <s v="Sneakers"/>
    <s v="Nike"/>
    <s v="Unisex"/>
    <x v="0"/>
    <s v="UK"/>
    <n v="4"/>
    <n v="119.36"/>
    <n v="477.44"/>
    <s v="Cash on Delivery"/>
  </r>
  <r>
    <x v="140"/>
    <s v="New Era Cap"/>
    <s v="Cap"/>
    <s v="New Era"/>
    <s v="Women"/>
    <x v="0"/>
    <s v="UK"/>
    <n v="3"/>
    <n v="125.26"/>
    <n v="375.78"/>
    <s v="Wallet"/>
  </r>
  <r>
    <x v="22"/>
    <s v="Off-White Hoodie"/>
    <s v="Hoodie"/>
    <s v="Off-White"/>
    <s v="Women"/>
    <x v="2"/>
    <s v="Canada"/>
    <n v="3"/>
    <n v="296.55"/>
    <n v="889.65"/>
    <s v="Card"/>
  </r>
  <r>
    <x v="91"/>
    <s v="Puma Joggers"/>
    <s v="Joggers"/>
    <s v="Puma"/>
    <s v="Women"/>
    <x v="2"/>
    <s v="UK"/>
    <n v="1"/>
    <n v="56.73"/>
    <n v="56.73"/>
    <s v="Wallet"/>
  </r>
  <r>
    <x v="141"/>
    <s v="Supreme Hoodie"/>
    <s v="Hoodie"/>
    <s v="Supreme"/>
    <s v="Unisex"/>
    <x v="2"/>
    <s v="UK"/>
    <n v="1"/>
    <n v="91.56"/>
    <n v="91.56"/>
    <s v="UPI"/>
  </r>
  <r>
    <x v="142"/>
    <s v="New Era Cap"/>
    <s v="Cap"/>
    <s v="New Era"/>
    <s v="Women"/>
    <x v="3"/>
    <s v="USA"/>
    <n v="2"/>
    <n v="152.54"/>
    <n v="305.08"/>
    <s v="Card"/>
  </r>
  <r>
    <x v="143"/>
    <s v="New Era Cap"/>
    <s v="Cap"/>
    <s v="New Era"/>
    <s v="Women"/>
    <x v="2"/>
    <s v="Australia"/>
    <n v="4"/>
    <n v="61.37"/>
    <n v="245.48"/>
    <s v="Cash on Delivery"/>
  </r>
  <r>
    <x v="53"/>
    <s v="Off-White Hoodie"/>
    <s v="Hoodie"/>
    <s v="Off-White"/>
    <s v="Men"/>
    <x v="3"/>
    <s v="Japan"/>
    <n v="3"/>
    <n v="162.36000000000001"/>
    <n v="487.08"/>
    <s v="Wallet"/>
  </r>
  <r>
    <x v="18"/>
    <s v="Supreme Hoodie"/>
    <s v="Hoodie"/>
    <s v="Supreme"/>
    <s v="Men"/>
    <x v="3"/>
    <s v="USA"/>
    <n v="2"/>
    <n v="257.5"/>
    <n v="515"/>
    <s v="UPI"/>
  </r>
  <r>
    <x v="144"/>
    <s v="Nike Dunk Low"/>
    <s v="Sneakers"/>
    <s v="Nike"/>
    <s v="Women"/>
    <x v="2"/>
    <s v="Germany"/>
    <n v="4"/>
    <n v="202.28"/>
    <n v="809.12"/>
    <s v="Card"/>
  </r>
  <r>
    <x v="13"/>
    <s v="New Era Cap"/>
    <s v="Cap"/>
    <s v="New Era"/>
    <s v="Unisex"/>
    <x v="2"/>
    <s v="India"/>
    <n v="1"/>
    <n v="224.83"/>
    <n v="224.83"/>
    <s v="Cash on Delivery"/>
  </r>
  <r>
    <x v="129"/>
    <s v="Puma Joggers"/>
    <s v="Joggers"/>
    <s v="Puma"/>
    <s v="Men"/>
    <x v="3"/>
    <s v="Canada"/>
    <n v="3"/>
    <n v="256.27"/>
    <n v="768.81"/>
    <s v="Cash on Delivery"/>
  </r>
  <r>
    <x v="145"/>
    <s v="Yeezy Boost 350"/>
    <s v="Sneakers"/>
    <s v="Adidas"/>
    <s v="Women"/>
    <x v="0"/>
    <s v="UK"/>
    <n v="2"/>
    <n v="277.26"/>
    <n v="554.52"/>
    <s v="UPI"/>
  </r>
  <r>
    <x v="143"/>
    <s v="Puma Joggers"/>
    <s v="Joggers"/>
    <s v="Puma"/>
    <s v="Unisex"/>
    <x v="3"/>
    <s v="Canada"/>
    <n v="3"/>
    <n v="271.19"/>
    <n v="813.57"/>
    <s v="Cash on Delivery"/>
  </r>
  <r>
    <x v="146"/>
    <s v="Off-White Hoodie"/>
    <s v="Hoodie"/>
    <s v="Off-White"/>
    <s v="Men"/>
    <x v="3"/>
    <s v="Canada"/>
    <n v="3"/>
    <n v="205.62"/>
    <n v="616.86"/>
    <s v="Wallet"/>
  </r>
  <r>
    <x v="147"/>
    <s v="Jordan 1 High"/>
    <s v="Sneakers"/>
    <s v="Nike"/>
    <s v="Men"/>
    <x v="3"/>
    <s v="USA"/>
    <n v="4"/>
    <n v="130.97"/>
    <n v="523.88"/>
    <s v="Card"/>
  </r>
  <r>
    <x v="145"/>
    <s v="Fear of God Essentials Tee"/>
    <s v="T-shirt"/>
    <s v="Essentials"/>
    <s v="Men"/>
    <x v="3"/>
    <s v="Canada"/>
    <n v="5"/>
    <n v="267.70999999999998"/>
    <n v="1338.55"/>
    <s v="Cash on Delivery"/>
  </r>
  <r>
    <x v="148"/>
    <s v="Nike Dunk Low"/>
    <s v="Sneakers"/>
    <s v="Nike"/>
    <s v="Men"/>
    <x v="1"/>
    <s v="USA"/>
    <n v="4"/>
    <n v="151.37"/>
    <n v="605.48"/>
    <s v="UPI"/>
  </r>
  <r>
    <x v="53"/>
    <s v="Off-White Hoodie"/>
    <s v="Hoodie"/>
    <s v="Off-White"/>
    <s v="Men"/>
    <x v="1"/>
    <s v="Canada"/>
    <n v="5"/>
    <n v="89.84"/>
    <n v="449.2"/>
    <s v="Wallet"/>
  </r>
  <r>
    <x v="149"/>
    <s v="Puma Joggers"/>
    <s v="Joggers"/>
    <s v="Puma"/>
    <s v="Men"/>
    <x v="3"/>
    <s v="Canada"/>
    <n v="1"/>
    <n v="276.64"/>
    <n v="276.64"/>
    <s v="Card"/>
  </r>
  <r>
    <x v="102"/>
    <s v="Puma Joggers"/>
    <s v="Joggers"/>
    <s v="Puma"/>
    <s v="Unisex"/>
    <x v="0"/>
    <s v="India"/>
    <n v="3"/>
    <n v="203.41"/>
    <n v="610.23"/>
    <s v="Card"/>
  </r>
  <r>
    <x v="150"/>
    <s v="Nike Tech Fleece"/>
    <s v="Hoodie"/>
    <s v="Nike"/>
    <s v="Men"/>
    <x v="0"/>
    <s v="UK"/>
    <n v="2"/>
    <n v="195.85"/>
    <n v="391.7"/>
    <s v="Wallet"/>
  </r>
  <r>
    <x v="27"/>
    <s v="Puma Joggers"/>
    <s v="Joggers"/>
    <s v="Puma"/>
    <s v="Men"/>
    <x v="1"/>
    <s v="Australia"/>
    <n v="2"/>
    <n v="288.87"/>
    <n v="577.74"/>
    <s v="UPI"/>
  </r>
  <r>
    <x v="14"/>
    <s v="Nike Tech Fleece"/>
    <s v="Hoodie"/>
    <s v="Nike"/>
    <s v="Men"/>
    <x v="1"/>
    <s v="Australia"/>
    <n v="1"/>
    <n v="65.45"/>
    <n v="65.45"/>
    <s v="Cash on Delivery"/>
  </r>
  <r>
    <x v="151"/>
    <s v="Yeezy Boost 350"/>
    <s v="Sneakers"/>
    <s v="Adidas"/>
    <s v="Unisex"/>
    <x v="2"/>
    <s v="USA"/>
    <n v="1"/>
    <n v="202.42"/>
    <n v="202.42"/>
    <s v="Wallet"/>
  </r>
  <r>
    <x v="152"/>
    <s v="Nike Tech Fleece"/>
    <s v="Hoodie"/>
    <s v="Nike"/>
    <s v="Men"/>
    <x v="3"/>
    <s v="Australia"/>
    <n v="2"/>
    <n v="51.11"/>
    <n v="102.22"/>
    <s v="Cash on Delivery"/>
  </r>
  <r>
    <x v="3"/>
    <s v="New Era Cap"/>
    <s v="Cap"/>
    <s v="New Era"/>
    <s v="Men"/>
    <x v="0"/>
    <s v="Japan"/>
    <n v="1"/>
    <n v="292.68"/>
    <n v="292.68"/>
    <s v="UPI"/>
  </r>
  <r>
    <x v="150"/>
    <s v="Puma Joggers"/>
    <s v="Joggers"/>
    <s v="Puma"/>
    <s v="Women"/>
    <x v="2"/>
    <s v="USA"/>
    <n v="2"/>
    <n v="175.51"/>
    <n v="351.02"/>
    <s v="UPI"/>
  </r>
  <r>
    <x v="2"/>
    <s v="Yeezy Boost 350"/>
    <s v="Sneakers"/>
    <s v="Adidas"/>
    <s v="Women"/>
    <x v="1"/>
    <s v="Germany"/>
    <n v="4"/>
    <n v="211.37"/>
    <n v="845.48"/>
    <s v="Card"/>
  </r>
  <r>
    <x v="85"/>
    <s v="Nike Tech Fleece"/>
    <s v="Hoodie"/>
    <s v="Nike"/>
    <s v="Unisex"/>
    <x v="2"/>
    <s v="Germany"/>
    <n v="1"/>
    <n v="209.78"/>
    <n v="209.78"/>
    <s v="UPI"/>
  </r>
  <r>
    <x v="153"/>
    <s v="Nike Dunk Low"/>
    <s v="Sneakers"/>
    <s v="Nike"/>
    <s v="Unisex"/>
    <x v="2"/>
    <s v="India"/>
    <n v="1"/>
    <n v="59.85"/>
    <n v="59.85"/>
    <s v="Wallet"/>
  </r>
  <r>
    <x v="154"/>
    <s v="Nike Dunk Low"/>
    <s v="Sneakers"/>
    <s v="Nike"/>
    <s v="Unisex"/>
    <x v="3"/>
    <s v="Canada"/>
    <n v="3"/>
    <n v="156.27000000000001"/>
    <n v="468.81"/>
    <s v="UPI"/>
  </r>
  <r>
    <x v="155"/>
    <s v="Yeezy Boost 350"/>
    <s v="Sneakers"/>
    <s v="Adidas"/>
    <s v="Unisex"/>
    <x v="0"/>
    <s v="Australia"/>
    <n v="2"/>
    <n v="175"/>
    <n v="350"/>
    <s v="Card"/>
  </r>
  <r>
    <x v="156"/>
    <s v="Off-White Hoodie"/>
    <s v="Hoodie"/>
    <s v="Off-White"/>
    <s v="Men"/>
    <x v="2"/>
    <s v="UK"/>
    <n v="2"/>
    <n v="88"/>
    <n v="176"/>
    <s v="Wallet"/>
  </r>
  <r>
    <x v="76"/>
    <s v="Nike Dunk Low"/>
    <s v="Sneakers"/>
    <s v="Nike"/>
    <s v="Men"/>
    <x v="2"/>
    <s v="UK"/>
    <n v="4"/>
    <n v="293.33"/>
    <n v="1173.32"/>
    <s v="Card"/>
  </r>
  <r>
    <x v="154"/>
    <s v="Nike Dunk Low"/>
    <s v="Sneakers"/>
    <s v="Nike"/>
    <s v="Unisex"/>
    <x v="0"/>
    <s v="Germany"/>
    <n v="5"/>
    <n v="285.37"/>
    <n v="1426.85"/>
    <s v="UPI"/>
  </r>
  <r>
    <x v="157"/>
    <s v="Off-White Hoodie"/>
    <s v="Hoodie"/>
    <s v="Off-White"/>
    <s v="Women"/>
    <x v="1"/>
    <s v="USA"/>
    <n v="5"/>
    <n v="220.59"/>
    <n v="1102.95"/>
    <s v="Wallet"/>
  </r>
  <r>
    <x v="92"/>
    <s v="Nike Dunk Low"/>
    <s v="Sneakers"/>
    <s v="Nike"/>
    <s v="Men"/>
    <x v="3"/>
    <s v="Australia"/>
    <n v="5"/>
    <n v="214"/>
    <n v="1070"/>
    <s v="Wallet"/>
  </r>
  <r>
    <x v="130"/>
    <s v="Yeezy Boost 350"/>
    <s v="Sneakers"/>
    <s v="Adidas"/>
    <s v="Unisex"/>
    <x v="0"/>
    <s v="Germany"/>
    <n v="5"/>
    <n v="208.24"/>
    <n v="1041.2"/>
    <s v="Card"/>
  </r>
  <r>
    <x v="114"/>
    <s v="Supreme Hoodie"/>
    <s v="Hoodie"/>
    <s v="Supreme"/>
    <s v="Unisex"/>
    <x v="2"/>
    <s v="Germany"/>
    <n v="4"/>
    <n v="133.69999999999999"/>
    <n v="534.79999999999995"/>
    <s v="UPI"/>
  </r>
  <r>
    <x v="158"/>
    <s v="Fear of God Essentials Tee"/>
    <s v="T-shirt"/>
    <s v="Essentials"/>
    <s v="Men"/>
    <x v="2"/>
    <s v="India"/>
    <n v="2"/>
    <n v="158.69999999999999"/>
    <n v="317.39999999999998"/>
    <s v="Wallet"/>
  </r>
  <r>
    <x v="159"/>
    <s v="Nike Tech Fleece"/>
    <s v="Hoodie"/>
    <s v="Nike"/>
    <s v="Women"/>
    <x v="3"/>
    <s v="UK"/>
    <n v="2"/>
    <n v="244.13"/>
    <n v="488.26"/>
    <s v="Cash on Delivery"/>
  </r>
  <r>
    <x v="160"/>
    <s v="Nike Tech Fleece"/>
    <s v="Hoodie"/>
    <s v="Nike"/>
    <s v="Women"/>
    <x v="2"/>
    <s v="Australia"/>
    <n v="5"/>
    <n v="147.99"/>
    <n v="739.95"/>
    <s v="UPI"/>
  </r>
  <r>
    <x v="96"/>
    <s v="Fear of God Essentials Tee"/>
    <s v="T-shirt"/>
    <s v="Essentials"/>
    <s v="Unisex"/>
    <x v="2"/>
    <s v="Japan"/>
    <n v="1"/>
    <n v="157.81"/>
    <n v="157.81"/>
    <s v="Cash on Delivery"/>
  </r>
  <r>
    <x v="161"/>
    <s v="Puma Joggers"/>
    <s v="Joggers"/>
    <s v="Puma"/>
    <s v="Unisex"/>
    <x v="3"/>
    <s v="Germany"/>
    <n v="2"/>
    <n v="212.76"/>
    <n v="425.52"/>
    <s v="Wallet"/>
  </r>
  <r>
    <x v="113"/>
    <s v="Adidas Ultraboost"/>
    <s v="Sneakers"/>
    <s v="Adidas"/>
    <s v="Women"/>
    <x v="2"/>
    <s v="Australia"/>
    <n v="3"/>
    <n v="225.9"/>
    <n v="677.7"/>
    <s v="Wallet"/>
  </r>
  <r>
    <x v="89"/>
    <s v="New Era Cap"/>
    <s v="Cap"/>
    <s v="New Era"/>
    <s v="Men"/>
    <x v="3"/>
    <s v="Canada"/>
    <n v="3"/>
    <n v="112.98"/>
    <n v="338.94"/>
    <s v="Wallet"/>
  </r>
  <r>
    <x v="118"/>
    <s v="New Era Cap"/>
    <s v="Cap"/>
    <s v="New Era"/>
    <s v="Unisex"/>
    <x v="2"/>
    <s v="Canada"/>
    <n v="2"/>
    <n v="100.84"/>
    <n v="201.68"/>
    <s v="Cash on Delivery"/>
  </r>
  <r>
    <x v="69"/>
    <s v="Jordan 1 High"/>
    <s v="Sneakers"/>
    <s v="Nike"/>
    <s v="Women"/>
    <x v="2"/>
    <s v="Canada"/>
    <n v="4"/>
    <n v="292.75"/>
    <n v="1171"/>
    <s v="Wallet"/>
  </r>
  <r>
    <x v="81"/>
    <s v="Nike Tech Fleece"/>
    <s v="Hoodie"/>
    <s v="Nike"/>
    <s v="Men"/>
    <x v="3"/>
    <s v="UK"/>
    <n v="3"/>
    <n v="82.62"/>
    <n v="247.86"/>
    <s v="Cash on Delivery"/>
  </r>
  <r>
    <x v="162"/>
    <s v="Off-White Hoodie"/>
    <s v="Hoodie"/>
    <s v="Off-White"/>
    <s v="Men"/>
    <x v="1"/>
    <s v="Australia"/>
    <n v="3"/>
    <n v="246.13"/>
    <n v="738.39"/>
    <s v="UPI"/>
  </r>
  <r>
    <x v="125"/>
    <s v="Nike Dunk Low"/>
    <s v="Sneakers"/>
    <s v="Nike"/>
    <s v="Men"/>
    <x v="3"/>
    <s v="Germany"/>
    <n v="4"/>
    <n v="168.01"/>
    <n v="672.04"/>
    <s v="Wallet"/>
  </r>
  <r>
    <x v="139"/>
    <s v="Adidas Ultraboost"/>
    <s v="Sneakers"/>
    <s v="Adidas"/>
    <s v="Men"/>
    <x v="1"/>
    <s v="Japan"/>
    <n v="1"/>
    <n v="93.08"/>
    <n v="93.08"/>
    <s v="Wallet"/>
  </r>
  <r>
    <x v="163"/>
    <s v="Off-White Hoodie"/>
    <s v="Hoodie"/>
    <s v="Off-White"/>
    <s v="Women"/>
    <x v="0"/>
    <s v="Australia"/>
    <n v="3"/>
    <n v="161.55000000000001"/>
    <n v="484.65"/>
    <s v="UPI"/>
  </r>
  <r>
    <x v="164"/>
    <s v="New Era Cap"/>
    <s v="Cap"/>
    <s v="New Era"/>
    <s v="Men"/>
    <x v="2"/>
    <s v="Germany"/>
    <n v="3"/>
    <n v="228.84"/>
    <n v="686.52"/>
    <s v="UPI"/>
  </r>
  <r>
    <x v="165"/>
    <s v="Off-White Hoodie"/>
    <s v="Hoodie"/>
    <s v="Off-White"/>
    <s v="Women"/>
    <x v="1"/>
    <s v="USA"/>
    <n v="4"/>
    <n v="221.31"/>
    <n v="885.24"/>
    <s v="Card"/>
  </r>
  <r>
    <x v="94"/>
    <s v="New Era Cap"/>
    <s v="Cap"/>
    <s v="New Era"/>
    <s v="Women"/>
    <x v="1"/>
    <s v="UK"/>
    <n v="2"/>
    <n v="287.68"/>
    <n v="575.36"/>
    <s v="Cash on Delivery"/>
  </r>
  <r>
    <x v="78"/>
    <s v="Nike Dunk Low"/>
    <s v="Sneakers"/>
    <s v="Nike"/>
    <s v="Women"/>
    <x v="0"/>
    <s v="UK"/>
    <n v="5"/>
    <n v="168.7"/>
    <n v="843.5"/>
    <s v="Wallet"/>
  </r>
  <r>
    <x v="60"/>
    <s v="Fear of God Essentials Tee"/>
    <s v="T-shirt"/>
    <s v="Essentials"/>
    <s v="Women"/>
    <x v="3"/>
    <s v="UK"/>
    <n v="3"/>
    <n v="153.82"/>
    <n v="461.46"/>
    <s v="Cash on Delivery"/>
  </r>
  <r>
    <x v="7"/>
    <s v="Adidas Ultraboost"/>
    <s v="Sneakers"/>
    <s v="Adidas"/>
    <s v="Unisex"/>
    <x v="2"/>
    <s v="Japan"/>
    <n v="4"/>
    <n v="281"/>
    <n v="1124"/>
    <s v="UPI"/>
  </r>
  <r>
    <x v="166"/>
    <s v="Puma Joggers"/>
    <s v="Joggers"/>
    <s v="Puma"/>
    <s v="Women"/>
    <x v="3"/>
    <s v="India"/>
    <n v="5"/>
    <n v="112.4"/>
    <n v="562"/>
    <s v="Wallet"/>
  </r>
  <r>
    <x v="74"/>
    <s v="Off-White Hoodie"/>
    <s v="Hoodie"/>
    <s v="Off-White"/>
    <s v="Unisex"/>
    <x v="0"/>
    <s v="Canada"/>
    <n v="1"/>
    <n v="233.16"/>
    <n v="233.16"/>
    <s v="Cash on Delivery"/>
  </r>
  <r>
    <x v="80"/>
    <s v="Yeezy Boost 350"/>
    <s v="Sneakers"/>
    <s v="Adidas"/>
    <s v="Unisex"/>
    <x v="1"/>
    <s v="USA"/>
    <n v="5"/>
    <n v="248.71"/>
    <n v="1243.55"/>
    <s v="Wallet"/>
  </r>
  <r>
    <x v="36"/>
    <s v="Nike Tech Fleece"/>
    <s v="Hoodie"/>
    <s v="Nike"/>
    <s v="Men"/>
    <x v="2"/>
    <s v="Australia"/>
    <n v="5"/>
    <n v="157.19999999999999"/>
    <n v="786"/>
    <s v="Wallet"/>
  </r>
  <r>
    <x v="58"/>
    <s v="Yeezy Boost 350"/>
    <s v="Sneakers"/>
    <s v="Adidas"/>
    <s v="Men"/>
    <x v="0"/>
    <s v="Australia"/>
    <n v="4"/>
    <n v="113.75"/>
    <n v="455"/>
    <s v="Wallet"/>
  </r>
  <r>
    <x v="167"/>
    <s v="Yeezy Boost 350"/>
    <s v="Sneakers"/>
    <s v="Adidas"/>
    <s v="Women"/>
    <x v="3"/>
    <s v="Germany"/>
    <n v="1"/>
    <n v="109.66"/>
    <n v="109.66"/>
    <s v="Cash on Delivery"/>
  </r>
  <r>
    <x v="44"/>
    <s v="Puma Joggers"/>
    <s v="Joggers"/>
    <s v="Puma"/>
    <s v="Women"/>
    <x v="2"/>
    <s v="India"/>
    <n v="1"/>
    <n v="81.569999999999993"/>
    <n v="81.569999999999993"/>
    <s v="UPI"/>
  </r>
  <r>
    <x v="81"/>
    <s v="Fear of God Essentials Tee"/>
    <s v="T-shirt"/>
    <s v="Essentials"/>
    <s v="Men"/>
    <x v="2"/>
    <s v="Canada"/>
    <n v="2"/>
    <n v="247.2"/>
    <n v="494.4"/>
    <s v="UPI"/>
  </r>
  <r>
    <x v="168"/>
    <s v="Puma Joggers"/>
    <s v="Joggers"/>
    <s v="Puma"/>
    <s v="Women"/>
    <x v="1"/>
    <s v="Japan"/>
    <n v="4"/>
    <n v="250.26"/>
    <n v="1001.04"/>
    <s v="Card"/>
  </r>
  <r>
    <x v="169"/>
    <s v="Adidas Ultraboost"/>
    <s v="Sneakers"/>
    <s v="Adidas"/>
    <s v="Unisex"/>
    <x v="1"/>
    <s v="Germany"/>
    <n v="1"/>
    <n v="137.19999999999999"/>
    <n v="137.19999999999999"/>
    <s v="Card"/>
  </r>
  <r>
    <x v="11"/>
    <s v="Adidas Ultraboost"/>
    <s v="Sneakers"/>
    <s v="Adidas"/>
    <s v="Women"/>
    <x v="3"/>
    <s v="Canada"/>
    <n v="3"/>
    <n v="164.06"/>
    <n v="492.18"/>
    <s v="UPI"/>
  </r>
  <r>
    <x v="51"/>
    <s v="Off-White Hoodie"/>
    <s v="Hoodie"/>
    <s v="Off-White"/>
    <s v="Unisex"/>
    <x v="3"/>
    <s v="USA"/>
    <n v="4"/>
    <n v="198.45"/>
    <n v="793.8"/>
    <s v="Wallet"/>
  </r>
  <r>
    <x v="55"/>
    <s v="Puma Joggers"/>
    <s v="Joggers"/>
    <s v="Puma"/>
    <s v="Unisex"/>
    <x v="0"/>
    <s v="Germany"/>
    <n v="2"/>
    <n v="162.47999999999999"/>
    <n v="324.95999999999998"/>
    <s v="Cash on Delivery"/>
  </r>
  <r>
    <x v="91"/>
    <s v="Supreme Hoodie"/>
    <s v="Hoodie"/>
    <s v="Supreme"/>
    <s v="Men"/>
    <x v="2"/>
    <s v="UK"/>
    <n v="4"/>
    <n v="243.48"/>
    <n v="973.92"/>
    <s v="Wallet"/>
  </r>
  <r>
    <x v="150"/>
    <s v="Nike Dunk Low"/>
    <s v="Sneakers"/>
    <s v="Nike"/>
    <s v="Women"/>
    <x v="0"/>
    <s v="UK"/>
    <n v="4"/>
    <n v="183.4"/>
    <n v="733.6"/>
    <s v="Card"/>
  </r>
  <r>
    <x v="37"/>
    <s v="Off-White Hoodie"/>
    <s v="Hoodie"/>
    <s v="Off-White"/>
    <s v="Men"/>
    <x v="3"/>
    <s v="UK"/>
    <n v="1"/>
    <n v="271.44"/>
    <n v="271.44"/>
    <s v="Cash on Delivery"/>
  </r>
  <r>
    <x v="79"/>
    <s v="Off-White Hoodie"/>
    <s v="Hoodie"/>
    <s v="Off-White"/>
    <s v="Unisex"/>
    <x v="0"/>
    <s v="USA"/>
    <n v="2"/>
    <n v="135.47999999999999"/>
    <n v="270.95999999999998"/>
    <s v="Cash on Delivery"/>
  </r>
  <r>
    <x v="170"/>
    <s v="Fear of God Essentials Tee"/>
    <s v="T-shirt"/>
    <s v="Essentials"/>
    <s v="Men"/>
    <x v="1"/>
    <s v="Japan"/>
    <n v="5"/>
    <n v="148.46"/>
    <n v="742.3"/>
    <s v="Card"/>
  </r>
  <r>
    <x v="8"/>
    <s v="New Era Cap"/>
    <s v="Cap"/>
    <s v="New Era"/>
    <s v="Men"/>
    <x v="2"/>
    <s v="Canada"/>
    <n v="5"/>
    <n v="251.06"/>
    <n v="1255.3"/>
    <s v="UPI"/>
  </r>
  <r>
    <x v="77"/>
    <s v="New Era Cap"/>
    <s v="Cap"/>
    <s v="New Era"/>
    <s v="Unisex"/>
    <x v="3"/>
    <s v="Germany"/>
    <n v="2"/>
    <n v="195.41"/>
    <n v="390.82"/>
    <s v="Card"/>
  </r>
  <r>
    <x v="9"/>
    <s v="Yeezy Boost 350"/>
    <s v="Sneakers"/>
    <s v="Adidas"/>
    <s v="Unisex"/>
    <x v="0"/>
    <s v="India"/>
    <n v="4"/>
    <n v="206.29"/>
    <n v="825.16"/>
    <s v="Wallet"/>
  </r>
  <r>
    <x v="118"/>
    <s v="New Era Cap"/>
    <s v="Cap"/>
    <s v="New Era"/>
    <s v="Women"/>
    <x v="3"/>
    <s v="Japan"/>
    <n v="4"/>
    <n v="146.09"/>
    <n v="584.36"/>
    <s v="Cash on Delivery"/>
  </r>
  <r>
    <x v="36"/>
    <s v="Yeezy Boost 350"/>
    <s v="Sneakers"/>
    <s v="Adidas"/>
    <s v="Women"/>
    <x v="0"/>
    <s v="USA"/>
    <n v="1"/>
    <n v="284.3"/>
    <n v="284.3"/>
    <s v="Card"/>
  </r>
  <r>
    <x v="163"/>
    <s v="Puma Joggers"/>
    <s v="Joggers"/>
    <s v="Puma"/>
    <s v="Unisex"/>
    <x v="0"/>
    <s v="Australia"/>
    <n v="5"/>
    <n v="289.47000000000003"/>
    <n v="1447.35"/>
    <s v="Card"/>
  </r>
  <r>
    <x v="171"/>
    <s v="Nike Tech Fleece"/>
    <s v="Hoodie"/>
    <s v="Nike"/>
    <s v="Women"/>
    <x v="1"/>
    <s v="UK"/>
    <n v="2"/>
    <n v="218.25"/>
    <n v="436.5"/>
    <s v="Wallet"/>
  </r>
  <r>
    <x v="32"/>
    <s v="Jordan 1 High"/>
    <s v="Sneakers"/>
    <s v="Nike"/>
    <s v="Men"/>
    <x v="3"/>
    <s v="India"/>
    <n v="4"/>
    <n v="204.62"/>
    <n v="818.48"/>
    <s v="Wallet"/>
  </r>
  <r>
    <x v="93"/>
    <s v="Puma Joggers"/>
    <s v="Joggers"/>
    <s v="Puma"/>
    <s v="Women"/>
    <x v="0"/>
    <s v="Japan"/>
    <n v="2"/>
    <n v="267.42"/>
    <n v="534.84"/>
    <s v="Cash on Delivery"/>
  </r>
  <r>
    <x v="129"/>
    <s v="Supreme Hoodie"/>
    <s v="Hoodie"/>
    <s v="Supreme"/>
    <s v="Men"/>
    <x v="2"/>
    <s v="Germany"/>
    <n v="1"/>
    <n v="144.59"/>
    <n v="144.59"/>
    <s v="UPI"/>
  </r>
  <r>
    <x v="172"/>
    <s v="Yeezy Boost 350"/>
    <s v="Sneakers"/>
    <s v="Adidas"/>
    <s v="Men"/>
    <x v="1"/>
    <s v="Canada"/>
    <n v="2"/>
    <n v="80.47"/>
    <n v="160.94"/>
    <s v="Card"/>
  </r>
  <r>
    <x v="173"/>
    <s v="Nike Tech Fleece"/>
    <s v="Hoodie"/>
    <s v="Nike"/>
    <s v="Men"/>
    <x v="2"/>
    <s v="Canada"/>
    <n v="2"/>
    <n v="98.17"/>
    <n v="196.34"/>
    <s v="Card"/>
  </r>
  <r>
    <x v="65"/>
    <s v="Off-White Hoodie"/>
    <s v="Hoodie"/>
    <s v="Off-White"/>
    <s v="Men"/>
    <x v="1"/>
    <s v="UK"/>
    <n v="2"/>
    <n v="63.76"/>
    <n v="127.52"/>
    <s v="Cash on Delivery"/>
  </r>
  <r>
    <x v="95"/>
    <s v="Supreme Hoodie"/>
    <s v="Hoodie"/>
    <s v="Supreme"/>
    <s v="Men"/>
    <x v="2"/>
    <s v="UK"/>
    <n v="2"/>
    <n v="157.12"/>
    <n v="314.24"/>
    <s v="Card"/>
  </r>
  <r>
    <x v="174"/>
    <s v="Supreme Hoodie"/>
    <s v="Hoodie"/>
    <s v="Supreme"/>
    <s v="Women"/>
    <x v="2"/>
    <s v="Germany"/>
    <n v="5"/>
    <n v="293.20999999999998"/>
    <n v="1466.05"/>
    <s v="Cash on Delivery"/>
  </r>
  <r>
    <x v="101"/>
    <s v="Off-White Hoodie"/>
    <s v="Hoodie"/>
    <s v="Off-White"/>
    <s v="Men"/>
    <x v="3"/>
    <s v="UK"/>
    <n v="2"/>
    <n v="142.25"/>
    <n v="284.5"/>
    <s v="UPI"/>
  </r>
  <r>
    <x v="76"/>
    <s v="Off-White Hoodie"/>
    <s v="Hoodie"/>
    <s v="Off-White"/>
    <s v="Men"/>
    <x v="1"/>
    <s v="Japan"/>
    <n v="1"/>
    <n v="86.17"/>
    <n v="86.17"/>
    <s v="Wallet"/>
  </r>
  <r>
    <x v="127"/>
    <s v="Nike Tech Fleece"/>
    <s v="Hoodie"/>
    <s v="Nike"/>
    <s v="Women"/>
    <x v="0"/>
    <s v="Canada"/>
    <n v="3"/>
    <n v="172.37"/>
    <n v="517.11"/>
    <s v="Card"/>
  </r>
  <r>
    <x v="175"/>
    <s v="Off-White Hoodie"/>
    <s v="Hoodie"/>
    <s v="Off-White"/>
    <s v="Men"/>
    <x v="1"/>
    <s v="India"/>
    <n v="3"/>
    <n v="236.05"/>
    <n v="708.15"/>
    <s v="UPI"/>
  </r>
  <r>
    <x v="176"/>
    <s v="Nike Tech Fleece"/>
    <s v="Hoodie"/>
    <s v="Nike"/>
    <s v="Men"/>
    <x v="3"/>
    <s v="UK"/>
    <n v="3"/>
    <n v="256.72000000000003"/>
    <n v="770.16"/>
    <s v="UPI"/>
  </r>
  <r>
    <x v="22"/>
    <s v="Nike Dunk Low"/>
    <s v="Sneakers"/>
    <s v="Nike"/>
    <s v="Men"/>
    <x v="0"/>
    <s v="UK"/>
    <n v="4"/>
    <n v="205.64"/>
    <n v="822.56"/>
    <s v="Wallet"/>
  </r>
  <r>
    <x v="84"/>
    <s v="Off-White Hoodie"/>
    <s v="Hoodie"/>
    <s v="Off-White"/>
    <s v="Men"/>
    <x v="3"/>
    <s v="Germany"/>
    <n v="4"/>
    <n v="68.180000000000007"/>
    <n v="272.72000000000003"/>
    <s v="Cash on Delivery"/>
  </r>
  <r>
    <x v="24"/>
    <s v="New Era Cap"/>
    <s v="Cap"/>
    <s v="New Era"/>
    <s v="Men"/>
    <x v="0"/>
    <s v="Australia"/>
    <n v="4"/>
    <n v="68.97"/>
    <n v="275.88"/>
    <s v="Card"/>
  </r>
  <r>
    <x v="44"/>
    <s v="Nike Tech Fleece"/>
    <s v="Hoodie"/>
    <s v="Nike"/>
    <s v="Unisex"/>
    <x v="0"/>
    <s v="Germany"/>
    <n v="5"/>
    <n v="123.23"/>
    <n v="616.15"/>
    <s v="Wallet"/>
  </r>
  <r>
    <x v="158"/>
    <s v="Nike Dunk Low"/>
    <s v="Sneakers"/>
    <s v="Nike"/>
    <s v="Women"/>
    <x v="3"/>
    <s v="Australia"/>
    <n v="5"/>
    <n v="273"/>
    <n v="1365"/>
    <s v="Card"/>
  </r>
  <r>
    <x v="177"/>
    <s v="Yeezy Boost 350"/>
    <s v="Sneakers"/>
    <s v="Adidas"/>
    <s v="Women"/>
    <x v="2"/>
    <s v="Canada"/>
    <n v="3"/>
    <n v="225.84"/>
    <n v="677.52"/>
    <s v="Card"/>
  </r>
  <r>
    <x v="79"/>
    <s v="Jordan 1 High"/>
    <s v="Sneakers"/>
    <s v="Nike"/>
    <s v="Women"/>
    <x v="1"/>
    <s v="Canada"/>
    <n v="3"/>
    <n v="235.36"/>
    <n v="706.08"/>
    <s v="Wallet"/>
  </r>
  <r>
    <x v="178"/>
    <s v="Yeezy Boost 350"/>
    <s v="Sneakers"/>
    <s v="Adidas"/>
    <s v="Women"/>
    <x v="1"/>
    <s v="India"/>
    <n v="5"/>
    <n v="189.94"/>
    <n v="949.7"/>
    <s v="Cash on Delivery"/>
  </r>
  <r>
    <x v="93"/>
    <s v="Off-White Hoodie"/>
    <s v="Hoodie"/>
    <s v="Off-White"/>
    <s v="Women"/>
    <x v="2"/>
    <s v="USA"/>
    <n v="3"/>
    <n v="110.2"/>
    <n v="330.6"/>
    <s v="Card"/>
  </r>
  <r>
    <x v="18"/>
    <s v="Off-White Hoodie"/>
    <s v="Hoodie"/>
    <s v="Off-White"/>
    <s v="Unisex"/>
    <x v="1"/>
    <s v="Germany"/>
    <n v="2"/>
    <n v="54.76"/>
    <n v="109.52"/>
    <s v="Wallet"/>
  </r>
  <r>
    <x v="22"/>
    <s v="Supreme Hoodie"/>
    <s v="Hoodie"/>
    <s v="Supreme"/>
    <s v="Women"/>
    <x v="1"/>
    <s v="Australia"/>
    <n v="1"/>
    <n v="296.56"/>
    <n v="296.56"/>
    <s v="UPI"/>
  </r>
  <r>
    <x v="179"/>
    <s v="Yeezy Boost 350"/>
    <s v="Sneakers"/>
    <s v="Adidas"/>
    <s v="Women"/>
    <x v="1"/>
    <s v="Australia"/>
    <n v="1"/>
    <n v="296.51"/>
    <n v="296.51"/>
    <s v="Wallet"/>
  </r>
  <r>
    <x v="75"/>
    <s v="Puma Joggers"/>
    <s v="Joggers"/>
    <s v="Puma"/>
    <s v="Men"/>
    <x v="2"/>
    <s v="India"/>
    <n v="1"/>
    <n v="89.5"/>
    <n v="89.5"/>
    <s v="UPI"/>
  </r>
  <r>
    <x v="180"/>
    <s v="Yeezy Boost 350"/>
    <s v="Sneakers"/>
    <s v="Adidas"/>
    <s v="Unisex"/>
    <x v="2"/>
    <s v="UK"/>
    <n v="3"/>
    <n v="280.64"/>
    <n v="841.92"/>
    <s v="Card"/>
  </r>
  <r>
    <x v="181"/>
    <s v="Nike Tech Fleece"/>
    <s v="Hoodie"/>
    <s v="Nike"/>
    <s v="Women"/>
    <x v="3"/>
    <s v="Canada"/>
    <n v="5"/>
    <n v="234.28"/>
    <n v="1171.4000000000001"/>
    <s v="Cash on Delivery"/>
  </r>
  <r>
    <x v="151"/>
    <s v="Nike Dunk Low"/>
    <s v="Sneakers"/>
    <s v="Nike"/>
    <s v="Women"/>
    <x v="3"/>
    <s v="Japan"/>
    <n v="2"/>
    <n v="294.89"/>
    <n v="589.78"/>
    <s v="Wallet"/>
  </r>
  <r>
    <x v="171"/>
    <s v="Jordan 1 High"/>
    <s v="Sneakers"/>
    <s v="Nike"/>
    <s v="Women"/>
    <x v="1"/>
    <s v="USA"/>
    <n v="1"/>
    <n v="208.24"/>
    <n v="208.24"/>
    <s v="Cash on Delivery"/>
  </r>
  <r>
    <x v="98"/>
    <s v="Jordan 1 High"/>
    <s v="Sneakers"/>
    <s v="Nike"/>
    <s v="Men"/>
    <x v="2"/>
    <s v="India"/>
    <n v="5"/>
    <n v="94.25"/>
    <n v="471.25"/>
    <s v="Wallet"/>
  </r>
  <r>
    <x v="182"/>
    <s v="Nike Tech Fleece"/>
    <s v="Hoodie"/>
    <s v="Nike"/>
    <s v="Women"/>
    <x v="2"/>
    <s v="Germany"/>
    <n v="5"/>
    <n v="259"/>
    <n v="1295"/>
    <s v="Card"/>
  </r>
  <r>
    <x v="37"/>
    <s v="Puma Joggers"/>
    <s v="Joggers"/>
    <s v="Puma"/>
    <s v="Women"/>
    <x v="2"/>
    <s v="Germany"/>
    <n v="4"/>
    <n v="299.73"/>
    <n v="1198.92"/>
    <s v="Cash on Delivery"/>
  </r>
  <r>
    <x v="183"/>
    <s v="Adidas Ultraboost"/>
    <s v="Sneakers"/>
    <s v="Adidas"/>
    <s v="Men"/>
    <x v="2"/>
    <s v="Canada"/>
    <n v="5"/>
    <n v="71.260000000000005"/>
    <n v="356.3"/>
    <s v="Cash on Delivery"/>
  </r>
  <r>
    <x v="154"/>
    <s v="Nike Dunk Low"/>
    <s v="Sneakers"/>
    <s v="Nike"/>
    <s v="Women"/>
    <x v="0"/>
    <s v="Japan"/>
    <n v="5"/>
    <n v="270.14"/>
    <n v="1350.7"/>
    <s v="Wallet"/>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6">
  <r>
    <x v="0"/>
    <x v="0"/>
    <x v="0"/>
    <x v="0"/>
    <x v="0"/>
    <x v="0"/>
    <x v="0"/>
    <n v="5"/>
    <n v="141.82"/>
    <n v="709.1"/>
    <x v="0"/>
  </r>
  <r>
    <x v="1"/>
    <x v="1"/>
    <x v="1"/>
    <x v="1"/>
    <x v="0"/>
    <x v="1"/>
    <x v="1"/>
    <n v="1"/>
    <n v="70.69"/>
    <n v="70.69"/>
    <x v="1"/>
  </r>
  <r>
    <x v="2"/>
    <x v="2"/>
    <x v="2"/>
    <x v="2"/>
    <x v="1"/>
    <x v="2"/>
    <x v="2"/>
    <n v="1"/>
    <n v="89.14"/>
    <n v="89.14"/>
    <x v="2"/>
  </r>
  <r>
    <x v="3"/>
    <x v="3"/>
    <x v="3"/>
    <x v="3"/>
    <x v="0"/>
    <x v="0"/>
    <x v="3"/>
    <n v="4"/>
    <n v="135.07"/>
    <n v="540.28"/>
    <x v="2"/>
  </r>
  <r>
    <x v="4"/>
    <x v="4"/>
    <x v="1"/>
    <x v="1"/>
    <x v="2"/>
    <x v="3"/>
    <x v="4"/>
    <n v="2"/>
    <n v="223"/>
    <n v="446"/>
    <x v="2"/>
  </r>
  <r>
    <x v="5"/>
    <x v="0"/>
    <x v="0"/>
    <x v="0"/>
    <x v="0"/>
    <x v="0"/>
    <x v="2"/>
    <n v="4"/>
    <n v="238.52"/>
    <n v="954.08"/>
    <x v="2"/>
  </r>
  <r>
    <x v="6"/>
    <x v="5"/>
    <x v="2"/>
    <x v="4"/>
    <x v="1"/>
    <x v="2"/>
    <x v="1"/>
    <n v="5"/>
    <n v="120.55"/>
    <n v="602.75"/>
    <x v="1"/>
  </r>
  <r>
    <x v="7"/>
    <x v="3"/>
    <x v="3"/>
    <x v="3"/>
    <x v="1"/>
    <x v="3"/>
    <x v="4"/>
    <n v="4"/>
    <n v="212.66"/>
    <n v="850.64"/>
    <x v="3"/>
  </r>
  <r>
    <x v="8"/>
    <x v="2"/>
    <x v="2"/>
    <x v="2"/>
    <x v="1"/>
    <x v="3"/>
    <x v="5"/>
    <n v="5"/>
    <n v="256.22000000000003"/>
    <n v="1281.0999999999999"/>
    <x v="3"/>
  </r>
  <r>
    <x v="9"/>
    <x v="6"/>
    <x v="1"/>
    <x v="4"/>
    <x v="0"/>
    <x v="2"/>
    <x v="5"/>
    <n v="4"/>
    <n v="124.4"/>
    <n v="497.6"/>
    <x v="3"/>
  </r>
  <r>
    <x v="10"/>
    <x v="6"/>
    <x v="1"/>
    <x v="4"/>
    <x v="1"/>
    <x v="2"/>
    <x v="4"/>
    <n v="2"/>
    <n v="80.33"/>
    <n v="160.66"/>
    <x v="0"/>
  </r>
  <r>
    <x v="11"/>
    <x v="7"/>
    <x v="2"/>
    <x v="5"/>
    <x v="0"/>
    <x v="1"/>
    <x v="5"/>
    <n v="5"/>
    <n v="58.65"/>
    <n v="293.25"/>
    <x v="1"/>
  </r>
  <r>
    <x v="12"/>
    <x v="8"/>
    <x v="1"/>
    <x v="4"/>
    <x v="1"/>
    <x v="3"/>
    <x v="6"/>
    <n v="5"/>
    <n v="183.55"/>
    <n v="917.75"/>
    <x v="2"/>
  </r>
  <r>
    <x v="13"/>
    <x v="9"/>
    <x v="4"/>
    <x v="6"/>
    <x v="0"/>
    <x v="3"/>
    <x v="5"/>
    <n v="2"/>
    <n v="210.77"/>
    <n v="421.54"/>
    <x v="0"/>
  </r>
  <r>
    <x v="14"/>
    <x v="1"/>
    <x v="1"/>
    <x v="1"/>
    <x v="0"/>
    <x v="2"/>
    <x v="4"/>
    <n v="4"/>
    <n v="218.82"/>
    <n v="875.28"/>
    <x v="3"/>
  </r>
  <r>
    <x v="15"/>
    <x v="0"/>
    <x v="0"/>
    <x v="0"/>
    <x v="1"/>
    <x v="1"/>
    <x v="2"/>
    <n v="5"/>
    <n v="133.74"/>
    <n v="668.7"/>
    <x v="0"/>
  </r>
  <r>
    <x v="16"/>
    <x v="4"/>
    <x v="1"/>
    <x v="1"/>
    <x v="1"/>
    <x v="2"/>
    <x v="2"/>
    <n v="1"/>
    <n v="208.47"/>
    <n v="208.47"/>
    <x v="2"/>
  </r>
  <r>
    <x v="17"/>
    <x v="2"/>
    <x v="2"/>
    <x v="2"/>
    <x v="0"/>
    <x v="0"/>
    <x v="5"/>
    <n v="1"/>
    <n v="180.42"/>
    <n v="180.42"/>
    <x v="2"/>
  </r>
  <r>
    <x v="18"/>
    <x v="9"/>
    <x v="4"/>
    <x v="6"/>
    <x v="2"/>
    <x v="2"/>
    <x v="0"/>
    <n v="3"/>
    <n v="127.36"/>
    <n v="382.08"/>
    <x v="0"/>
  </r>
  <r>
    <x v="19"/>
    <x v="7"/>
    <x v="2"/>
    <x v="5"/>
    <x v="2"/>
    <x v="3"/>
    <x v="0"/>
    <n v="3"/>
    <n v="149.51"/>
    <n v="448.53"/>
    <x v="2"/>
  </r>
  <r>
    <x v="20"/>
    <x v="3"/>
    <x v="3"/>
    <x v="3"/>
    <x v="2"/>
    <x v="2"/>
    <x v="3"/>
    <n v="3"/>
    <n v="136.36000000000001"/>
    <n v="409.08"/>
    <x v="0"/>
  </r>
  <r>
    <x v="12"/>
    <x v="5"/>
    <x v="2"/>
    <x v="4"/>
    <x v="0"/>
    <x v="2"/>
    <x v="2"/>
    <n v="5"/>
    <n v="162.38"/>
    <n v="811.9"/>
    <x v="0"/>
  </r>
  <r>
    <x v="0"/>
    <x v="9"/>
    <x v="4"/>
    <x v="6"/>
    <x v="1"/>
    <x v="1"/>
    <x v="1"/>
    <n v="2"/>
    <n v="259.66000000000003"/>
    <n v="519.32000000000005"/>
    <x v="3"/>
  </r>
  <r>
    <x v="21"/>
    <x v="2"/>
    <x v="2"/>
    <x v="2"/>
    <x v="2"/>
    <x v="3"/>
    <x v="5"/>
    <n v="1"/>
    <n v="180.39"/>
    <n v="180.39"/>
    <x v="0"/>
  </r>
  <r>
    <x v="22"/>
    <x v="2"/>
    <x v="2"/>
    <x v="2"/>
    <x v="2"/>
    <x v="0"/>
    <x v="5"/>
    <n v="3"/>
    <n v="80.349999999999994"/>
    <n v="241.05"/>
    <x v="0"/>
  </r>
  <r>
    <x v="23"/>
    <x v="0"/>
    <x v="0"/>
    <x v="0"/>
    <x v="2"/>
    <x v="3"/>
    <x v="0"/>
    <n v="2"/>
    <n v="222.08"/>
    <n v="444.16"/>
    <x v="1"/>
  </r>
  <r>
    <x v="24"/>
    <x v="9"/>
    <x v="4"/>
    <x v="6"/>
    <x v="1"/>
    <x v="1"/>
    <x v="4"/>
    <n v="1"/>
    <n v="287.44"/>
    <n v="287.44"/>
    <x v="1"/>
  </r>
  <r>
    <x v="25"/>
    <x v="0"/>
    <x v="0"/>
    <x v="0"/>
    <x v="0"/>
    <x v="0"/>
    <x v="2"/>
    <n v="5"/>
    <n v="137.9"/>
    <n v="689.5"/>
    <x v="1"/>
  </r>
  <r>
    <x v="26"/>
    <x v="2"/>
    <x v="2"/>
    <x v="2"/>
    <x v="0"/>
    <x v="3"/>
    <x v="5"/>
    <n v="3"/>
    <n v="214.68"/>
    <n v="644.04"/>
    <x v="1"/>
  </r>
  <r>
    <x v="27"/>
    <x v="5"/>
    <x v="2"/>
    <x v="4"/>
    <x v="1"/>
    <x v="0"/>
    <x v="6"/>
    <n v="2"/>
    <n v="269.88"/>
    <n v="539.76"/>
    <x v="2"/>
  </r>
  <r>
    <x v="28"/>
    <x v="6"/>
    <x v="1"/>
    <x v="4"/>
    <x v="0"/>
    <x v="1"/>
    <x v="3"/>
    <n v="1"/>
    <n v="96.97"/>
    <n v="96.97"/>
    <x v="3"/>
  </r>
  <r>
    <x v="29"/>
    <x v="3"/>
    <x v="3"/>
    <x v="3"/>
    <x v="1"/>
    <x v="0"/>
    <x v="1"/>
    <n v="4"/>
    <n v="270.55"/>
    <n v="1082.2"/>
    <x v="2"/>
  </r>
  <r>
    <x v="30"/>
    <x v="4"/>
    <x v="1"/>
    <x v="1"/>
    <x v="0"/>
    <x v="1"/>
    <x v="1"/>
    <n v="3"/>
    <n v="261.31"/>
    <n v="783.93"/>
    <x v="0"/>
  </r>
  <r>
    <x v="31"/>
    <x v="3"/>
    <x v="3"/>
    <x v="3"/>
    <x v="0"/>
    <x v="1"/>
    <x v="6"/>
    <n v="4"/>
    <n v="56.4"/>
    <n v="225.6"/>
    <x v="0"/>
  </r>
  <r>
    <x v="32"/>
    <x v="1"/>
    <x v="1"/>
    <x v="1"/>
    <x v="2"/>
    <x v="1"/>
    <x v="4"/>
    <n v="3"/>
    <n v="239.55"/>
    <n v="718.65"/>
    <x v="0"/>
  </r>
  <r>
    <x v="33"/>
    <x v="6"/>
    <x v="1"/>
    <x v="4"/>
    <x v="0"/>
    <x v="0"/>
    <x v="4"/>
    <n v="2"/>
    <n v="94.62"/>
    <n v="189.24"/>
    <x v="2"/>
  </r>
  <r>
    <x v="3"/>
    <x v="0"/>
    <x v="0"/>
    <x v="0"/>
    <x v="0"/>
    <x v="0"/>
    <x v="4"/>
    <n v="4"/>
    <n v="57.22"/>
    <n v="228.88"/>
    <x v="2"/>
  </r>
  <r>
    <x v="34"/>
    <x v="8"/>
    <x v="1"/>
    <x v="4"/>
    <x v="2"/>
    <x v="0"/>
    <x v="4"/>
    <n v="1"/>
    <n v="170.86"/>
    <n v="170.86"/>
    <x v="3"/>
  </r>
  <r>
    <x v="35"/>
    <x v="4"/>
    <x v="1"/>
    <x v="1"/>
    <x v="2"/>
    <x v="3"/>
    <x v="1"/>
    <n v="3"/>
    <n v="105.79"/>
    <n v="317.37"/>
    <x v="3"/>
  </r>
  <r>
    <x v="36"/>
    <x v="4"/>
    <x v="1"/>
    <x v="1"/>
    <x v="2"/>
    <x v="3"/>
    <x v="1"/>
    <n v="5"/>
    <n v="112.95"/>
    <n v="564.75"/>
    <x v="0"/>
  </r>
  <r>
    <x v="33"/>
    <x v="2"/>
    <x v="2"/>
    <x v="2"/>
    <x v="0"/>
    <x v="0"/>
    <x v="6"/>
    <n v="5"/>
    <n v="55.8"/>
    <n v="279"/>
    <x v="0"/>
  </r>
  <r>
    <x v="37"/>
    <x v="7"/>
    <x v="2"/>
    <x v="5"/>
    <x v="2"/>
    <x v="1"/>
    <x v="3"/>
    <n v="1"/>
    <n v="50.1"/>
    <n v="50.1"/>
    <x v="0"/>
  </r>
  <r>
    <x v="38"/>
    <x v="1"/>
    <x v="1"/>
    <x v="1"/>
    <x v="2"/>
    <x v="0"/>
    <x v="6"/>
    <n v="1"/>
    <n v="56.49"/>
    <n v="56.49"/>
    <x v="1"/>
  </r>
  <r>
    <x v="39"/>
    <x v="2"/>
    <x v="2"/>
    <x v="2"/>
    <x v="2"/>
    <x v="1"/>
    <x v="1"/>
    <n v="5"/>
    <n v="100.65"/>
    <n v="503.25"/>
    <x v="3"/>
  </r>
  <r>
    <x v="12"/>
    <x v="4"/>
    <x v="1"/>
    <x v="1"/>
    <x v="2"/>
    <x v="2"/>
    <x v="0"/>
    <n v="2"/>
    <n v="160.44"/>
    <n v="320.88"/>
    <x v="1"/>
  </r>
  <r>
    <x v="40"/>
    <x v="9"/>
    <x v="4"/>
    <x v="6"/>
    <x v="1"/>
    <x v="3"/>
    <x v="0"/>
    <n v="4"/>
    <n v="242.44"/>
    <n v="969.76"/>
    <x v="2"/>
  </r>
  <r>
    <x v="41"/>
    <x v="1"/>
    <x v="1"/>
    <x v="1"/>
    <x v="0"/>
    <x v="3"/>
    <x v="1"/>
    <n v="2"/>
    <n v="209.81"/>
    <n v="419.62"/>
    <x v="0"/>
  </r>
  <r>
    <x v="42"/>
    <x v="4"/>
    <x v="1"/>
    <x v="1"/>
    <x v="2"/>
    <x v="2"/>
    <x v="3"/>
    <n v="4"/>
    <n v="261.95999999999998"/>
    <n v="1047.8399999999999"/>
    <x v="2"/>
  </r>
  <r>
    <x v="43"/>
    <x v="7"/>
    <x v="2"/>
    <x v="5"/>
    <x v="2"/>
    <x v="2"/>
    <x v="6"/>
    <n v="3"/>
    <n v="242.71"/>
    <n v="728.13"/>
    <x v="2"/>
  </r>
  <r>
    <x v="44"/>
    <x v="6"/>
    <x v="1"/>
    <x v="4"/>
    <x v="1"/>
    <x v="0"/>
    <x v="6"/>
    <n v="5"/>
    <n v="299.3"/>
    <n v="1496.5"/>
    <x v="0"/>
  </r>
  <r>
    <x v="45"/>
    <x v="1"/>
    <x v="1"/>
    <x v="1"/>
    <x v="0"/>
    <x v="3"/>
    <x v="6"/>
    <n v="4"/>
    <n v="162.85"/>
    <n v="651.4"/>
    <x v="1"/>
  </r>
  <r>
    <x v="46"/>
    <x v="9"/>
    <x v="4"/>
    <x v="6"/>
    <x v="0"/>
    <x v="3"/>
    <x v="0"/>
    <n v="5"/>
    <n v="215.63"/>
    <n v="1078.1500000000001"/>
    <x v="0"/>
  </r>
  <r>
    <x v="47"/>
    <x v="6"/>
    <x v="1"/>
    <x v="4"/>
    <x v="1"/>
    <x v="0"/>
    <x v="4"/>
    <n v="1"/>
    <n v="54.99"/>
    <n v="54.99"/>
    <x v="2"/>
  </r>
  <r>
    <x v="48"/>
    <x v="1"/>
    <x v="1"/>
    <x v="1"/>
    <x v="2"/>
    <x v="1"/>
    <x v="2"/>
    <n v="4"/>
    <n v="185.7"/>
    <n v="742.8"/>
    <x v="3"/>
  </r>
  <r>
    <x v="49"/>
    <x v="5"/>
    <x v="2"/>
    <x v="4"/>
    <x v="0"/>
    <x v="3"/>
    <x v="5"/>
    <n v="2"/>
    <n v="153.75"/>
    <n v="307.5"/>
    <x v="2"/>
  </r>
  <r>
    <x v="24"/>
    <x v="7"/>
    <x v="2"/>
    <x v="5"/>
    <x v="2"/>
    <x v="0"/>
    <x v="1"/>
    <n v="5"/>
    <n v="235.5"/>
    <n v="1177.5"/>
    <x v="3"/>
  </r>
  <r>
    <x v="50"/>
    <x v="7"/>
    <x v="2"/>
    <x v="5"/>
    <x v="1"/>
    <x v="2"/>
    <x v="5"/>
    <n v="3"/>
    <n v="239.76"/>
    <n v="719.28"/>
    <x v="0"/>
  </r>
  <r>
    <x v="51"/>
    <x v="2"/>
    <x v="2"/>
    <x v="2"/>
    <x v="2"/>
    <x v="2"/>
    <x v="6"/>
    <n v="4"/>
    <n v="213.82"/>
    <n v="855.28"/>
    <x v="0"/>
  </r>
  <r>
    <x v="52"/>
    <x v="1"/>
    <x v="1"/>
    <x v="1"/>
    <x v="1"/>
    <x v="2"/>
    <x v="0"/>
    <n v="1"/>
    <n v="67.2"/>
    <n v="67.2"/>
    <x v="3"/>
  </r>
  <r>
    <x v="53"/>
    <x v="3"/>
    <x v="3"/>
    <x v="3"/>
    <x v="2"/>
    <x v="1"/>
    <x v="0"/>
    <n v="4"/>
    <n v="207.05"/>
    <n v="828.2"/>
    <x v="1"/>
  </r>
  <r>
    <x v="37"/>
    <x v="5"/>
    <x v="2"/>
    <x v="4"/>
    <x v="0"/>
    <x v="1"/>
    <x v="0"/>
    <n v="3"/>
    <n v="257.92"/>
    <n v="773.76"/>
    <x v="3"/>
  </r>
  <r>
    <x v="10"/>
    <x v="1"/>
    <x v="1"/>
    <x v="1"/>
    <x v="1"/>
    <x v="0"/>
    <x v="5"/>
    <n v="1"/>
    <n v="122.32"/>
    <n v="122.32"/>
    <x v="2"/>
  </r>
  <r>
    <x v="36"/>
    <x v="0"/>
    <x v="0"/>
    <x v="0"/>
    <x v="0"/>
    <x v="2"/>
    <x v="6"/>
    <n v="1"/>
    <n v="203.63"/>
    <n v="203.63"/>
    <x v="2"/>
  </r>
  <r>
    <x v="17"/>
    <x v="6"/>
    <x v="1"/>
    <x v="4"/>
    <x v="2"/>
    <x v="1"/>
    <x v="5"/>
    <n v="3"/>
    <n v="278.14999999999998"/>
    <n v="834.45"/>
    <x v="3"/>
  </r>
  <r>
    <x v="54"/>
    <x v="5"/>
    <x v="2"/>
    <x v="4"/>
    <x v="2"/>
    <x v="1"/>
    <x v="4"/>
    <n v="3"/>
    <n v="129.78"/>
    <n v="389.34"/>
    <x v="0"/>
  </r>
  <r>
    <x v="55"/>
    <x v="6"/>
    <x v="1"/>
    <x v="4"/>
    <x v="2"/>
    <x v="2"/>
    <x v="1"/>
    <n v="5"/>
    <n v="199.42"/>
    <n v="997.1"/>
    <x v="2"/>
  </r>
  <r>
    <x v="56"/>
    <x v="4"/>
    <x v="1"/>
    <x v="1"/>
    <x v="2"/>
    <x v="0"/>
    <x v="0"/>
    <n v="5"/>
    <n v="98.23"/>
    <n v="491.15"/>
    <x v="2"/>
  </r>
  <r>
    <x v="41"/>
    <x v="8"/>
    <x v="1"/>
    <x v="4"/>
    <x v="0"/>
    <x v="3"/>
    <x v="1"/>
    <n v="1"/>
    <n v="114.47"/>
    <n v="114.47"/>
    <x v="3"/>
  </r>
  <r>
    <x v="57"/>
    <x v="9"/>
    <x v="4"/>
    <x v="6"/>
    <x v="1"/>
    <x v="3"/>
    <x v="0"/>
    <n v="5"/>
    <n v="224.71"/>
    <n v="1123.55"/>
    <x v="1"/>
  </r>
  <r>
    <x v="58"/>
    <x v="6"/>
    <x v="1"/>
    <x v="4"/>
    <x v="0"/>
    <x v="0"/>
    <x v="3"/>
    <n v="3"/>
    <n v="104.04"/>
    <n v="312.12"/>
    <x v="2"/>
  </r>
  <r>
    <x v="59"/>
    <x v="9"/>
    <x v="4"/>
    <x v="6"/>
    <x v="2"/>
    <x v="1"/>
    <x v="2"/>
    <n v="5"/>
    <n v="140.26"/>
    <n v="701.3"/>
    <x v="0"/>
  </r>
  <r>
    <x v="60"/>
    <x v="4"/>
    <x v="1"/>
    <x v="1"/>
    <x v="2"/>
    <x v="3"/>
    <x v="2"/>
    <n v="5"/>
    <n v="215.38"/>
    <n v="1076.9000000000001"/>
    <x v="0"/>
  </r>
  <r>
    <x v="61"/>
    <x v="1"/>
    <x v="1"/>
    <x v="1"/>
    <x v="1"/>
    <x v="0"/>
    <x v="1"/>
    <n v="4"/>
    <n v="127.55"/>
    <n v="510.2"/>
    <x v="2"/>
  </r>
  <r>
    <x v="43"/>
    <x v="6"/>
    <x v="1"/>
    <x v="4"/>
    <x v="1"/>
    <x v="0"/>
    <x v="2"/>
    <n v="3"/>
    <n v="182.2"/>
    <n v="546.6"/>
    <x v="0"/>
  </r>
  <r>
    <x v="62"/>
    <x v="5"/>
    <x v="2"/>
    <x v="4"/>
    <x v="2"/>
    <x v="2"/>
    <x v="4"/>
    <n v="4"/>
    <n v="246.66"/>
    <n v="986.64"/>
    <x v="2"/>
  </r>
  <r>
    <x v="30"/>
    <x v="1"/>
    <x v="1"/>
    <x v="1"/>
    <x v="1"/>
    <x v="2"/>
    <x v="0"/>
    <n v="5"/>
    <n v="262.68"/>
    <n v="1313.4"/>
    <x v="3"/>
  </r>
  <r>
    <x v="63"/>
    <x v="4"/>
    <x v="1"/>
    <x v="1"/>
    <x v="2"/>
    <x v="0"/>
    <x v="6"/>
    <n v="3"/>
    <n v="101.39"/>
    <n v="304.17"/>
    <x v="2"/>
  </r>
  <r>
    <x v="64"/>
    <x v="2"/>
    <x v="2"/>
    <x v="2"/>
    <x v="1"/>
    <x v="2"/>
    <x v="0"/>
    <n v="1"/>
    <n v="59.05"/>
    <n v="59.05"/>
    <x v="2"/>
  </r>
  <r>
    <x v="20"/>
    <x v="2"/>
    <x v="2"/>
    <x v="2"/>
    <x v="0"/>
    <x v="3"/>
    <x v="5"/>
    <n v="1"/>
    <n v="101.32"/>
    <n v="101.32"/>
    <x v="1"/>
  </r>
  <r>
    <x v="25"/>
    <x v="8"/>
    <x v="1"/>
    <x v="4"/>
    <x v="2"/>
    <x v="1"/>
    <x v="1"/>
    <n v="4"/>
    <n v="228.88"/>
    <n v="915.52"/>
    <x v="0"/>
  </r>
  <r>
    <x v="65"/>
    <x v="8"/>
    <x v="1"/>
    <x v="4"/>
    <x v="1"/>
    <x v="0"/>
    <x v="0"/>
    <n v="4"/>
    <n v="258.60000000000002"/>
    <n v="1034.4000000000001"/>
    <x v="0"/>
  </r>
  <r>
    <x v="66"/>
    <x v="4"/>
    <x v="1"/>
    <x v="1"/>
    <x v="0"/>
    <x v="3"/>
    <x v="1"/>
    <n v="4"/>
    <n v="129.94999999999999"/>
    <n v="519.79999999999995"/>
    <x v="2"/>
  </r>
  <r>
    <x v="67"/>
    <x v="4"/>
    <x v="1"/>
    <x v="1"/>
    <x v="1"/>
    <x v="2"/>
    <x v="4"/>
    <n v="5"/>
    <n v="190.03"/>
    <n v="950.15"/>
    <x v="2"/>
  </r>
  <r>
    <x v="48"/>
    <x v="3"/>
    <x v="3"/>
    <x v="3"/>
    <x v="0"/>
    <x v="2"/>
    <x v="5"/>
    <n v="1"/>
    <n v="239.21"/>
    <n v="239.21"/>
    <x v="3"/>
  </r>
  <r>
    <x v="68"/>
    <x v="0"/>
    <x v="0"/>
    <x v="0"/>
    <x v="0"/>
    <x v="3"/>
    <x v="1"/>
    <n v="1"/>
    <n v="271.18"/>
    <n v="271.18"/>
    <x v="2"/>
  </r>
  <r>
    <x v="69"/>
    <x v="9"/>
    <x v="4"/>
    <x v="6"/>
    <x v="1"/>
    <x v="3"/>
    <x v="0"/>
    <n v="5"/>
    <n v="140.65"/>
    <n v="703.25"/>
    <x v="3"/>
  </r>
  <r>
    <x v="70"/>
    <x v="0"/>
    <x v="0"/>
    <x v="0"/>
    <x v="0"/>
    <x v="3"/>
    <x v="2"/>
    <n v="3"/>
    <n v="97.21"/>
    <n v="291.63"/>
    <x v="2"/>
  </r>
  <r>
    <x v="71"/>
    <x v="7"/>
    <x v="2"/>
    <x v="5"/>
    <x v="2"/>
    <x v="1"/>
    <x v="2"/>
    <n v="5"/>
    <n v="110.05"/>
    <n v="550.25"/>
    <x v="0"/>
  </r>
  <r>
    <x v="72"/>
    <x v="4"/>
    <x v="1"/>
    <x v="1"/>
    <x v="0"/>
    <x v="2"/>
    <x v="4"/>
    <n v="1"/>
    <n v="209.13"/>
    <n v="209.13"/>
    <x v="2"/>
  </r>
  <r>
    <x v="73"/>
    <x v="8"/>
    <x v="1"/>
    <x v="4"/>
    <x v="1"/>
    <x v="1"/>
    <x v="1"/>
    <n v="1"/>
    <n v="256.81"/>
    <n v="256.81"/>
    <x v="0"/>
  </r>
  <r>
    <x v="74"/>
    <x v="7"/>
    <x v="2"/>
    <x v="5"/>
    <x v="1"/>
    <x v="0"/>
    <x v="4"/>
    <n v="2"/>
    <n v="53.05"/>
    <n v="106.1"/>
    <x v="2"/>
  </r>
  <r>
    <x v="75"/>
    <x v="1"/>
    <x v="1"/>
    <x v="1"/>
    <x v="2"/>
    <x v="1"/>
    <x v="2"/>
    <n v="4"/>
    <n v="127.11"/>
    <n v="508.44"/>
    <x v="2"/>
  </r>
  <r>
    <x v="76"/>
    <x v="5"/>
    <x v="2"/>
    <x v="4"/>
    <x v="1"/>
    <x v="1"/>
    <x v="0"/>
    <n v="2"/>
    <n v="259.45999999999998"/>
    <n v="518.91999999999996"/>
    <x v="3"/>
  </r>
  <r>
    <x v="77"/>
    <x v="2"/>
    <x v="2"/>
    <x v="2"/>
    <x v="0"/>
    <x v="2"/>
    <x v="2"/>
    <n v="2"/>
    <n v="183.29"/>
    <n v="366.58"/>
    <x v="3"/>
  </r>
  <r>
    <x v="78"/>
    <x v="2"/>
    <x v="2"/>
    <x v="2"/>
    <x v="1"/>
    <x v="1"/>
    <x v="5"/>
    <n v="2"/>
    <n v="130.4"/>
    <n v="260.8"/>
    <x v="2"/>
  </r>
  <r>
    <x v="79"/>
    <x v="1"/>
    <x v="1"/>
    <x v="1"/>
    <x v="2"/>
    <x v="3"/>
    <x v="5"/>
    <n v="5"/>
    <n v="112.04"/>
    <n v="560.20000000000005"/>
    <x v="3"/>
  </r>
  <r>
    <x v="80"/>
    <x v="9"/>
    <x v="4"/>
    <x v="6"/>
    <x v="1"/>
    <x v="2"/>
    <x v="0"/>
    <n v="5"/>
    <n v="85.1"/>
    <n v="425.5"/>
    <x v="2"/>
  </r>
  <r>
    <x v="76"/>
    <x v="9"/>
    <x v="4"/>
    <x v="6"/>
    <x v="0"/>
    <x v="3"/>
    <x v="1"/>
    <n v="1"/>
    <n v="180.65"/>
    <n v="180.65"/>
    <x v="2"/>
  </r>
  <r>
    <x v="81"/>
    <x v="3"/>
    <x v="3"/>
    <x v="3"/>
    <x v="1"/>
    <x v="2"/>
    <x v="2"/>
    <n v="5"/>
    <n v="147.13"/>
    <n v="735.65"/>
    <x v="3"/>
  </r>
  <r>
    <x v="9"/>
    <x v="9"/>
    <x v="4"/>
    <x v="6"/>
    <x v="1"/>
    <x v="0"/>
    <x v="1"/>
    <n v="3"/>
    <n v="110.78"/>
    <n v="332.34"/>
    <x v="2"/>
  </r>
  <r>
    <x v="82"/>
    <x v="5"/>
    <x v="2"/>
    <x v="4"/>
    <x v="1"/>
    <x v="3"/>
    <x v="3"/>
    <n v="5"/>
    <n v="58.37"/>
    <n v="291.85000000000002"/>
    <x v="1"/>
  </r>
  <r>
    <x v="50"/>
    <x v="7"/>
    <x v="2"/>
    <x v="5"/>
    <x v="1"/>
    <x v="2"/>
    <x v="4"/>
    <n v="5"/>
    <n v="241.67"/>
    <n v="1208.3499999999999"/>
    <x v="0"/>
  </r>
  <r>
    <x v="83"/>
    <x v="2"/>
    <x v="2"/>
    <x v="2"/>
    <x v="1"/>
    <x v="0"/>
    <x v="6"/>
    <n v="2"/>
    <n v="89.67"/>
    <n v="179.34"/>
    <x v="1"/>
  </r>
  <r>
    <x v="84"/>
    <x v="8"/>
    <x v="1"/>
    <x v="4"/>
    <x v="1"/>
    <x v="3"/>
    <x v="5"/>
    <n v="1"/>
    <n v="132.09"/>
    <n v="132.09"/>
    <x v="1"/>
  </r>
  <r>
    <x v="27"/>
    <x v="3"/>
    <x v="3"/>
    <x v="3"/>
    <x v="1"/>
    <x v="2"/>
    <x v="0"/>
    <n v="2"/>
    <n v="202.18"/>
    <n v="404.36"/>
    <x v="1"/>
  </r>
  <r>
    <x v="71"/>
    <x v="1"/>
    <x v="1"/>
    <x v="1"/>
    <x v="2"/>
    <x v="2"/>
    <x v="2"/>
    <n v="3"/>
    <n v="90.19"/>
    <n v="270.57"/>
    <x v="2"/>
  </r>
  <r>
    <x v="79"/>
    <x v="5"/>
    <x v="2"/>
    <x v="4"/>
    <x v="0"/>
    <x v="3"/>
    <x v="6"/>
    <n v="2"/>
    <n v="179.28"/>
    <n v="358.56"/>
    <x v="2"/>
  </r>
  <r>
    <x v="85"/>
    <x v="5"/>
    <x v="2"/>
    <x v="4"/>
    <x v="2"/>
    <x v="1"/>
    <x v="6"/>
    <n v="5"/>
    <n v="188.61"/>
    <n v="943.05"/>
    <x v="3"/>
  </r>
  <r>
    <x v="43"/>
    <x v="0"/>
    <x v="0"/>
    <x v="0"/>
    <x v="2"/>
    <x v="1"/>
    <x v="2"/>
    <n v="2"/>
    <n v="111.36"/>
    <n v="222.72"/>
    <x v="0"/>
  </r>
  <r>
    <x v="86"/>
    <x v="3"/>
    <x v="3"/>
    <x v="3"/>
    <x v="1"/>
    <x v="1"/>
    <x v="2"/>
    <n v="3"/>
    <n v="53.98"/>
    <n v="161.94"/>
    <x v="2"/>
  </r>
  <r>
    <x v="17"/>
    <x v="2"/>
    <x v="2"/>
    <x v="2"/>
    <x v="0"/>
    <x v="3"/>
    <x v="5"/>
    <n v="4"/>
    <n v="240.64"/>
    <n v="962.56"/>
    <x v="2"/>
  </r>
  <r>
    <x v="87"/>
    <x v="2"/>
    <x v="2"/>
    <x v="2"/>
    <x v="1"/>
    <x v="2"/>
    <x v="6"/>
    <n v="5"/>
    <n v="195.57"/>
    <n v="977.85"/>
    <x v="2"/>
  </r>
  <r>
    <x v="20"/>
    <x v="5"/>
    <x v="2"/>
    <x v="4"/>
    <x v="0"/>
    <x v="3"/>
    <x v="5"/>
    <n v="3"/>
    <n v="224.66"/>
    <n v="673.98"/>
    <x v="2"/>
  </r>
  <r>
    <x v="1"/>
    <x v="9"/>
    <x v="4"/>
    <x v="6"/>
    <x v="1"/>
    <x v="1"/>
    <x v="5"/>
    <n v="3"/>
    <n v="65.2"/>
    <n v="195.6"/>
    <x v="3"/>
  </r>
  <r>
    <x v="88"/>
    <x v="4"/>
    <x v="1"/>
    <x v="1"/>
    <x v="1"/>
    <x v="0"/>
    <x v="5"/>
    <n v="4"/>
    <n v="117.78"/>
    <n v="471.12"/>
    <x v="1"/>
  </r>
  <r>
    <x v="89"/>
    <x v="6"/>
    <x v="1"/>
    <x v="4"/>
    <x v="1"/>
    <x v="3"/>
    <x v="3"/>
    <n v="4"/>
    <n v="214.93"/>
    <n v="859.72"/>
    <x v="0"/>
  </r>
  <r>
    <x v="90"/>
    <x v="9"/>
    <x v="4"/>
    <x v="6"/>
    <x v="0"/>
    <x v="0"/>
    <x v="0"/>
    <n v="2"/>
    <n v="249.49"/>
    <n v="498.98"/>
    <x v="2"/>
  </r>
  <r>
    <x v="91"/>
    <x v="1"/>
    <x v="1"/>
    <x v="1"/>
    <x v="2"/>
    <x v="2"/>
    <x v="3"/>
    <n v="4"/>
    <n v="141.35"/>
    <n v="565.4"/>
    <x v="1"/>
  </r>
  <r>
    <x v="92"/>
    <x v="9"/>
    <x v="4"/>
    <x v="6"/>
    <x v="0"/>
    <x v="0"/>
    <x v="0"/>
    <n v="3"/>
    <n v="264.14"/>
    <n v="792.42"/>
    <x v="0"/>
  </r>
  <r>
    <x v="93"/>
    <x v="0"/>
    <x v="0"/>
    <x v="0"/>
    <x v="0"/>
    <x v="2"/>
    <x v="2"/>
    <n v="5"/>
    <n v="73.58"/>
    <n v="367.9"/>
    <x v="1"/>
  </r>
  <r>
    <x v="94"/>
    <x v="0"/>
    <x v="0"/>
    <x v="0"/>
    <x v="0"/>
    <x v="3"/>
    <x v="6"/>
    <n v="1"/>
    <n v="106.59"/>
    <n v="106.59"/>
    <x v="0"/>
  </r>
  <r>
    <x v="71"/>
    <x v="5"/>
    <x v="2"/>
    <x v="4"/>
    <x v="2"/>
    <x v="3"/>
    <x v="5"/>
    <n v="3"/>
    <n v="59.98"/>
    <n v="179.94"/>
    <x v="1"/>
  </r>
  <r>
    <x v="59"/>
    <x v="9"/>
    <x v="4"/>
    <x v="6"/>
    <x v="1"/>
    <x v="2"/>
    <x v="0"/>
    <n v="3"/>
    <n v="87.81"/>
    <n v="263.43"/>
    <x v="0"/>
  </r>
  <r>
    <x v="95"/>
    <x v="5"/>
    <x v="2"/>
    <x v="4"/>
    <x v="2"/>
    <x v="1"/>
    <x v="0"/>
    <n v="2"/>
    <n v="283.60000000000002"/>
    <n v="567.20000000000005"/>
    <x v="1"/>
  </r>
  <r>
    <x v="96"/>
    <x v="9"/>
    <x v="4"/>
    <x v="6"/>
    <x v="2"/>
    <x v="0"/>
    <x v="0"/>
    <n v="2"/>
    <n v="194.31"/>
    <n v="388.62"/>
    <x v="1"/>
  </r>
  <r>
    <x v="97"/>
    <x v="7"/>
    <x v="2"/>
    <x v="5"/>
    <x v="0"/>
    <x v="0"/>
    <x v="0"/>
    <n v="4"/>
    <n v="199.68"/>
    <n v="798.72"/>
    <x v="3"/>
  </r>
  <r>
    <x v="98"/>
    <x v="0"/>
    <x v="0"/>
    <x v="0"/>
    <x v="1"/>
    <x v="1"/>
    <x v="0"/>
    <n v="5"/>
    <n v="145.47"/>
    <n v="727.35"/>
    <x v="0"/>
  </r>
  <r>
    <x v="99"/>
    <x v="7"/>
    <x v="2"/>
    <x v="5"/>
    <x v="1"/>
    <x v="0"/>
    <x v="1"/>
    <n v="1"/>
    <n v="141.11000000000001"/>
    <n v="141.11000000000001"/>
    <x v="1"/>
  </r>
  <r>
    <x v="100"/>
    <x v="6"/>
    <x v="1"/>
    <x v="4"/>
    <x v="1"/>
    <x v="2"/>
    <x v="2"/>
    <n v="2"/>
    <n v="188.4"/>
    <n v="376.8"/>
    <x v="0"/>
  </r>
  <r>
    <x v="101"/>
    <x v="7"/>
    <x v="2"/>
    <x v="5"/>
    <x v="2"/>
    <x v="0"/>
    <x v="4"/>
    <n v="4"/>
    <n v="145.28"/>
    <n v="581.12"/>
    <x v="0"/>
  </r>
  <r>
    <x v="72"/>
    <x v="4"/>
    <x v="1"/>
    <x v="1"/>
    <x v="2"/>
    <x v="3"/>
    <x v="1"/>
    <n v="2"/>
    <n v="277.48"/>
    <n v="554.96"/>
    <x v="0"/>
  </r>
  <r>
    <x v="90"/>
    <x v="5"/>
    <x v="2"/>
    <x v="4"/>
    <x v="1"/>
    <x v="0"/>
    <x v="0"/>
    <n v="4"/>
    <n v="153.56"/>
    <n v="614.24"/>
    <x v="3"/>
  </r>
  <r>
    <x v="102"/>
    <x v="0"/>
    <x v="0"/>
    <x v="0"/>
    <x v="2"/>
    <x v="2"/>
    <x v="0"/>
    <n v="2"/>
    <n v="74.83"/>
    <n v="149.66"/>
    <x v="0"/>
  </r>
  <r>
    <x v="67"/>
    <x v="7"/>
    <x v="2"/>
    <x v="5"/>
    <x v="1"/>
    <x v="0"/>
    <x v="4"/>
    <n v="1"/>
    <n v="136.80000000000001"/>
    <n v="136.80000000000001"/>
    <x v="1"/>
  </r>
  <r>
    <x v="56"/>
    <x v="1"/>
    <x v="1"/>
    <x v="1"/>
    <x v="0"/>
    <x v="2"/>
    <x v="6"/>
    <n v="3"/>
    <n v="209.69"/>
    <n v="629.07000000000005"/>
    <x v="3"/>
  </r>
  <r>
    <x v="11"/>
    <x v="7"/>
    <x v="2"/>
    <x v="5"/>
    <x v="2"/>
    <x v="2"/>
    <x v="3"/>
    <n v="3"/>
    <n v="200.87"/>
    <n v="602.61"/>
    <x v="2"/>
  </r>
  <r>
    <x v="103"/>
    <x v="9"/>
    <x v="4"/>
    <x v="6"/>
    <x v="2"/>
    <x v="3"/>
    <x v="0"/>
    <n v="1"/>
    <n v="221.26"/>
    <n v="221.26"/>
    <x v="0"/>
  </r>
  <r>
    <x v="93"/>
    <x v="8"/>
    <x v="1"/>
    <x v="4"/>
    <x v="1"/>
    <x v="3"/>
    <x v="6"/>
    <n v="5"/>
    <n v="176.98"/>
    <n v="884.9"/>
    <x v="0"/>
  </r>
  <r>
    <x v="104"/>
    <x v="3"/>
    <x v="3"/>
    <x v="3"/>
    <x v="2"/>
    <x v="2"/>
    <x v="2"/>
    <n v="5"/>
    <n v="77.08"/>
    <n v="385.4"/>
    <x v="3"/>
  </r>
  <r>
    <x v="23"/>
    <x v="6"/>
    <x v="1"/>
    <x v="4"/>
    <x v="2"/>
    <x v="2"/>
    <x v="5"/>
    <n v="4"/>
    <n v="239.54"/>
    <n v="958.16"/>
    <x v="3"/>
  </r>
  <r>
    <x v="26"/>
    <x v="7"/>
    <x v="2"/>
    <x v="5"/>
    <x v="2"/>
    <x v="3"/>
    <x v="3"/>
    <n v="5"/>
    <n v="179.54"/>
    <n v="897.7"/>
    <x v="1"/>
  </r>
  <r>
    <x v="105"/>
    <x v="2"/>
    <x v="2"/>
    <x v="2"/>
    <x v="1"/>
    <x v="3"/>
    <x v="5"/>
    <n v="3"/>
    <n v="274.23"/>
    <n v="822.69"/>
    <x v="2"/>
  </r>
  <r>
    <x v="106"/>
    <x v="5"/>
    <x v="2"/>
    <x v="4"/>
    <x v="1"/>
    <x v="0"/>
    <x v="3"/>
    <n v="5"/>
    <n v="99.89"/>
    <n v="499.45"/>
    <x v="2"/>
  </r>
  <r>
    <x v="75"/>
    <x v="1"/>
    <x v="1"/>
    <x v="1"/>
    <x v="1"/>
    <x v="1"/>
    <x v="2"/>
    <n v="4"/>
    <n v="148.11000000000001"/>
    <n v="592.44000000000005"/>
    <x v="2"/>
  </r>
  <r>
    <x v="70"/>
    <x v="6"/>
    <x v="1"/>
    <x v="4"/>
    <x v="0"/>
    <x v="1"/>
    <x v="3"/>
    <n v="5"/>
    <n v="81.97"/>
    <n v="409.85"/>
    <x v="2"/>
  </r>
  <r>
    <x v="107"/>
    <x v="1"/>
    <x v="1"/>
    <x v="1"/>
    <x v="1"/>
    <x v="0"/>
    <x v="3"/>
    <n v="3"/>
    <n v="291.29000000000002"/>
    <n v="873.87"/>
    <x v="3"/>
  </r>
  <r>
    <x v="108"/>
    <x v="4"/>
    <x v="1"/>
    <x v="1"/>
    <x v="2"/>
    <x v="3"/>
    <x v="5"/>
    <n v="5"/>
    <n v="138.94999999999999"/>
    <n v="694.75"/>
    <x v="1"/>
  </r>
  <r>
    <x v="109"/>
    <x v="4"/>
    <x v="1"/>
    <x v="1"/>
    <x v="2"/>
    <x v="3"/>
    <x v="0"/>
    <n v="4"/>
    <n v="208.19"/>
    <n v="832.76"/>
    <x v="3"/>
  </r>
  <r>
    <x v="110"/>
    <x v="6"/>
    <x v="1"/>
    <x v="4"/>
    <x v="2"/>
    <x v="0"/>
    <x v="3"/>
    <n v="5"/>
    <n v="291.7"/>
    <n v="1458.5"/>
    <x v="3"/>
  </r>
  <r>
    <x v="111"/>
    <x v="0"/>
    <x v="0"/>
    <x v="0"/>
    <x v="1"/>
    <x v="1"/>
    <x v="1"/>
    <n v="3"/>
    <n v="209.89"/>
    <n v="629.66999999999996"/>
    <x v="1"/>
  </r>
  <r>
    <x v="112"/>
    <x v="6"/>
    <x v="1"/>
    <x v="4"/>
    <x v="0"/>
    <x v="2"/>
    <x v="0"/>
    <n v="4"/>
    <n v="171.49"/>
    <n v="685.96"/>
    <x v="2"/>
  </r>
  <r>
    <x v="113"/>
    <x v="5"/>
    <x v="2"/>
    <x v="4"/>
    <x v="2"/>
    <x v="2"/>
    <x v="4"/>
    <n v="3"/>
    <n v="156.22"/>
    <n v="468.66"/>
    <x v="3"/>
  </r>
  <r>
    <x v="114"/>
    <x v="1"/>
    <x v="1"/>
    <x v="1"/>
    <x v="2"/>
    <x v="3"/>
    <x v="0"/>
    <n v="4"/>
    <n v="158.82"/>
    <n v="635.28"/>
    <x v="1"/>
  </r>
  <r>
    <x v="6"/>
    <x v="2"/>
    <x v="2"/>
    <x v="2"/>
    <x v="2"/>
    <x v="1"/>
    <x v="2"/>
    <n v="3"/>
    <n v="218.91"/>
    <n v="656.73"/>
    <x v="3"/>
  </r>
  <r>
    <x v="110"/>
    <x v="7"/>
    <x v="2"/>
    <x v="5"/>
    <x v="1"/>
    <x v="0"/>
    <x v="1"/>
    <n v="5"/>
    <n v="54.88"/>
    <n v="274.39999999999998"/>
    <x v="3"/>
  </r>
  <r>
    <x v="115"/>
    <x v="3"/>
    <x v="3"/>
    <x v="3"/>
    <x v="1"/>
    <x v="1"/>
    <x v="5"/>
    <n v="1"/>
    <n v="75.27"/>
    <n v="75.27"/>
    <x v="0"/>
  </r>
  <r>
    <x v="116"/>
    <x v="9"/>
    <x v="4"/>
    <x v="6"/>
    <x v="2"/>
    <x v="0"/>
    <x v="3"/>
    <n v="1"/>
    <n v="144.04"/>
    <n v="144.04"/>
    <x v="2"/>
  </r>
  <r>
    <x v="94"/>
    <x v="6"/>
    <x v="1"/>
    <x v="4"/>
    <x v="2"/>
    <x v="3"/>
    <x v="4"/>
    <n v="4"/>
    <n v="196.45"/>
    <n v="785.8"/>
    <x v="1"/>
  </r>
  <r>
    <x v="113"/>
    <x v="8"/>
    <x v="1"/>
    <x v="4"/>
    <x v="2"/>
    <x v="0"/>
    <x v="6"/>
    <n v="3"/>
    <n v="213.66"/>
    <n v="640.98"/>
    <x v="0"/>
  </r>
  <r>
    <x v="90"/>
    <x v="1"/>
    <x v="1"/>
    <x v="1"/>
    <x v="2"/>
    <x v="3"/>
    <x v="2"/>
    <n v="1"/>
    <n v="164.57"/>
    <n v="164.57"/>
    <x v="2"/>
  </r>
  <r>
    <x v="117"/>
    <x v="6"/>
    <x v="1"/>
    <x v="4"/>
    <x v="2"/>
    <x v="2"/>
    <x v="5"/>
    <n v="4"/>
    <n v="203.25"/>
    <n v="813"/>
    <x v="3"/>
  </r>
  <r>
    <x v="118"/>
    <x v="2"/>
    <x v="2"/>
    <x v="2"/>
    <x v="1"/>
    <x v="1"/>
    <x v="2"/>
    <n v="5"/>
    <n v="91.11"/>
    <n v="455.55"/>
    <x v="2"/>
  </r>
  <r>
    <x v="119"/>
    <x v="2"/>
    <x v="2"/>
    <x v="2"/>
    <x v="0"/>
    <x v="3"/>
    <x v="6"/>
    <n v="3"/>
    <n v="57.92"/>
    <n v="173.76"/>
    <x v="2"/>
  </r>
  <r>
    <x v="120"/>
    <x v="6"/>
    <x v="1"/>
    <x v="4"/>
    <x v="1"/>
    <x v="0"/>
    <x v="0"/>
    <n v="3"/>
    <n v="209.3"/>
    <n v="627.9"/>
    <x v="3"/>
  </r>
  <r>
    <x v="121"/>
    <x v="4"/>
    <x v="1"/>
    <x v="1"/>
    <x v="0"/>
    <x v="2"/>
    <x v="4"/>
    <n v="1"/>
    <n v="112.26"/>
    <n v="112.26"/>
    <x v="1"/>
  </r>
  <r>
    <x v="43"/>
    <x v="8"/>
    <x v="1"/>
    <x v="4"/>
    <x v="1"/>
    <x v="0"/>
    <x v="5"/>
    <n v="2"/>
    <n v="216.83"/>
    <n v="433.66"/>
    <x v="1"/>
  </r>
  <r>
    <x v="122"/>
    <x v="9"/>
    <x v="4"/>
    <x v="6"/>
    <x v="0"/>
    <x v="0"/>
    <x v="5"/>
    <n v="5"/>
    <n v="68.52"/>
    <n v="342.6"/>
    <x v="1"/>
  </r>
  <r>
    <x v="46"/>
    <x v="7"/>
    <x v="2"/>
    <x v="5"/>
    <x v="2"/>
    <x v="2"/>
    <x v="5"/>
    <n v="1"/>
    <n v="98.04"/>
    <n v="98.04"/>
    <x v="2"/>
  </r>
  <r>
    <x v="70"/>
    <x v="0"/>
    <x v="0"/>
    <x v="0"/>
    <x v="2"/>
    <x v="2"/>
    <x v="3"/>
    <n v="5"/>
    <n v="204.35"/>
    <n v="1021.75"/>
    <x v="3"/>
  </r>
  <r>
    <x v="123"/>
    <x v="8"/>
    <x v="1"/>
    <x v="4"/>
    <x v="1"/>
    <x v="3"/>
    <x v="4"/>
    <n v="4"/>
    <n v="283.7"/>
    <n v="1134.8"/>
    <x v="0"/>
  </r>
  <r>
    <x v="54"/>
    <x v="2"/>
    <x v="2"/>
    <x v="2"/>
    <x v="1"/>
    <x v="0"/>
    <x v="3"/>
    <n v="4"/>
    <n v="172.52"/>
    <n v="690.08"/>
    <x v="1"/>
  </r>
  <r>
    <x v="124"/>
    <x v="6"/>
    <x v="1"/>
    <x v="4"/>
    <x v="2"/>
    <x v="0"/>
    <x v="6"/>
    <n v="3"/>
    <n v="51.81"/>
    <n v="155.43"/>
    <x v="3"/>
  </r>
  <r>
    <x v="125"/>
    <x v="5"/>
    <x v="2"/>
    <x v="4"/>
    <x v="2"/>
    <x v="1"/>
    <x v="0"/>
    <n v="5"/>
    <n v="71.28"/>
    <n v="356.4"/>
    <x v="2"/>
  </r>
  <r>
    <x v="126"/>
    <x v="1"/>
    <x v="1"/>
    <x v="1"/>
    <x v="0"/>
    <x v="1"/>
    <x v="5"/>
    <n v="2"/>
    <n v="248.44"/>
    <n v="496.88"/>
    <x v="2"/>
  </r>
  <r>
    <x v="54"/>
    <x v="1"/>
    <x v="1"/>
    <x v="1"/>
    <x v="1"/>
    <x v="1"/>
    <x v="3"/>
    <n v="2"/>
    <n v="107.04"/>
    <n v="214.08"/>
    <x v="0"/>
  </r>
  <r>
    <x v="43"/>
    <x v="9"/>
    <x v="4"/>
    <x v="6"/>
    <x v="1"/>
    <x v="1"/>
    <x v="1"/>
    <n v="1"/>
    <n v="132.07"/>
    <n v="132.07"/>
    <x v="3"/>
  </r>
  <r>
    <x v="127"/>
    <x v="8"/>
    <x v="1"/>
    <x v="4"/>
    <x v="2"/>
    <x v="2"/>
    <x v="0"/>
    <n v="3"/>
    <n v="118.37"/>
    <n v="355.11"/>
    <x v="0"/>
  </r>
  <r>
    <x v="128"/>
    <x v="5"/>
    <x v="2"/>
    <x v="4"/>
    <x v="1"/>
    <x v="3"/>
    <x v="4"/>
    <n v="5"/>
    <n v="243.74"/>
    <n v="1218.7"/>
    <x v="3"/>
  </r>
  <r>
    <x v="78"/>
    <x v="8"/>
    <x v="1"/>
    <x v="4"/>
    <x v="0"/>
    <x v="0"/>
    <x v="0"/>
    <n v="5"/>
    <n v="150.02000000000001"/>
    <n v="750.1"/>
    <x v="2"/>
  </r>
  <r>
    <x v="129"/>
    <x v="5"/>
    <x v="2"/>
    <x v="4"/>
    <x v="1"/>
    <x v="3"/>
    <x v="1"/>
    <n v="3"/>
    <n v="73.31"/>
    <n v="219.93"/>
    <x v="3"/>
  </r>
  <r>
    <x v="121"/>
    <x v="9"/>
    <x v="4"/>
    <x v="6"/>
    <x v="2"/>
    <x v="2"/>
    <x v="1"/>
    <n v="2"/>
    <n v="176.24"/>
    <n v="352.48"/>
    <x v="2"/>
  </r>
  <r>
    <x v="0"/>
    <x v="4"/>
    <x v="1"/>
    <x v="1"/>
    <x v="1"/>
    <x v="1"/>
    <x v="2"/>
    <n v="5"/>
    <n v="135.5"/>
    <n v="677.5"/>
    <x v="1"/>
  </r>
  <r>
    <x v="130"/>
    <x v="0"/>
    <x v="0"/>
    <x v="0"/>
    <x v="2"/>
    <x v="1"/>
    <x v="5"/>
    <n v="4"/>
    <n v="250.12"/>
    <n v="1000.48"/>
    <x v="0"/>
  </r>
  <r>
    <x v="54"/>
    <x v="1"/>
    <x v="1"/>
    <x v="1"/>
    <x v="1"/>
    <x v="2"/>
    <x v="1"/>
    <n v="4"/>
    <n v="145.88999999999999"/>
    <n v="583.55999999999995"/>
    <x v="0"/>
  </r>
  <r>
    <x v="41"/>
    <x v="5"/>
    <x v="2"/>
    <x v="4"/>
    <x v="0"/>
    <x v="2"/>
    <x v="6"/>
    <n v="4"/>
    <n v="281.54000000000002"/>
    <n v="1126.1600000000001"/>
    <x v="3"/>
  </r>
  <r>
    <x v="131"/>
    <x v="6"/>
    <x v="1"/>
    <x v="4"/>
    <x v="0"/>
    <x v="2"/>
    <x v="1"/>
    <n v="4"/>
    <n v="121.42"/>
    <n v="485.68"/>
    <x v="0"/>
  </r>
  <r>
    <x v="132"/>
    <x v="6"/>
    <x v="1"/>
    <x v="4"/>
    <x v="1"/>
    <x v="3"/>
    <x v="3"/>
    <n v="4"/>
    <n v="265.91000000000003"/>
    <n v="1063.6400000000001"/>
    <x v="1"/>
  </r>
  <r>
    <x v="133"/>
    <x v="0"/>
    <x v="0"/>
    <x v="0"/>
    <x v="1"/>
    <x v="0"/>
    <x v="4"/>
    <n v="1"/>
    <n v="240.42"/>
    <n v="240.42"/>
    <x v="0"/>
  </r>
  <r>
    <x v="134"/>
    <x v="4"/>
    <x v="1"/>
    <x v="1"/>
    <x v="1"/>
    <x v="1"/>
    <x v="6"/>
    <n v="5"/>
    <n v="275.27"/>
    <n v="1376.35"/>
    <x v="0"/>
  </r>
  <r>
    <x v="135"/>
    <x v="7"/>
    <x v="2"/>
    <x v="5"/>
    <x v="1"/>
    <x v="3"/>
    <x v="3"/>
    <n v="3"/>
    <n v="154.79"/>
    <n v="464.37"/>
    <x v="0"/>
  </r>
  <r>
    <x v="136"/>
    <x v="7"/>
    <x v="2"/>
    <x v="5"/>
    <x v="0"/>
    <x v="1"/>
    <x v="3"/>
    <n v="5"/>
    <n v="139"/>
    <n v="695"/>
    <x v="1"/>
  </r>
  <r>
    <x v="137"/>
    <x v="5"/>
    <x v="2"/>
    <x v="4"/>
    <x v="0"/>
    <x v="3"/>
    <x v="1"/>
    <n v="3"/>
    <n v="79.27"/>
    <n v="237.81"/>
    <x v="0"/>
  </r>
  <r>
    <x v="138"/>
    <x v="2"/>
    <x v="2"/>
    <x v="2"/>
    <x v="2"/>
    <x v="2"/>
    <x v="5"/>
    <n v="2"/>
    <n v="237.1"/>
    <n v="474.2"/>
    <x v="2"/>
  </r>
  <r>
    <x v="58"/>
    <x v="2"/>
    <x v="2"/>
    <x v="2"/>
    <x v="2"/>
    <x v="2"/>
    <x v="2"/>
    <n v="4"/>
    <n v="228.46"/>
    <n v="913.84"/>
    <x v="2"/>
  </r>
  <r>
    <x v="116"/>
    <x v="7"/>
    <x v="2"/>
    <x v="5"/>
    <x v="2"/>
    <x v="1"/>
    <x v="5"/>
    <n v="4"/>
    <n v="52.42"/>
    <n v="209.68"/>
    <x v="3"/>
  </r>
  <r>
    <x v="139"/>
    <x v="8"/>
    <x v="1"/>
    <x v="4"/>
    <x v="2"/>
    <x v="0"/>
    <x v="0"/>
    <n v="3"/>
    <n v="270.52"/>
    <n v="811.56"/>
    <x v="1"/>
  </r>
  <r>
    <x v="134"/>
    <x v="6"/>
    <x v="1"/>
    <x v="4"/>
    <x v="0"/>
    <x v="0"/>
    <x v="2"/>
    <n v="4"/>
    <n v="119.36"/>
    <n v="477.44"/>
    <x v="2"/>
  </r>
  <r>
    <x v="140"/>
    <x v="3"/>
    <x v="3"/>
    <x v="3"/>
    <x v="1"/>
    <x v="0"/>
    <x v="2"/>
    <n v="3"/>
    <n v="125.26"/>
    <n v="375.78"/>
    <x v="3"/>
  </r>
  <r>
    <x v="22"/>
    <x v="2"/>
    <x v="2"/>
    <x v="2"/>
    <x v="1"/>
    <x v="2"/>
    <x v="5"/>
    <n v="3"/>
    <n v="296.55"/>
    <n v="889.65"/>
    <x v="0"/>
  </r>
  <r>
    <x v="91"/>
    <x v="9"/>
    <x v="4"/>
    <x v="6"/>
    <x v="1"/>
    <x v="2"/>
    <x v="2"/>
    <n v="1"/>
    <n v="56.73"/>
    <n v="56.73"/>
    <x v="3"/>
  </r>
  <r>
    <x v="141"/>
    <x v="7"/>
    <x v="2"/>
    <x v="5"/>
    <x v="0"/>
    <x v="2"/>
    <x v="2"/>
    <n v="1"/>
    <n v="91.56"/>
    <n v="91.56"/>
    <x v="1"/>
  </r>
  <r>
    <x v="142"/>
    <x v="3"/>
    <x v="3"/>
    <x v="3"/>
    <x v="1"/>
    <x v="3"/>
    <x v="6"/>
    <n v="2"/>
    <n v="152.54"/>
    <n v="305.08"/>
    <x v="0"/>
  </r>
  <r>
    <x v="143"/>
    <x v="3"/>
    <x v="3"/>
    <x v="3"/>
    <x v="1"/>
    <x v="2"/>
    <x v="1"/>
    <n v="4"/>
    <n v="61.37"/>
    <n v="245.48"/>
    <x v="2"/>
  </r>
  <r>
    <x v="53"/>
    <x v="2"/>
    <x v="2"/>
    <x v="2"/>
    <x v="2"/>
    <x v="3"/>
    <x v="0"/>
    <n v="3"/>
    <n v="162.36000000000001"/>
    <n v="487.08"/>
    <x v="3"/>
  </r>
  <r>
    <x v="18"/>
    <x v="7"/>
    <x v="2"/>
    <x v="5"/>
    <x v="2"/>
    <x v="3"/>
    <x v="6"/>
    <n v="2"/>
    <n v="257.5"/>
    <n v="515"/>
    <x v="1"/>
  </r>
  <r>
    <x v="144"/>
    <x v="8"/>
    <x v="1"/>
    <x v="4"/>
    <x v="1"/>
    <x v="2"/>
    <x v="4"/>
    <n v="4"/>
    <n v="202.28"/>
    <n v="809.12"/>
    <x v="0"/>
  </r>
  <r>
    <x v="13"/>
    <x v="3"/>
    <x v="3"/>
    <x v="3"/>
    <x v="0"/>
    <x v="2"/>
    <x v="3"/>
    <n v="1"/>
    <n v="224.83"/>
    <n v="224.83"/>
    <x v="2"/>
  </r>
  <r>
    <x v="129"/>
    <x v="9"/>
    <x v="4"/>
    <x v="6"/>
    <x v="2"/>
    <x v="3"/>
    <x v="5"/>
    <n v="3"/>
    <n v="256.27"/>
    <n v="768.81"/>
    <x v="2"/>
  </r>
  <r>
    <x v="145"/>
    <x v="1"/>
    <x v="1"/>
    <x v="1"/>
    <x v="1"/>
    <x v="0"/>
    <x v="2"/>
    <n v="2"/>
    <n v="277.26"/>
    <n v="554.52"/>
    <x v="1"/>
  </r>
  <r>
    <x v="143"/>
    <x v="9"/>
    <x v="4"/>
    <x v="6"/>
    <x v="0"/>
    <x v="3"/>
    <x v="5"/>
    <n v="3"/>
    <n v="271.19"/>
    <n v="813.57"/>
    <x v="2"/>
  </r>
  <r>
    <x v="146"/>
    <x v="2"/>
    <x v="2"/>
    <x v="2"/>
    <x v="2"/>
    <x v="3"/>
    <x v="5"/>
    <n v="3"/>
    <n v="205.62"/>
    <n v="616.86"/>
    <x v="3"/>
  </r>
  <r>
    <x v="147"/>
    <x v="6"/>
    <x v="1"/>
    <x v="4"/>
    <x v="2"/>
    <x v="3"/>
    <x v="6"/>
    <n v="4"/>
    <n v="130.97"/>
    <n v="523.88"/>
    <x v="0"/>
  </r>
  <r>
    <x v="145"/>
    <x v="0"/>
    <x v="0"/>
    <x v="0"/>
    <x v="2"/>
    <x v="3"/>
    <x v="5"/>
    <n v="5"/>
    <n v="267.70999999999998"/>
    <n v="1338.55"/>
    <x v="2"/>
  </r>
  <r>
    <x v="148"/>
    <x v="8"/>
    <x v="1"/>
    <x v="4"/>
    <x v="2"/>
    <x v="1"/>
    <x v="6"/>
    <n v="4"/>
    <n v="151.37"/>
    <n v="605.48"/>
    <x v="1"/>
  </r>
  <r>
    <x v="53"/>
    <x v="2"/>
    <x v="2"/>
    <x v="2"/>
    <x v="2"/>
    <x v="1"/>
    <x v="5"/>
    <n v="5"/>
    <n v="89.84"/>
    <n v="449.2"/>
    <x v="3"/>
  </r>
  <r>
    <x v="149"/>
    <x v="9"/>
    <x v="4"/>
    <x v="6"/>
    <x v="2"/>
    <x v="3"/>
    <x v="5"/>
    <n v="1"/>
    <n v="276.64"/>
    <n v="276.64"/>
    <x v="0"/>
  </r>
  <r>
    <x v="102"/>
    <x v="9"/>
    <x v="4"/>
    <x v="6"/>
    <x v="0"/>
    <x v="0"/>
    <x v="3"/>
    <n v="3"/>
    <n v="203.41"/>
    <n v="610.23"/>
    <x v="0"/>
  </r>
  <r>
    <x v="150"/>
    <x v="5"/>
    <x v="2"/>
    <x v="4"/>
    <x v="2"/>
    <x v="0"/>
    <x v="2"/>
    <n v="2"/>
    <n v="195.85"/>
    <n v="391.7"/>
    <x v="3"/>
  </r>
  <r>
    <x v="27"/>
    <x v="9"/>
    <x v="4"/>
    <x v="6"/>
    <x v="2"/>
    <x v="1"/>
    <x v="1"/>
    <n v="2"/>
    <n v="288.87"/>
    <n v="577.74"/>
    <x v="1"/>
  </r>
  <r>
    <x v="14"/>
    <x v="5"/>
    <x v="2"/>
    <x v="4"/>
    <x v="2"/>
    <x v="1"/>
    <x v="1"/>
    <n v="1"/>
    <n v="65.45"/>
    <n v="65.45"/>
    <x v="2"/>
  </r>
  <r>
    <x v="151"/>
    <x v="1"/>
    <x v="1"/>
    <x v="1"/>
    <x v="0"/>
    <x v="2"/>
    <x v="6"/>
    <n v="1"/>
    <n v="202.42"/>
    <n v="202.42"/>
    <x v="3"/>
  </r>
  <r>
    <x v="152"/>
    <x v="5"/>
    <x v="2"/>
    <x v="4"/>
    <x v="2"/>
    <x v="3"/>
    <x v="1"/>
    <n v="2"/>
    <n v="51.11"/>
    <n v="102.22"/>
    <x v="2"/>
  </r>
  <r>
    <x v="3"/>
    <x v="3"/>
    <x v="3"/>
    <x v="3"/>
    <x v="2"/>
    <x v="0"/>
    <x v="0"/>
    <n v="1"/>
    <n v="292.68"/>
    <n v="292.68"/>
    <x v="1"/>
  </r>
  <r>
    <x v="150"/>
    <x v="9"/>
    <x v="4"/>
    <x v="6"/>
    <x v="1"/>
    <x v="2"/>
    <x v="6"/>
    <n v="2"/>
    <n v="175.51"/>
    <n v="351.02"/>
    <x v="1"/>
  </r>
  <r>
    <x v="2"/>
    <x v="1"/>
    <x v="1"/>
    <x v="1"/>
    <x v="1"/>
    <x v="1"/>
    <x v="4"/>
    <n v="4"/>
    <n v="211.37"/>
    <n v="845.48"/>
    <x v="0"/>
  </r>
  <r>
    <x v="85"/>
    <x v="5"/>
    <x v="2"/>
    <x v="4"/>
    <x v="0"/>
    <x v="2"/>
    <x v="4"/>
    <n v="1"/>
    <n v="209.78"/>
    <n v="209.78"/>
    <x v="1"/>
  </r>
  <r>
    <x v="153"/>
    <x v="8"/>
    <x v="1"/>
    <x v="4"/>
    <x v="0"/>
    <x v="2"/>
    <x v="3"/>
    <n v="1"/>
    <n v="59.85"/>
    <n v="59.85"/>
    <x v="3"/>
  </r>
  <r>
    <x v="154"/>
    <x v="8"/>
    <x v="1"/>
    <x v="4"/>
    <x v="0"/>
    <x v="3"/>
    <x v="5"/>
    <n v="3"/>
    <n v="156.27000000000001"/>
    <n v="468.81"/>
    <x v="1"/>
  </r>
  <r>
    <x v="155"/>
    <x v="1"/>
    <x v="1"/>
    <x v="1"/>
    <x v="0"/>
    <x v="0"/>
    <x v="1"/>
    <n v="2"/>
    <n v="175"/>
    <n v="350"/>
    <x v="0"/>
  </r>
  <r>
    <x v="156"/>
    <x v="2"/>
    <x v="2"/>
    <x v="2"/>
    <x v="2"/>
    <x v="2"/>
    <x v="2"/>
    <n v="2"/>
    <n v="88"/>
    <n v="176"/>
    <x v="3"/>
  </r>
  <r>
    <x v="76"/>
    <x v="8"/>
    <x v="1"/>
    <x v="4"/>
    <x v="2"/>
    <x v="2"/>
    <x v="2"/>
    <n v="4"/>
    <n v="293.33"/>
    <n v="1173.32"/>
    <x v="0"/>
  </r>
  <r>
    <x v="154"/>
    <x v="8"/>
    <x v="1"/>
    <x v="4"/>
    <x v="0"/>
    <x v="0"/>
    <x v="4"/>
    <n v="5"/>
    <n v="285.37"/>
    <n v="1426.85"/>
    <x v="1"/>
  </r>
  <r>
    <x v="157"/>
    <x v="2"/>
    <x v="2"/>
    <x v="2"/>
    <x v="1"/>
    <x v="1"/>
    <x v="6"/>
    <n v="5"/>
    <n v="220.59"/>
    <n v="1102.95"/>
    <x v="3"/>
  </r>
  <r>
    <x v="92"/>
    <x v="8"/>
    <x v="1"/>
    <x v="4"/>
    <x v="2"/>
    <x v="3"/>
    <x v="1"/>
    <n v="5"/>
    <n v="214"/>
    <n v="1070"/>
    <x v="3"/>
  </r>
  <r>
    <x v="130"/>
    <x v="1"/>
    <x v="1"/>
    <x v="1"/>
    <x v="0"/>
    <x v="0"/>
    <x v="4"/>
    <n v="5"/>
    <n v="208.24"/>
    <n v="1041.2"/>
    <x v="0"/>
  </r>
  <r>
    <x v="114"/>
    <x v="7"/>
    <x v="2"/>
    <x v="5"/>
    <x v="0"/>
    <x v="2"/>
    <x v="4"/>
    <n v="4"/>
    <n v="133.69999999999999"/>
    <n v="534.79999999999995"/>
    <x v="1"/>
  </r>
  <r>
    <x v="158"/>
    <x v="0"/>
    <x v="0"/>
    <x v="0"/>
    <x v="2"/>
    <x v="2"/>
    <x v="3"/>
    <n v="2"/>
    <n v="158.69999999999999"/>
    <n v="317.39999999999998"/>
    <x v="3"/>
  </r>
  <r>
    <x v="159"/>
    <x v="5"/>
    <x v="2"/>
    <x v="4"/>
    <x v="1"/>
    <x v="3"/>
    <x v="2"/>
    <n v="2"/>
    <n v="244.13"/>
    <n v="488.26"/>
    <x v="2"/>
  </r>
  <r>
    <x v="160"/>
    <x v="5"/>
    <x v="2"/>
    <x v="4"/>
    <x v="1"/>
    <x v="2"/>
    <x v="1"/>
    <n v="5"/>
    <n v="147.99"/>
    <n v="739.95"/>
    <x v="1"/>
  </r>
  <r>
    <x v="96"/>
    <x v="0"/>
    <x v="0"/>
    <x v="0"/>
    <x v="0"/>
    <x v="2"/>
    <x v="0"/>
    <n v="1"/>
    <n v="157.81"/>
    <n v="157.81"/>
    <x v="2"/>
  </r>
  <r>
    <x v="161"/>
    <x v="9"/>
    <x v="4"/>
    <x v="6"/>
    <x v="0"/>
    <x v="3"/>
    <x v="4"/>
    <n v="2"/>
    <n v="212.76"/>
    <n v="425.52"/>
    <x v="3"/>
  </r>
  <r>
    <x v="113"/>
    <x v="4"/>
    <x v="1"/>
    <x v="1"/>
    <x v="1"/>
    <x v="2"/>
    <x v="1"/>
    <n v="3"/>
    <n v="225.9"/>
    <n v="677.7"/>
    <x v="3"/>
  </r>
  <r>
    <x v="89"/>
    <x v="3"/>
    <x v="3"/>
    <x v="3"/>
    <x v="2"/>
    <x v="3"/>
    <x v="5"/>
    <n v="3"/>
    <n v="112.98"/>
    <n v="338.94"/>
    <x v="3"/>
  </r>
  <r>
    <x v="118"/>
    <x v="3"/>
    <x v="3"/>
    <x v="3"/>
    <x v="0"/>
    <x v="2"/>
    <x v="5"/>
    <n v="2"/>
    <n v="100.84"/>
    <n v="201.68"/>
    <x v="2"/>
  </r>
  <r>
    <x v="69"/>
    <x v="6"/>
    <x v="1"/>
    <x v="4"/>
    <x v="1"/>
    <x v="2"/>
    <x v="5"/>
    <n v="4"/>
    <n v="292.75"/>
    <n v="1171"/>
    <x v="3"/>
  </r>
  <r>
    <x v="81"/>
    <x v="5"/>
    <x v="2"/>
    <x v="4"/>
    <x v="2"/>
    <x v="3"/>
    <x v="2"/>
    <n v="3"/>
    <n v="82.62"/>
    <n v="247.86"/>
    <x v="2"/>
  </r>
  <r>
    <x v="162"/>
    <x v="2"/>
    <x v="2"/>
    <x v="2"/>
    <x v="2"/>
    <x v="1"/>
    <x v="1"/>
    <n v="3"/>
    <n v="246.13"/>
    <n v="738.39"/>
    <x v="1"/>
  </r>
  <r>
    <x v="125"/>
    <x v="8"/>
    <x v="1"/>
    <x v="4"/>
    <x v="2"/>
    <x v="3"/>
    <x v="4"/>
    <n v="4"/>
    <n v="168.01"/>
    <n v="672.04"/>
    <x v="3"/>
  </r>
  <r>
    <x v="139"/>
    <x v="4"/>
    <x v="1"/>
    <x v="1"/>
    <x v="2"/>
    <x v="1"/>
    <x v="0"/>
    <n v="1"/>
    <n v="93.08"/>
    <n v="93.08"/>
    <x v="3"/>
  </r>
  <r>
    <x v="163"/>
    <x v="2"/>
    <x v="2"/>
    <x v="2"/>
    <x v="1"/>
    <x v="0"/>
    <x v="1"/>
    <n v="3"/>
    <n v="161.55000000000001"/>
    <n v="484.65"/>
    <x v="1"/>
  </r>
  <r>
    <x v="164"/>
    <x v="3"/>
    <x v="3"/>
    <x v="3"/>
    <x v="2"/>
    <x v="2"/>
    <x v="4"/>
    <n v="3"/>
    <n v="228.84"/>
    <n v="686.52"/>
    <x v="1"/>
  </r>
  <r>
    <x v="165"/>
    <x v="2"/>
    <x v="2"/>
    <x v="2"/>
    <x v="1"/>
    <x v="1"/>
    <x v="6"/>
    <n v="4"/>
    <n v="221.31"/>
    <n v="885.24"/>
    <x v="0"/>
  </r>
  <r>
    <x v="94"/>
    <x v="3"/>
    <x v="3"/>
    <x v="3"/>
    <x v="1"/>
    <x v="1"/>
    <x v="2"/>
    <n v="2"/>
    <n v="287.68"/>
    <n v="575.36"/>
    <x v="2"/>
  </r>
  <r>
    <x v="78"/>
    <x v="8"/>
    <x v="1"/>
    <x v="4"/>
    <x v="1"/>
    <x v="0"/>
    <x v="2"/>
    <n v="5"/>
    <n v="168.7"/>
    <n v="843.5"/>
    <x v="3"/>
  </r>
  <r>
    <x v="60"/>
    <x v="0"/>
    <x v="0"/>
    <x v="0"/>
    <x v="1"/>
    <x v="3"/>
    <x v="2"/>
    <n v="3"/>
    <n v="153.82"/>
    <n v="461.46"/>
    <x v="2"/>
  </r>
  <r>
    <x v="7"/>
    <x v="4"/>
    <x v="1"/>
    <x v="1"/>
    <x v="0"/>
    <x v="2"/>
    <x v="0"/>
    <n v="4"/>
    <n v="281"/>
    <n v="1124"/>
    <x v="1"/>
  </r>
  <r>
    <x v="166"/>
    <x v="9"/>
    <x v="4"/>
    <x v="6"/>
    <x v="1"/>
    <x v="3"/>
    <x v="3"/>
    <n v="5"/>
    <n v="112.4"/>
    <n v="562"/>
    <x v="3"/>
  </r>
  <r>
    <x v="74"/>
    <x v="2"/>
    <x v="2"/>
    <x v="2"/>
    <x v="0"/>
    <x v="0"/>
    <x v="5"/>
    <n v="1"/>
    <n v="233.16"/>
    <n v="233.16"/>
    <x v="2"/>
  </r>
  <r>
    <x v="80"/>
    <x v="1"/>
    <x v="1"/>
    <x v="1"/>
    <x v="0"/>
    <x v="1"/>
    <x v="6"/>
    <n v="5"/>
    <n v="248.71"/>
    <n v="1243.55"/>
    <x v="3"/>
  </r>
  <r>
    <x v="36"/>
    <x v="5"/>
    <x v="2"/>
    <x v="4"/>
    <x v="2"/>
    <x v="2"/>
    <x v="1"/>
    <n v="5"/>
    <n v="157.19999999999999"/>
    <n v="786"/>
    <x v="3"/>
  </r>
  <r>
    <x v="58"/>
    <x v="1"/>
    <x v="1"/>
    <x v="1"/>
    <x v="2"/>
    <x v="0"/>
    <x v="1"/>
    <n v="4"/>
    <n v="113.75"/>
    <n v="455"/>
    <x v="3"/>
  </r>
  <r>
    <x v="167"/>
    <x v="1"/>
    <x v="1"/>
    <x v="1"/>
    <x v="1"/>
    <x v="3"/>
    <x v="4"/>
    <n v="1"/>
    <n v="109.66"/>
    <n v="109.66"/>
    <x v="2"/>
  </r>
  <r>
    <x v="44"/>
    <x v="9"/>
    <x v="4"/>
    <x v="6"/>
    <x v="1"/>
    <x v="2"/>
    <x v="3"/>
    <n v="1"/>
    <n v="81.569999999999993"/>
    <n v="81.569999999999993"/>
    <x v="1"/>
  </r>
  <r>
    <x v="81"/>
    <x v="0"/>
    <x v="0"/>
    <x v="0"/>
    <x v="2"/>
    <x v="2"/>
    <x v="5"/>
    <n v="2"/>
    <n v="247.2"/>
    <n v="494.4"/>
    <x v="1"/>
  </r>
  <r>
    <x v="168"/>
    <x v="9"/>
    <x v="4"/>
    <x v="6"/>
    <x v="1"/>
    <x v="1"/>
    <x v="0"/>
    <n v="4"/>
    <n v="250.26"/>
    <n v="1001.04"/>
    <x v="0"/>
  </r>
  <r>
    <x v="169"/>
    <x v="4"/>
    <x v="1"/>
    <x v="1"/>
    <x v="0"/>
    <x v="1"/>
    <x v="4"/>
    <n v="1"/>
    <n v="137.19999999999999"/>
    <n v="137.19999999999999"/>
    <x v="0"/>
  </r>
  <r>
    <x v="11"/>
    <x v="4"/>
    <x v="1"/>
    <x v="1"/>
    <x v="1"/>
    <x v="3"/>
    <x v="5"/>
    <n v="3"/>
    <n v="164.06"/>
    <n v="492.18"/>
    <x v="1"/>
  </r>
  <r>
    <x v="51"/>
    <x v="2"/>
    <x v="2"/>
    <x v="2"/>
    <x v="0"/>
    <x v="3"/>
    <x v="6"/>
    <n v="4"/>
    <n v="198.45"/>
    <n v="793.8"/>
    <x v="3"/>
  </r>
  <r>
    <x v="55"/>
    <x v="9"/>
    <x v="4"/>
    <x v="6"/>
    <x v="0"/>
    <x v="0"/>
    <x v="4"/>
    <n v="2"/>
    <n v="162.47999999999999"/>
    <n v="324.95999999999998"/>
    <x v="2"/>
  </r>
  <r>
    <x v="91"/>
    <x v="7"/>
    <x v="2"/>
    <x v="5"/>
    <x v="2"/>
    <x v="2"/>
    <x v="2"/>
    <n v="4"/>
    <n v="243.48"/>
    <n v="973.92"/>
    <x v="3"/>
  </r>
  <r>
    <x v="150"/>
    <x v="8"/>
    <x v="1"/>
    <x v="4"/>
    <x v="1"/>
    <x v="0"/>
    <x v="2"/>
    <n v="4"/>
    <n v="183.4"/>
    <n v="733.6"/>
    <x v="0"/>
  </r>
  <r>
    <x v="37"/>
    <x v="2"/>
    <x v="2"/>
    <x v="2"/>
    <x v="2"/>
    <x v="3"/>
    <x v="2"/>
    <n v="1"/>
    <n v="271.44"/>
    <n v="271.44"/>
    <x v="2"/>
  </r>
  <r>
    <x v="79"/>
    <x v="2"/>
    <x v="2"/>
    <x v="2"/>
    <x v="0"/>
    <x v="0"/>
    <x v="6"/>
    <n v="2"/>
    <n v="135.47999999999999"/>
    <n v="270.95999999999998"/>
    <x v="2"/>
  </r>
  <r>
    <x v="170"/>
    <x v="0"/>
    <x v="0"/>
    <x v="0"/>
    <x v="2"/>
    <x v="1"/>
    <x v="0"/>
    <n v="5"/>
    <n v="148.46"/>
    <n v="742.3"/>
    <x v="0"/>
  </r>
  <r>
    <x v="8"/>
    <x v="3"/>
    <x v="3"/>
    <x v="3"/>
    <x v="2"/>
    <x v="2"/>
    <x v="5"/>
    <n v="5"/>
    <n v="251.06"/>
    <n v="1255.3"/>
    <x v="1"/>
  </r>
  <r>
    <x v="77"/>
    <x v="3"/>
    <x v="3"/>
    <x v="3"/>
    <x v="0"/>
    <x v="3"/>
    <x v="4"/>
    <n v="2"/>
    <n v="195.41"/>
    <n v="390.82"/>
    <x v="0"/>
  </r>
  <r>
    <x v="9"/>
    <x v="1"/>
    <x v="1"/>
    <x v="1"/>
    <x v="0"/>
    <x v="0"/>
    <x v="3"/>
    <n v="4"/>
    <n v="206.29"/>
    <n v="825.16"/>
    <x v="3"/>
  </r>
  <r>
    <x v="118"/>
    <x v="3"/>
    <x v="3"/>
    <x v="3"/>
    <x v="1"/>
    <x v="3"/>
    <x v="0"/>
    <n v="4"/>
    <n v="146.09"/>
    <n v="584.36"/>
    <x v="2"/>
  </r>
  <r>
    <x v="36"/>
    <x v="1"/>
    <x v="1"/>
    <x v="1"/>
    <x v="1"/>
    <x v="0"/>
    <x v="6"/>
    <n v="1"/>
    <n v="284.3"/>
    <n v="284.3"/>
    <x v="0"/>
  </r>
  <r>
    <x v="163"/>
    <x v="9"/>
    <x v="4"/>
    <x v="6"/>
    <x v="0"/>
    <x v="0"/>
    <x v="1"/>
    <n v="5"/>
    <n v="289.47000000000003"/>
    <n v="1447.35"/>
    <x v="0"/>
  </r>
  <r>
    <x v="171"/>
    <x v="5"/>
    <x v="2"/>
    <x v="4"/>
    <x v="1"/>
    <x v="1"/>
    <x v="2"/>
    <n v="2"/>
    <n v="218.25"/>
    <n v="436.5"/>
    <x v="3"/>
  </r>
  <r>
    <x v="32"/>
    <x v="6"/>
    <x v="1"/>
    <x v="4"/>
    <x v="2"/>
    <x v="3"/>
    <x v="3"/>
    <n v="4"/>
    <n v="204.62"/>
    <n v="818.48"/>
    <x v="3"/>
  </r>
  <r>
    <x v="93"/>
    <x v="9"/>
    <x v="4"/>
    <x v="6"/>
    <x v="1"/>
    <x v="0"/>
    <x v="0"/>
    <n v="2"/>
    <n v="267.42"/>
    <n v="534.84"/>
    <x v="2"/>
  </r>
  <r>
    <x v="129"/>
    <x v="7"/>
    <x v="2"/>
    <x v="5"/>
    <x v="2"/>
    <x v="2"/>
    <x v="4"/>
    <n v="1"/>
    <n v="144.59"/>
    <n v="144.59"/>
    <x v="1"/>
  </r>
  <r>
    <x v="172"/>
    <x v="1"/>
    <x v="1"/>
    <x v="1"/>
    <x v="2"/>
    <x v="1"/>
    <x v="5"/>
    <n v="2"/>
    <n v="80.47"/>
    <n v="160.94"/>
    <x v="0"/>
  </r>
  <r>
    <x v="173"/>
    <x v="5"/>
    <x v="2"/>
    <x v="4"/>
    <x v="2"/>
    <x v="2"/>
    <x v="5"/>
    <n v="2"/>
    <n v="98.17"/>
    <n v="196.34"/>
    <x v="0"/>
  </r>
  <r>
    <x v="65"/>
    <x v="2"/>
    <x v="2"/>
    <x v="2"/>
    <x v="2"/>
    <x v="1"/>
    <x v="2"/>
    <n v="2"/>
    <n v="63.76"/>
    <n v="127.52"/>
    <x v="2"/>
  </r>
  <r>
    <x v="95"/>
    <x v="7"/>
    <x v="2"/>
    <x v="5"/>
    <x v="2"/>
    <x v="2"/>
    <x v="2"/>
    <n v="2"/>
    <n v="157.12"/>
    <n v="314.24"/>
    <x v="0"/>
  </r>
  <r>
    <x v="174"/>
    <x v="7"/>
    <x v="2"/>
    <x v="5"/>
    <x v="1"/>
    <x v="2"/>
    <x v="4"/>
    <n v="5"/>
    <n v="293.20999999999998"/>
    <n v="1466.05"/>
    <x v="2"/>
  </r>
  <r>
    <x v="101"/>
    <x v="2"/>
    <x v="2"/>
    <x v="2"/>
    <x v="2"/>
    <x v="3"/>
    <x v="2"/>
    <n v="2"/>
    <n v="142.25"/>
    <n v="284.5"/>
    <x v="1"/>
  </r>
  <r>
    <x v="76"/>
    <x v="2"/>
    <x v="2"/>
    <x v="2"/>
    <x v="2"/>
    <x v="1"/>
    <x v="0"/>
    <n v="1"/>
    <n v="86.17"/>
    <n v="86.17"/>
    <x v="3"/>
  </r>
  <r>
    <x v="127"/>
    <x v="5"/>
    <x v="2"/>
    <x v="4"/>
    <x v="1"/>
    <x v="0"/>
    <x v="5"/>
    <n v="3"/>
    <n v="172.37"/>
    <n v="517.11"/>
    <x v="0"/>
  </r>
  <r>
    <x v="175"/>
    <x v="2"/>
    <x v="2"/>
    <x v="2"/>
    <x v="2"/>
    <x v="1"/>
    <x v="3"/>
    <n v="3"/>
    <n v="236.05"/>
    <n v="708.15"/>
    <x v="1"/>
  </r>
  <r>
    <x v="176"/>
    <x v="5"/>
    <x v="2"/>
    <x v="4"/>
    <x v="2"/>
    <x v="3"/>
    <x v="2"/>
    <n v="3"/>
    <n v="256.72000000000003"/>
    <n v="770.16"/>
    <x v="1"/>
  </r>
  <r>
    <x v="22"/>
    <x v="8"/>
    <x v="1"/>
    <x v="4"/>
    <x v="2"/>
    <x v="0"/>
    <x v="2"/>
    <n v="4"/>
    <n v="205.64"/>
    <n v="822.56"/>
    <x v="3"/>
  </r>
  <r>
    <x v="84"/>
    <x v="2"/>
    <x v="2"/>
    <x v="2"/>
    <x v="2"/>
    <x v="3"/>
    <x v="4"/>
    <n v="4"/>
    <n v="68.180000000000007"/>
    <n v="272.72000000000003"/>
    <x v="2"/>
  </r>
  <r>
    <x v="24"/>
    <x v="3"/>
    <x v="3"/>
    <x v="3"/>
    <x v="2"/>
    <x v="0"/>
    <x v="1"/>
    <n v="4"/>
    <n v="68.97"/>
    <n v="275.88"/>
    <x v="0"/>
  </r>
  <r>
    <x v="44"/>
    <x v="5"/>
    <x v="2"/>
    <x v="4"/>
    <x v="0"/>
    <x v="0"/>
    <x v="4"/>
    <n v="5"/>
    <n v="123.23"/>
    <n v="616.15"/>
    <x v="3"/>
  </r>
  <r>
    <x v="158"/>
    <x v="8"/>
    <x v="1"/>
    <x v="4"/>
    <x v="1"/>
    <x v="3"/>
    <x v="1"/>
    <n v="5"/>
    <n v="273"/>
    <n v="1365"/>
    <x v="0"/>
  </r>
  <r>
    <x v="177"/>
    <x v="1"/>
    <x v="1"/>
    <x v="1"/>
    <x v="1"/>
    <x v="2"/>
    <x v="5"/>
    <n v="3"/>
    <n v="225.84"/>
    <n v="677.52"/>
    <x v="0"/>
  </r>
  <r>
    <x v="79"/>
    <x v="6"/>
    <x v="1"/>
    <x v="4"/>
    <x v="1"/>
    <x v="1"/>
    <x v="5"/>
    <n v="3"/>
    <n v="235.36"/>
    <n v="706.08"/>
    <x v="3"/>
  </r>
  <r>
    <x v="178"/>
    <x v="1"/>
    <x v="1"/>
    <x v="1"/>
    <x v="1"/>
    <x v="1"/>
    <x v="3"/>
    <n v="5"/>
    <n v="189.94"/>
    <n v="949.7"/>
    <x v="2"/>
  </r>
  <r>
    <x v="93"/>
    <x v="2"/>
    <x v="2"/>
    <x v="2"/>
    <x v="1"/>
    <x v="2"/>
    <x v="6"/>
    <n v="3"/>
    <n v="110.2"/>
    <n v="330.6"/>
    <x v="0"/>
  </r>
  <r>
    <x v="18"/>
    <x v="2"/>
    <x v="2"/>
    <x v="2"/>
    <x v="0"/>
    <x v="1"/>
    <x v="4"/>
    <n v="2"/>
    <n v="54.76"/>
    <n v="109.52"/>
    <x v="3"/>
  </r>
  <r>
    <x v="22"/>
    <x v="7"/>
    <x v="2"/>
    <x v="5"/>
    <x v="1"/>
    <x v="1"/>
    <x v="1"/>
    <n v="1"/>
    <n v="296.56"/>
    <n v="296.56"/>
    <x v="1"/>
  </r>
  <r>
    <x v="179"/>
    <x v="1"/>
    <x v="1"/>
    <x v="1"/>
    <x v="1"/>
    <x v="1"/>
    <x v="1"/>
    <n v="1"/>
    <n v="296.51"/>
    <n v="296.51"/>
    <x v="3"/>
  </r>
  <r>
    <x v="75"/>
    <x v="9"/>
    <x v="4"/>
    <x v="6"/>
    <x v="2"/>
    <x v="2"/>
    <x v="3"/>
    <n v="1"/>
    <n v="89.5"/>
    <n v="89.5"/>
    <x v="1"/>
  </r>
  <r>
    <x v="180"/>
    <x v="1"/>
    <x v="1"/>
    <x v="1"/>
    <x v="0"/>
    <x v="2"/>
    <x v="2"/>
    <n v="3"/>
    <n v="280.64"/>
    <n v="841.92"/>
    <x v="0"/>
  </r>
  <r>
    <x v="181"/>
    <x v="5"/>
    <x v="2"/>
    <x v="4"/>
    <x v="1"/>
    <x v="3"/>
    <x v="5"/>
    <n v="5"/>
    <n v="234.28"/>
    <n v="1171.4000000000001"/>
    <x v="2"/>
  </r>
  <r>
    <x v="151"/>
    <x v="8"/>
    <x v="1"/>
    <x v="4"/>
    <x v="1"/>
    <x v="3"/>
    <x v="0"/>
    <n v="2"/>
    <n v="294.89"/>
    <n v="589.78"/>
    <x v="3"/>
  </r>
  <r>
    <x v="171"/>
    <x v="6"/>
    <x v="1"/>
    <x v="4"/>
    <x v="1"/>
    <x v="1"/>
    <x v="6"/>
    <n v="1"/>
    <n v="208.24"/>
    <n v="208.24"/>
    <x v="2"/>
  </r>
  <r>
    <x v="98"/>
    <x v="6"/>
    <x v="1"/>
    <x v="4"/>
    <x v="2"/>
    <x v="2"/>
    <x v="3"/>
    <n v="5"/>
    <n v="94.25"/>
    <n v="471.25"/>
    <x v="3"/>
  </r>
  <r>
    <x v="182"/>
    <x v="5"/>
    <x v="2"/>
    <x v="4"/>
    <x v="1"/>
    <x v="2"/>
    <x v="4"/>
    <n v="5"/>
    <n v="259"/>
    <n v="1295"/>
    <x v="0"/>
  </r>
  <r>
    <x v="37"/>
    <x v="9"/>
    <x v="4"/>
    <x v="6"/>
    <x v="1"/>
    <x v="2"/>
    <x v="4"/>
    <n v="4"/>
    <n v="299.73"/>
    <n v="1198.92"/>
    <x v="2"/>
  </r>
  <r>
    <x v="183"/>
    <x v="4"/>
    <x v="1"/>
    <x v="1"/>
    <x v="2"/>
    <x v="2"/>
    <x v="5"/>
    <n v="5"/>
    <n v="71.260000000000005"/>
    <n v="356.3"/>
    <x v="2"/>
  </r>
  <r>
    <x v="154"/>
    <x v="8"/>
    <x v="1"/>
    <x v="4"/>
    <x v="1"/>
    <x v="0"/>
    <x v="0"/>
    <n v="5"/>
    <n v="270.14"/>
    <n v="1350.7"/>
    <x v="3"/>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6">
  <r>
    <d v="2022-05-27T00:00:00"/>
    <s v="Fear of God Essentials Tee"/>
    <s v="T-shirt"/>
    <x v="0"/>
    <s v="Unisex"/>
    <s v="Limited Edition"/>
    <s v="Japan"/>
    <n v="5"/>
    <n v="141.82"/>
    <x v="0"/>
    <s v="Card"/>
  </r>
  <r>
    <d v="2022-04-28T00:00:00"/>
    <s v="Yeezy Boost 350"/>
    <s v="Sneakers"/>
    <x v="1"/>
    <s v="Unisex"/>
    <s v="Sportswear"/>
    <s v="Australia"/>
    <n v="1"/>
    <n v="70.69"/>
    <x v="1"/>
    <s v="UPI"/>
  </r>
  <r>
    <d v="2022-03-13T00:00:00"/>
    <s v="Off-White Hoodie"/>
    <s v="Hoodie"/>
    <x v="2"/>
    <s v="Women"/>
    <s v="Casual"/>
    <s v="UK"/>
    <n v="1"/>
    <n v="89.14"/>
    <x v="2"/>
    <s v="Cash on Delivery"/>
  </r>
  <r>
    <d v="2022-07-24T00:00:00"/>
    <s v="New Era Cap"/>
    <s v="Cap"/>
    <x v="3"/>
    <s v="Unisex"/>
    <s v="Limited Edition"/>
    <s v="India"/>
    <n v="4"/>
    <n v="135.07"/>
    <x v="3"/>
    <s v="Cash on Delivery"/>
  </r>
  <r>
    <d v="2022-06-11T00:00:00"/>
    <s v="Adidas Ultraboost"/>
    <s v="Sneakers"/>
    <x v="1"/>
    <s v="Men"/>
    <s v="Streetwear"/>
    <s v="Germany"/>
    <n v="2"/>
    <n v="223"/>
    <x v="4"/>
    <s v="Cash on Delivery"/>
  </r>
  <r>
    <d v="2022-06-28T00:00:00"/>
    <s v="Fear of God Essentials Tee"/>
    <s v="T-shirt"/>
    <x v="0"/>
    <s v="Unisex"/>
    <s v="Limited Edition"/>
    <s v="UK"/>
    <n v="4"/>
    <n v="238.52"/>
    <x v="5"/>
    <s v="Cash on Delivery"/>
  </r>
  <r>
    <d v="2022-07-12T00:00:00"/>
    <s v="Nike Tech Fleece"/>
    <s v="Hoodie"/>
    <x v="4"/>
    <s v="Women"/>
    <s v="Casual"/>
    <s v="Australia"/>
    <n v="5"/>
    <n v="120.55"/>
    <x v="6"/>
    <s v="UPI"/>
  </r>
  <r>
    <d v="2022-02-13T00:00:00"/>
    <s v="New Era Cap"/>
    <s v="Cap"/>
    <x v="3"/>
    <s v="Women"/>
    <s v="Streetwear"/>
    <s v="Germany"/>
    <n v="4"/>
    <n v="212.66"/>
    <x v="7"/>
    <s v="Wallet"/>
  </r>
  <r>
    <d v="2022-07-10T00:00:00"/>
    <s v="Off-White Hoodie"/>
    <s v="Hoodie"/>
    <x v="2"/>
    <s v="Women"/>
    <s v="Streetwear"/>
    <s v="Canada"/>
    <n v="5"/>
    <n v="256.22000000000003"/>
    <x v="8"/>
    <s v="Wallet"/>
  </r>
  <r>
    <d v="2022-01-22T00:00:00"/>
    <s v="Jordan 1 High"/>
    <s v="Sneakers"/>
    <x v="4"/>
    <s v="Unisex"/>
    <s v="Casual"/>
    <s v="Canada"/>
    <n v="4"/>
    <n v="124.4"/>
    <x v="9"/>
    <s v="Wallet"/>
  </r>
  <r>
    <d v="2022-06-18T00:00:00"/>
    <s v="Jordan 1 High"/>
    <s v="Sneakers"/>
    <x v="4"/>
    <s v="Women"/>
    <s v="Casual"/>
    <s v="Germany"/>
    <n v="2"/>
    <n v="80.33"/>
    <x v="10"/>
    <s v="Card"/>
  </r>
  <r>
    <d v="2022-03-18T00:00:00"/>
    <s v="Supreme Hoodie"/>
    <s v="Hoodie"/>
    <x v="5"/>
    <s v="Unisex"/>
    <s v="Sportswear"/>
    <s v="Canada"/>
    <n v="5"/>
    <n v="58.65"/>
    <x v="11"/>
    <s v="UPI"/>
  </r>
  <r>
    <d v="2022-08-21T00:00:00"/>
    <s v="Nike Dunk Low"/>
    <s v="Sneakers"/>
    <x v="4"/>
    <s v="Women"/>
    <s v="Streetwear"/>
    <s v="USA"/>
    <n v="5"/>
    <n v="183.55"/>
    <x v="12"/>
    <s v="Cash on Delivery"/>
  </r>
  <r>
    <d v="2022-07-07T00:00:00"/>
    <s v="Puma Joggers"/>
    <s v="Joggers"/>
    <x v="6"/>
    <s v="Unisex"/>
    <s v="Streetwear"/>
    <s v="Canada"/>
    <n v="2"/>
    <n v="210.77"/>
    <x v="13"/>
    <s v="Card"/>
  </r>
  <r>
    <d v="2022-05-11T00:00:00"/>
    <s v="Yeezy Boost 350"/>
    <s v="Sneakers"/>
    <x v="1"/>
    <s v="Unisex"/>
    <s v="Casual"/>
    <s v="Germany"/>
    <n v="4"/>
    <n v="218.82"/>
    <x v="14"/>
    <s v="Wallet"/>
  </r>
  <r>
    <d v="2022-06-17T00:00:00"/>
    <s v="Fear of God Essentials Tee"/>
    <s v="T-shirt"/>
    <x v="0"/>
    <s v="Women"/>
    <s v="Sportswear"/>
    <s v="UK"/>
    <n v="5"/>
    <n v="133.74"/>
    <x v="15"/>
    <s v="Card"/>
  </r>
  <r>
    <d v="2022-05-24T00:00:00"/>
    <s v="Adidas Ultraboost"/>
    <s v="Sneakers"/>
    <x v="1"/>
    <s v="Women"/>
    <s v="Casual"/>
    <s v="UK"/>
    <n v="1"/>
    <n v="208.47"/>
    <x v="16"/>
    <s v="Cash on Delivery"/>
  </r>
  <r>
    <d v="2022-05-28T00:00:00"/>
    <s v="Off-White Hoodie"/>
    <s v="Hoodie"/>
    <x v="2"/>
    <s v="Unisex"/>
    <s v="Limited Edition"/>
    <s v="Canada"/>
    <n v="1"/>
    <n v="180.42"/>
    <x v="17"/>
    <s v="Cash on Delivery"/>
  </r>
  <r>
    <d v="2022-06-29T00:00:00"/>
    <s v="Puma Joggers"/>
    <s v="Joggers"/>
    <x v="6"/>
    <s v="Men"/>
    <s v="Casual"/>
    <s v="Japan"/>
    <n v="3"/>
    <n v="127.36"/>
    <x v="18"/>
    <s v="Card"/>
  </r>
  <r>
    <d v="2022-05-25T00:00:00"/>
    <s v="Supreme Hoodie"/>
    <s v="Hoodie"/>
    <x v="5"/>
    <s v="Men"/>
    <s v="Streetwear"/>
    <s v="Japan"/>
    <n v="3"/>
    <n v="149.51"/>
    <x v="19"/>
    <s v="Cash on Delivery"/>
  </r>
  <r>
    <d v="2022-03-09T00:00:00"/>
    <s v="New Era Cap"/>
    <s v="Cap"/>
    <x v="3"/>
    <s v="Men"/>
    <s v="Casual"/>
    <s v="India"/>
    <n v="3"/>
    <n v="136.36000000000001"/>
    <x v="20"/>
    <s v="Card"/>
  </r>
  <r>
    <d v="2022-08-21T00:00:00"/>
    <s v="Nike Tech Fleece"/>
    <s v="Hoodie"/>
    <x v="4"/>
    <s v="Unisex"/>
    <s v="Casual"/>
    <s v="UK"/>
    <n v="5"/>
    <n v="162.38"/>
    <x v="21"/>
    <s v="Card"/>
  </r>
  <r>
    <d v="2022-05-27T00:00:00"/>
    <s v="Puma Joggers"/>
    <s v="Joggers"/>
    <x v="6"/>
    <s v="Women"/>
    <s v="Sportswear"/>
    <s v="Australia"/>
    <n v="2"/>
    <n v="259.66000000000003"/>
    <x v="22"/>
    <s v="Wallet"/>
  </r>
  <r>
    <d v="2022-05-22T00:00:00"/>
    <s v="Off-White Hoodie"/>
    <s v="Hoodie"/>
    <x v="2"/>
    <s v="Men"/>
    <s v="Streetwear"/>
    <s v="Canada"/>
    <n v="1"/>
    <n v="180.39"/>
    <x v="23"/>
    <s v="Card"/>
  </r>
  <r>
    <d v="2022-06-02T00:00:00"/>
    <s v="Off-White Hoodie"/>
    <s v="Hoodie"/>
    <x v="2"/>
    <s v="Men"/>
    <s v="Limited Edition"/>
    <s v="Canada"/>
    <n v="3"/>
    <n v="80.349999999999994"/>
    <x v="24"/>
    <s v="Card"/>
  </r>
  <r>
    <d v="2022-03-06T00:00:00"/>
    <s v="Fear of God Essentials Tee"/>
    <s v="T-shirt"/>
    <x v="0"/>
    <s v="Men"/>
    <s v="Streetwear"/>
    <s v="Japan"/>
    <n v="2"/>
    <n v="222.08"/>
    <x v="25"/>
    <s v="UPI"/>
  </r>
  <r>
    <d v="2022-03-21T00:00:00"/>
    <s v="Puma Joggers"/>
    <s v="Joggers"/>
    <x v="6"/>
    <s v="Women"/>
    <s v="Sportswear"/>
    <s v="Germany"/>
    <n v="1"/>
    <n v="287.44"/>
    <x v="26"/>
    <s v="UPI"/>
  </r>
  <r>
    <d v="2022-07-16T00:00:00"/>
    <s v="Fear of God Essentials Tee"/>
    <s v="T-shirt"/>
    <x v="0"/>
    <s v="Unisex"/>
    <s v="Limited Edition"/>
    <s v="UK"/>
    <n v="5"/>
    <n v="137.9"/>
    <x v="27"/>
    <s v="UPI"/>
  </r>
  <r>
    <d v="2022-03-19T00:00:00"/>
    <s v="Off-White Hoodie"/>
    <s v="Hoodie"/>
    <x v="2"/>
    <s v="Unisex"/>
    <s v="Streetwear"/>
    <s v="Canada"/>
    <n v="3"/>
    <n v="214.68"/>
    <x v="28"/>
    <s v="UPI"/>
  </r>
  <r>
    <d v="2022-08-04T00:00:00"/>
    <s v="Nike Tech Fleece"/>
    <s v="Hoodie"/>
    <x v="4"/>
    <s v="Women"/>
    <s v="Limited Edition"/>
    <s v="USA"/>
    <n v="2"/>
    <n v="269.88"/>
    <x v="29"/>
    <s v="Cash on Delivery"/>
  </r>
  <r>
    <d v="2022-05-03T00:00:00"/>
    <s v="Jordan 1 High"/>
    <s v="Sneakers"/>
    <x v="4"/>
    <s v="Unisex"/>
    <s v="Sportswear"/>
    <s v="India"/>
    <n v="1"/>
    <n v="96.97"/>
    <x v="30"/>
    <s v="Wallet"/>
  </r>
  <r>
    <d v="2022-07-01T00:00:00"/>
    <s v="New Era Cap"/>
    <s v="Cap"/>
    <x v="3"/>
    <s v="Women"/>
    <s v="Limited Edition"/>
    <s v="Australia"/>
    <n v="4"/>
    <n v="270.55"/>
    <x v="31"/>
    <s v="Cash on Delivery"/>
  </r>
  <r>
    <d v="2022-06-16T00:00:00"/>
    <s v="Adidas Ultraboost"/>
    <s v="Sneakers"/>
    <x v="1"/>
    <s v="Unisex"/>
    <s v="Sportswear"/>
    <s v="Australia"/>
    <n v="3"/>
    <n v="261.31"/>
    <x v="32"/>
    <s v="Card"/>
  </r>
  <r>
    <d v="2022-01-10T00:00:00"/>
    <s v="New Era Cap"/>
    <s v="Cap"/>
    <x v="3"/>
    <s v="Unisex"/>
    <s v="Sportswear"/>
    <s v="USA"/>
    <n v="4"/>
    <n v="56.4"/>
    <x v="33"/>
    <s v="Card"/>
  </r>
  <r>
    <d v="2022-07-08T00:00:00"/>
    <s v="Yeezy Boost 350"/>
    <s v="Sneakers"/>
    <x v="1"/>
    <s v="Men"/>
    <s v="Sportswear"/>
    <s v="Germany"/>
    <n v="3"/>
    <n v="239.55"/>
    <x v="34"/>
    <s v="Card"/>
  </r>
  <r>
    <d v="2022-08-20T00:00:00"/>
    <s v="Jordan 1 High"/>
    <s v="Sneakers"/>
    <x v="4"/>
    <s v="Unisex"/>
    <s v="Limited Edition"/>
    <s v="Germany"/>
    <n v="2"/>
    <n v="94.62"/>
    <x v="35"/>
    <s v="Cash on Delivery"/>
  </r>
  <r>
    <d v="2022-07-24T00:00:00"/>
    <s v="Fear of God Essentials Tee"/>
    <s v="T-shirt"/>
    <x v="0"/>
    <s v="Unisex"/>
    <s v="Limited Edition"/>
    <s v="Germany"/>
    <n v="4"/>
    <n v="57.22"/>
    <x v="36"/>
    <s v="Cash on Delivery"/>
  </r>
  <r>
    <d v="2022-07-14T00:00:00"/>
    <s v="Nike Dunk Low"/>
    <s v="Sneakers"/>
    <x v="4"/>
    <s v="Men"/>
    <s v="Limited Edition"/>
    <s v="Germany"/>
    <n v="1"/>
    <n v="170.86"/>
    <x v="37"/>
    <s v="Wallet"/>
  </r>
  <r>
    <d v="2022-02-11T00:00:00"/>
    <s v="Adidas Ultraboost"/>
    <s v="Sneakers"/>
    <x v="1"/>
    <s v="Men"/>
    <s v="Streetwear"/>
    <s v="Australia"/>
    <n v="3"/>
    <n v="105.79"/>
    <x v="38"/>
    <s v="Wallet"/>
  </r>
  <r>
    <d v="2022-05-26T00:00:00"/>
    <s v="Adidas Ultraboost"/>
    <s v="Sneakers"/>
    <x v="1"/>
    <s v="Men"/>
    <s v="Streetwear"/>
    <s v="Australia"/>
    <n v="5"/>
    <n v="112.95"/>
    <x v="39"/>
    <s v="Card"/>
  </r>
  <r>
    <d v="2022-08-20T00:00:00"/>
    <s v="Off-White Hoodie"/>
    <s v="Hoodie"/>
    <x v="2"/>
    <s v="Unisex"/>
    <s v="Limited Edition"/>
    <s v="USA"/>
    <n v="5"/>
    <n v="55.8"/>
    <x v="40"/>
    <s v="Card"/>
  </r>
  <r>
    <d v="2022-05-05T00:00:00"/>
    <s v="Supreme Hoodie"/>
    <s v="Hoodie"/>
    <x v="5"/>
    <s v="Men"/>
    <s v="Sportswear"/>
    <s v="India"/>
    <n v="1"/>
    <n v="50.1"/>
    <x v="41"/>
    <s v="Card"/>
  </r>
  <r>
    <d v="2022-08-31T00:00:00"/>
    <s v="Yeezy Boost 350"/>
    <s v="Sneakers"/>
    <x v="1"/>
    <s v="Men"/>
    <s v="Limited Edition"/>
    <s v="USA"/>
    <n v="1"/>
    <n v="56.49"/>
    <x v="42"/>
    <s v="UPI"/>
  </r>
  <r>
    <d v="2022-04-21T00:00:00"/>
    <s v="Off-White Hoodie"/>
    <s v="Hoodie"/>
    <x v="2"/>
    <s v="Men"/>
    <s v="Sportswear"/>
    <s v="Australia"/>
    <n v="5"/>
    <n v="100.65"/>
    <x v="43"/>
    <s v="Wallet"/>
  </r>
  <r>
    <d v="2022-08-21T00:00:00"/>
    <s v="Adidas Ultraboost"/>
    <s v="Sneakers"/>
    <x v="1"/>
    <s v="Men"/>
    <s v="Casual"/>
    <s v="Japan"/>
    <n v="2"/>
    <n v="160.44"/>
    <x v="44"/>
    <s v="UPI"/>
  </r>
  <r>
    <d v="2022-04-15T00:00:00"/>
    <s v="Puma Joggers"/>
    <s v="Joggers"/>
    <x v="6"/>
    <s v="Women"/>
    <s v="Streetwear"/>
    <s v="Japan"/>
    <n v="4"/>
    <n v="242.44"/>
    <x v="45"/>
    <s v="Cash on Delivery"/>
  </r>
  <r>
    <d v="2022-05-07T00:00:00"/>
    <s v="Yeezy Boost 350"/>
    <s v="Sneakers"/>
    <x v="1"/>
    <s v="Unisex"/>
    <s v="Streetwear"/>
    <s v="Australia"/>
    <n v="2"/>
    <n v="209.81"/>
    <x v="46"/>
    <s v="Card"/>
  </r>
  <r>
    <d v="2022-03-14T00:00:00"/>
    <s v="Adidas Ultraboost"/>
    <s v="Sneakers"/>
    <x v="1"/>
    <s v="Men"/>
    <s v="Casual"/>
    <s v="India"/>
    <n v="4"/>
    <n v="261.95999999999998"/>
    <x v="47"/>
    <s v="Cash on Delivery"/>
  </r>
  <r>
    <d v="2022-08-30T00:00:00"/>
    <s v="Supreme Hoodie"/>
    <s v="Hoodie"/>
    <x v="5"/>
    <s v="Men"/>
    <s v="Casual"/>
    <s v="USA"/>
    <n v="3"/>
    <n v="242.71"/>
    <x v="48"/>
    <s v="Cash on Delivery"/>
  </r>
  <r>
    <d v="2022-06-06T00:00:00"/>
    <s v="Jordan 1 High"/>
    <s v="Sneakers"/>
    <x v="4"/>
    <s v="Women"/>
    <s v="Limited Edition"/>
    <s v="USA"/>
    <n v="5"/>
    <n v="299.3"/>
    <x v="49"/>
    <s v="Card"/>
  </r>
  <r>
    <d v="2022-08-29T00:00:00"/>
    <s v="Yeezy Boost 350"/>
    <s v="Sneakers"/>
    <x v="1"/>
    <s v="Unisex"/>
    <s v="Streetwear"/>
    <s v="USA"/>
    <n v="4"/>
    <n v="162.85"/>
    <x v="50"/>
    <s v="UPI"/>
  </r>
  <r>
    <d v="2022-08-02T00:00:00"/>
    <s v="Puma Joggers"/>
    <s v="Joggers"/>
    <x v="6"/>
    <s v="Unisex"/>
    <s v="Streetwear"/>
    <s v="Japan"/>
    <n v="5"/>
    <n v="215.63"/>
    <x v="51"/>
    <s v="Card"/>
  </r>
  <r>
    <d v="2022-05-31T00:00:00"/>
    <s v="Jordan 1 High"/>
    <s v="Sneakers"/>
    <x v="4"/>
    <s v="Women"/>
    <s v="Limited Edition"/>
    <s v="Germany"/>
    <n v="1"/>
    <n v="54.99"/>
    <x v="52"/>
    <s v="Cash on Delivery"/>
  </r>
  <r>
    <d v="2022-02-01T00:00:00"/>
    <s v="Yeezy Boost 350"/>
    <s v="Sneakers"/>
    <x v="1"/>
    <s v="Men"/>
    <s v="Sportswear"/>
    <s v="UK"/>
    <n v="4"/>
    <n v="185.7"/>
    <x v="53"/>
    <s v="Wallet"/>
  </r>
  <r>
    <d v="2022-04-09T00:00:00"/>
    <s v="Nike Tech Fleece"/>
    <s v="Hoodie"/>
    <x v="4"/>
    <s v="Unisex"/>
    <s v="Streetwear"/>
    <s v="Canada"/>
    <n v="2"/>
    <n v="153.75"/>
    <x v="54"/>
    <s v="Cash on Delivery"/>
  </r>
  <r>
    <d v="2022-03-21T00:00:00"/>
    <s v="Supreme Hoodie"/>
    <s v="Hoodie"/>
    <x v="5"/>
    <s v="Men"/>
    <s v="Limited Edition"/>
    <s v="Australia"/>
    <n v="5"/>
    <n v="235.5"/>
    <x v="55"/>
    <s v="Wallet"/>
  </r>
  <r>
    <d v="2022-07-23T00:00:00"/>
    <s v="Supreme Hoodie"/>
    <s v="Hoodie"/>
    <x v="5"/>
    <s v="Women"/>
    <s v="Casual"/>
    <s v="Canada"/>
    <n v="3"/>
    <n v="239.76"/>
    <x v="56"/>
    <s v="Card"/>
  </r>
  <r>
    <d v="2022-02-07T00:00:00"/>
    <s v="Off-White Hoodie"/>
    <s v="Hoodie"/>
    <x v="2"/>
    <s v="Men"/>
    <s v="Casual"/>
    <s v="USA"/>
    <n v="4"/>
    <n v="213.82"/>
    <x v="57"/>
    <s v="Card"/>
  </r>
  <r>
    <d v="2022-04-27T00:00:00"/>
    <s v="Yeezy Boost 350"/>
    <s v="Sneakers"/>
    <x v="1"/>
    <s v="Women"/>
    <s v="Casual"/>
    <s v="Japan"/>
    <n v="1"/>
    <n v="67.2"/>
    <x v="58"/>
    <s v="Wallet"/>
  </r>
  <r>
    <d v="2022-03-07T00:00:00"/>
    <s v="New Era Cap"/>
    <s v="Cap"/>
    <x v="3"/>
    <s v="Men"/>
    <s v="Sportswear"/>
    <s v="Japan"/>
    <n v="4"/>
    <n v="207.05"/>
    <x v="59"/>
    <s v="UPI"/>
  </r>
  <r>
    <d v="2022-05-05T00:00:00"/>
    <s v="Nike Tech Fleece"/>
    <s v="Hoodie"/>
    <x v="4"/>
    <s v="Unisex"/>
    <s v="Sportswear"/>
    <s v="Japan"/>
    <n v="3"/>
    <n v="257.92"/>
    <x v="60"/>
    <s v="Wallet"/>
  </r>
  <r>
    <d v="2022-06-18T00:00:00"/>
    <s v="Yeezy Boost 350"/>
    <s v="Sneakers"/>
    <x v="1"/>
    <s v="Women"/>
    <s v="Limited Edition"/>
    <s v="Canada"/>
    <n v="1"/>
    <n v="122.32"/>
    <x v="61"/>
    <s v="Cash on Delivery"/>
  </r>
  <r>
    <d v="2022-05-26T00:00:00"/>
    <s v="Fear of God Essentials Tee"/>
    <s v="T-shirt"/>
    <x v="0"/>
    <s v="Unisex"/>
    <s v="Casual"/>
    <s v="USA"/>
    <n v="1"/>
    <n v="203.63"/>
    <x v="62"/>
    <s v="Cash on Delivery"/>
  </r>
  <r>
    <d v="2022-05-28T00:00:00"/>
    <s v="Jordan 1 High"/>
    <s v="Sneakers"/>
    <x v="4"/>
    <s v="Men"/>
    <s v="Sportswear"/>
    <s v="Canada"/>
    <n v="3"/>
    <n v="278.14999999999998"/>
    <x v="63"/>
    <s v="Wallet"/>
  </r>
  <r>
    <d v="2022-07-03T00:00:00"/>
    <s v="Nike Tech Fleece"/>
    <s v="Hoodie"/>
    <x v="4"/>
    <s v="Men"/>
    <s v="Sportswear"/>
    <s v="Germany"/>
    <n v="3"/>
    <n v="129.78"/>
    <x v="64"/>
    <s v="Card"/>
  </r>
  <r>
    <d v="2022-06-05T00:00:00"/>
    <s v="Jordan 1 High"/>
    <s v="Sneakers"/>
    <x v="4"/>
    <s v="Men"/>
    <s v="Casual"/>
    <s v="Australia"/>
    <n v="5"/>
    <n v="199.42"/>
    <x v="65"/>
    <s v="Cash on Delivery"/>
  </r>
  <r>
    <d v="2022-06-26T00:00:00"/>
    <s v="Adidas Ultraboost"/>
    <s v="Sneakers"/>
    <x v="1"/>
    <s v="Men"/>
    <s v="Limited Edition"/>
    <s v="Japan"/>
    <n v="5"/>
    <n v="98.23"/>
    <x v="66"/>
    <s v="Cash on Delivery"/>
  </r>
  <r>
    <d v="2022-05-07T00:00:00"/>
    <s v="Nike Dunk Low"/>
    <s v="Sneakers"/>
    <x v="4"/>
    <s v="Unisex"/>
    <s v="Streetwear"/>
    <s v="Australia"/>
    <n v="1"/>
    <n v="114.47"/>
    <x v="67"/>
    <s v="Wallet"/>
  </r>
  <r>
    <d v="2022-03-04T00:00:00"/>
    <s v="Puma Joggers"/>
    <s v="Joggers"/>
    <x v="6"/>
    <s v="Women"/>
    <s v="Streetwear"/>
    <s v="Japan"/>
    <n v="5"/>
    <n v="224.71"/>
    <x v="68"/>
    <s v="UPI"/>
  </r>
  <r>
    <d v="2022-01-29T00:00:00"/>
    <s v="Jordan 1 High"/>
    <s v="Sneakers"/>
    <x v="4"/>
    <s v="Unisex"/>
    <s v="Limited Edition"/>
    <s v="India"/>
    <n v="3"/>
    <n v="104.04"/>
    <x v="69"/>
    <s v="Cash on Delivery"/>
  </r>
  <r>
    <d v="2022-03-02T00:00:00"/>
    <s v="Puma Joggers"/>
    <s v="Joggers"/>
    <x v="6"/>
    <s v="Men"/>
    <s v="Sportswear"/>
    <s v="UK"/>
    <n v="5"/>
    <n v="140.26"/>
    <x v="70"/>
    <s v="Card"/>
  </r>
  <r>
    <d v="2022-06-01T00:00:00"/>
    <s v="Adidas Ultraboost"/>
    <s v="Sneakers"/>
    <x v="1"/>
    <s v="Men"/>
    <s v="Streetwear"/>
    <s v="UK"/>
    <n v="5"/>
    <n v="215.38"/>
    <x v="71"/>
    <s v="Card"/>
  </r>
  <r>
    <d v="2022-05-15T00:00:00"/>
    <s v="Yeezy Boost 350"/>
    <s v="Sneakers"/>
    <x v="1"/>
    <s v="Women"/>
    <s v="Limited Edition"/>
    <s v="Australia"/>
    <n v="4"/>
    <n v="127.55"/>
    <x v="72"/>
    <s v="Cash on Delivery"/>
  </r>
  <r>
    <d v="2022-08-30T00:00:00"/>
    <s v="Jordan 1 High"/>
    <s v="Sneakers"/>
    <x v="4"/>
    <s v="Women"/>
    <s v="Limited Edition"/>
    <s v="UK"/>
    <n v="3"/>
    <n v="182.2"/>
    <x v="73"/>
    <s v="Card"/>
  </r>
  <r>
    <d v="2022-04-04T00:00:00"/>
    <s v="Nike Tech Fleece"/>
    <s v="Hoodie"/>
    <x v="4"/>
    <s v="Men"/>
    <s v="Casual"/>
    <s v="Germany"/>
    <n v="4"/>
    <n v="246.66"/>
    <x v="74"/>
    <s v="Cash on Delivery"/>
  </r>
  <r>
    <d v="2022-06-16T00:00:00"/>
    <s v="Yeezy Boost 350"/>
    <s v="Sneakers"/>
    <x v="1"/>
    <s v="Women"/>
    <s v="Casual"/>
    <s v="Japan"/>
    <n v="5"/>
    <n v="262.68"/>
    <x v="75"/>
    <s v="Wallet"/>
  </r>
  <r>
    <d v="2022-01-24T00:00:00"/>
    <s v="Adidas Ultraboost"/>
    <s v="Sneakers"/>
    <x v="1"/>
    <s v="Men"/>
    <s v="Limited Edition"/>
    <s v="USA"/>
    <n v="3"/>
    <n v="101.39"/>
    <x v="76"/>
    <s v="Cash on Delivery"/>
  </r>
  <r>
    <d v="2022-02-14T00:00:00"/>
    <s v="Off-White Hoodie"/>
    <s v="Hoodie"/>
    <x v="2"/>
    <s v="Women"/>
    <s v="Casual"/>
    <s v="Japan"/>
    <n v="1"/>
    <n v="59.05"/>
    <x v="77"/>
    <s v="Cash on Delivery"/>
  </r>
  <r>
    <d v="2022-03-09T00:00:00"/>
    <s v="Off-White Hoodie"/>
    <s v="Hoodie"/>
    <x v="2"/>
    <s v="Unisex"/>
    <s v="Streetwear"/>
    <s v="Canada"/>
    <n v="1"/>
    <n v="101.32"/>
    <x v="78"/>
    <s v="UPI"/>
  </r>
  <r>
    <d v="2022-07-16T00:00:00"/>
    <s v="Nike Dunk Low"/>
    <s v="Sneakers"/>
    <x v="4"/>
    <s v="Men"/>
    <s v="Sportswear"/>
    <s v="Australia"/>
    <n v="4"/>
    <n v="228.88"/>
    <x v="79"/>
    <s v="Card"/>
  </r>
  <r>
    <d v="2022-06-15T00:00:00"/>
    <s v="Nike Dunk Low"/>
    <s v="Sneakers"/>
    <x v="4"/>
    <s v="Women"/>
    <s v="Limited Edition"/>
    <s v="Japan"/>
    <n v="4"/>
    <n v="258.60000000000002"/>
    <x v="80"/>
    <s v="Card"/>
  </r>
  <r>
    <d v="2022-02-19T00:00:00"/>
    <s v="Adidas Ultraboost"/>
    <s v="Sneakers"/>
    <x v="1"/>
    <s v="Unisex"/>
    <s v="Streetwear"/>
    <s v="Australia"/>
    <n v="4"/>
    <n v="129.94999999999999"/>
    <x v="81"/>
    <s v="Cash on Delivery"/>
  </r>
  <r>
    <d v="2022-07-06T00:00:00"/>
    <s v="Adidas Ultraboost"/>
    <s v="Sneakers"/>
    <x v="1"/>
    <s v="Women"/>
    <s v="Casual"/>
    <s v="Germany"/>
    <n v="5"/>
    <n v="190.03"/>
    <x v="82"/>
    <s v="Cash on Delivery"/>
  </r>
  <r>
    <d v="2022-02-01T00:00:00"/>
    <s v="New Era Cap"/>
    <s v="Cap"/>
    <x v="3"/>
    <s v="Unisex"/>
    <s v="Casual"/>
    <s v="Canada"/>
    <n v="1"/>
    <n v="239.21"/>
    <x v="83"/>
    <s v="Wallet"/>
  </r>
  <r>
    <d v="2022-03-25T00:00:00"/>
    <s v="Fear of God Essentials Tee"/>
    <s v="T-shirt"/>
    <x v="0"/>
    <s v="Unisex"/>
    <s v="Streetwear"/>
    <s v="Australia"/>
    <n v="1"/>
    <n v="271.18"/>
    <x v="84"/>
    <s v="Cash on Delivery"/>
  </r>
  <r>
    <d v="2022-02-03T00:00:00"/>
    <s v="Puma Joggers"/>
    <s v="Joggers"/>
    <x v="6"/>
    <s v="Women"/>
    <s v="Streetwear"/>
    <s v="Japan"/>
    <n v="5"/>
    <n v="140.65"/>
    <x v="85"/>
    <s v="Wallet"/>
  </r>
  <r>
    <d v="2022-06-30T00:00:00"/>
    <s v="Fear of God Essentials Tee"/>
    <s v="T-shirt"/>
    <x v="0"/>
    <s v="Unisex"/>
    <s v="Streetwear"/>
    <s v="UK"/>
    <n v="3"/>
    <n v="97.21"/>
    <x v="86"/>
    <s v="Cash on Delivery"/>
  </r>
  <r>
    <d v="2022-02-12T00:00:00"/>
    <s v="Supreme Hoodie"/>
    <s v="Hoodie"/>
    <x v="5"/>
    <s v="Men"/>
    <s v="Sportswear"/>
    <s v="UK"/>
    <n v="5"/>
    <n v="110.05"/>
    <x v="87"/>
    <s v="Card"/>
  </r>
  <r>
    <d v="2022-07-15T00:00:00"/>
    <s v="Adidas Ultraboost"/>
    <s v="Sneakers"/>
    <x v="1"/>
    <s v="Unisex"/>
    <s v="Casual"/>
    <s v="Germany"/>
    <n v="1"/>
    <n v="209.13"/>
    <x v="88"/>
    <s v="Cash on Delivery"/>
  </r>
  <r>
    <d v="2022-02-06T00:00:00"/>
    <s v="Nike Dunk Low"/>
    <s v="Sneakers"/>
    <x v="4"/>
    <s v="Women"/>
    <s v="Sportswear"/>
    <s v="Australia"/>
    <n v="1"/>
    <n v="256.81"/>
    <x v="89"/>
    <s v="Card"/>
  </r>
  <r>
    <d v="2022-01-20T00:00:00"/>
    <s v="Supreme Hoodie"/>
    <s v="Hoodie"/>
    <x v="5"/>
    <s v="Women"/>
    <s v="Limited Edition"/>
    <s v="Germany"/>
    <n v="2"/>
    <n v="53.05"/>
    <x v="90"/>
    <s v="Cash on Delivery"/>
  </r>
  <r>
    <d v="2022-04-03T00:00:00"/>
    <s v="Yeezy Boost 350"/>
    <s v="Sneakers"/>
    <x v="1"/>
    <s v="Men"/>
    <s v="Sportswear"/>
    <s v="UK"/>
    <n v="4"/>
    <n v="127.11"/>
    <x v="91"/>
    <s v="Cash on Delivery"/>
  </r>
  <r>
    <d v="2022-07-02T00:00:00"/>
    <s v="Nike Tech Fleece"/>
    <s v="Hoodie"/>
    <x v="4"/>
    <s v="Women"/>
    <s v="Sportswear"/>
    <s v="Japan"/>
    <n v="2"/>
    <n v="259.45999999999998"/>
    <x v="92"/>
    <s v="Wallet"/>
  </r>
  <r>
    <d v="2022-03-12T00:00:00"/>
    <s v="Off-White Hoodie"/>
    <s v="Hoodie"/>
    <x v="2"/>
    <s v="Unisex"/>
    <s v="Casual"/>
    <s v="UK"/>
    <n v="2"/>
    <n v="183.29"/>
    <x v="93"/>
    <s v="Wallet"/>
  </r>
  <r>
    <d v="2022-01-16T00:00:00"/>
    <s v="Off-White Hoodie"/>
    <s v="Hoodie"/>
    <x v="2"/>
    <s v="Women"/>
    <s v="Sportswear"/>
    <s v="Canada"/>
    <n v="2"/>
    <n v="130.4"/>
    <x v="94"/>
    <s v="Cash on Delivery"/>
  </r>
  <r>
    <d v="2022-03-01T00:00:00"/>
    <s v="Yeezy Boost 350"/>
    <s v="Sneakers"/>
    <x v="1"/>
    <s v="Men"/>
    <s v="Streetwear"/>
    <s v="Canada"/>
    <n v="5"/>
    <n v="112.04"/>
    <x v="95"/>
    <s v="Wallet"/>
  </r>
  <r>
    <d v="2022-02-27T00:00:00"/>
    <s v="Puma Joggers"/>
    <s v="Joggers"/>
    <x v="6"/>
    <s v="Women"/>
    <s v="Casual"/>
    <s v="Japan"/>
    <n v="5"/>
    <n v="85.1"/>
    <x v="96"/>
    <s v="Cash on Delivery"/>
  </r>
  <r>
    <d v="2022-07-02T00:00:00"/>
    <s v="Puma Joggers"/>
    <s v="Joggers"/>
    <x v="6"/>
    <s v="Unisex"/>
    <s v="Streetwear"/>
    <s v="Australia"/>
    <n v="1"/>
    <n v="180.65"/>
    <x v="97"/>
    <s v="Cash on Delivery"/>
  </r>
  <r>
    <d v="2022-02-08T00:00:00"/>
    <s v="New Era Cap"/>
    <s v="Cap"/>
    <x v="3"/>
    <s v="Women"/>
    <s v="Casual"/>
    <s v="UK"/>
    <n v="5"/>
    <n v="147.13"/>
    <x v="98"/>
    <s v="Wallet"/>
  </r>
  <r>
    <d v="2022-01-22T00:00:00"/>
    <s v="Puma Joggers"/>
    <s v="Joggers"/>
    <x v="6"/>
    <s v="Women"/>
    <s v="Limited Edition"/>
    <s v="Australia"/>
    <n v="3"/>
    <n v="110.78"/>
    <x v="99"/>
    <s v="Cash on Delivery"/>
  </r>
  <r>
    <d v="2022-06-24T00:00:00"/>
    <s v="Nike Tech Fleece"/>
    <s v="Hoodie"/>
    <x v="4"/>
    <s v="Women"/>
    <s v="Streetwear"/>
    <s v="India"/>
    <n v="5"/>
    <n v="58.37"/>
    <x v="100"/>
    <s v="UPI"/>
  </r>
  <r>
    <d v="2022-07-23T00:00:00"/>
    <s v="Supreme Hoodie"/>
    <s v="Hoodie"/>
    <x v="5"/>
    <s v="Women"/>
    <s v="Casual"/>
    <s v="Germany"/>
    <n v="5"/>
    <n v="241.67"/>
    <x v="101"/>
    <s v="Card"/>
  </r>
  <r>
    <d v="2022-07-25T00:00:00"/>
    <s v="Off-White Hoodie"/>
    <s v="Hoodie"/>
    <x v="2"/>
    <s v="Women"/>
    <s v="Limited Edition"/>
    <s v="USA"/>
    <n v="2"/>
    <n v="89.67"/>
    <x v="102"/>
    <s v="UPI"/>
  </r>
  <r>
    <d v="2022-05-29T00:00:00"/>
    <s v="Nike Dunk Low"/>
    <s v="Sneakers"/>
    <x v="4"/>
    <s v="Women"/>
    <s v="Streetwear"/>
    <s v="Canada"/>
    <n v="1"/>
    <n v="132.09"/>
    <x v="103"/>
    <s v="UPI"/>
  </r>
  <r>
    <d v="2022-08-04T00:00:00"/>
    <s v="New Era Cap"/>
    <s v="Cap"/>
    <x v="3"/>
    <s v="Women"/>
    <s v="Casual"/>
    <s v="Japan"/>
    <n v="2"/>
    <n v="202.18"/>
    <x v="104"/>
    <s v="UPI"/>
  </r>
  <r>
    <d v="2022-02-12T00:00:00"/>
    <s v="Yeezy Boost 350"/>
    <s v="Sneakers"/>
    <x v="1"/>
    <s v="Men"/>
    <s v="Casual"/>
    <s v="UK"/>
    <n v="3"/>
    <n v="90.19"/>
    <x v="105"/>
    <s v="Cash on Delivery"/>
  </r>
  <r>
    <d v="2022-03-01T00:00:00"/>
    <s v="Nike Tech Fleece"/>
    <s v="Hoodie"/>
    <x v="4"/>
    <s v="Unisex"/>
    <s v="Streetwear"/>
    <s v="USA"/>
    <n v="2"/>
    <n v="179.28"/>
    <x v="106"/>
    <s v="Cash on Delivery"/>
  </r>
  <r>
    <d v="2022-03-23T00:00:00"/>
    <s v="Nike Tech Fleece"/>
    <s v="Hoodie"/>
    <x v="4"/>
    <s v="Men"/>
    <s v="Sportswear"/>
    <s v="USA"/>
    <n v="5"/>
    <n v="188.61"/>
    <x v="107"/>
    <s v="Wallet"/>
  </r>
  <r>
    <d v="2022-08-30T00:00:00"/>
    <s v="Fear of God Essentials Tee"/>
    <s v="T-shirt"/>
    <x v="0"/>
    <s v="Men"/>
    <s v="Sportswear"/>
    <s v="UK"/>
    <n v="2"/>
    <n v="111.36"/>
    <x v="108"/>
    <s v="Card"/>
  </r>
  <r>
    <d v="2022-02-18T00:00:00"/>
    <s v="New Era Cap"/>
    <s v="Cap"/>
    <x v="3"/>
    <s v="Women"/>
    <s v="Sportswear"/>
    <s v="UK"/>
    <n v="3"/>
    <n v="53.98"/>
    <x v="109"/>
    <s v="Cash on Delivery"/>
  </r>
  <r>
    <d v="2022-05-28T00:00:00"/>
    <s v="Off-White Hoodie"/>
    <s v="Hoodie"/>
    <x v="2"/>
    <s v="Unisex"/>
    <s v="Streetwear"/>
    <s v="Canada"/>
    <n v="4"/>
    <n v="240.64"/>
    <x v="110"/>
    <s v="Cash on Delivery"/>
  </r>
  <r>
    <d v="2022-02-28T00:00:00"/>
    <s v="Off-White Hoodie"/>
    <s v="Hoodie"/>
    <x v="2"/>
    <s v="Women"/>
    <s v="Casual"/>
    <s v="USA"/>
    <n v="5"/>
    <n v="195.57"/>
    <x v="111"/>
    <s v="Cash on Delivery"/>
  </r>
  <r>
    <d v="2022-03-09T00:00:00"/>
    <s v="Nike Tech Fleece"/>
    <s v="Hoodie"/>
    <x v="4"/>
    <s v="Unisex"/>
    <s v="Streetwear"/>
    <s v="Canada"/>
    <n v="3"/>
    <n v="224.66"/>
    <x v="112"/>
    <s v="Cash on Delivery"/>
  </r>
  <r>
    <d v="2022-04-28T00:00:00"/>
    <s v="Puma Joggers"/>
    <s v="Joggers"/>
    <x v="6"/>
    <s v="Women"/>
    <s v="Sportswear"/>
    <s v="Canada"/>
    <n v="3"/>
    <n v="65.2"/>
    <x v="113"/>
    <s v="Wallet"/>
  </r>
  <r>
    <d v="2022-07-13T00:00:00"/>
    <s v="Adidas Ultraboost"/>
    <s v="Sneakers"/>
    <x v="1"/>
    <s v="Women"/>
    <s v="Limited Edition"/>
    <s v="Canada"/>
    <n v="4"/>
    <n v="117.78"/>
    <x v="114"/>
    <s v="UPI"/>
  </r>
  <r>
    <d v="2022-02-09T00:00:00"/>
    <s v="Jordan 1 High"/>
    <s v="Sneakers"/>
    <x v="4"/>
    <s v="Women"/>
    <s v="Streetwear"/>
    <s v="India"/>
    <n v="4"/>
    <n v="214.93"/>
    <x v="115"/>
    <s v="Card"/>
  </r>
  <r>
    <d v="2022-08-16T00:00:00"/>
    <s v="Puma Joggers"/>
    <s v="Joggers"/>
    <x v="6"/>
    <s v="Unisex"/>
    <s v="Limited Edition"/>
    <s v="Japan"/>
    <n v="2"/>
    <n v="249.49"/>
    <x v="116"/>
    <s v="Cash on Delivery"/>
  </r>
  <r>
    <d v="2022-06-13T00:00:00"/>
    <s v="Yeezy Boost 350"/>
    <s v="Sneakers"/>
    <x v="1"/>
    <s v="Men"/>
    <s v="Casual"/>
    <s v="India"/>
    <n v="4"/>
    <n v="141.35"/>
    <x v="117"/>
    <s v="UPI"/>
  </r>
  <r>
    <d v="2022-03-03T00:00:00"/>
    <s v="Puma Joggers"/>
    <s v="Joggers"/>
    <x v="6"/>
    <s v="Unisex"/>
    <s v="Limited Edition"/>
    <s v="Japan"/>
    <n v="3"/>
    <n v="264.14"/>
    <x v="118"/>
    <s v="Card"/>
  </r>
  <r>
    <d v="2022-01-03T00:00:00"/>
    <s v="Fear of God Essentials Tee"/>
    <s v="T-shirt"/>
    <x v="0"/>
    <s v="Unisex"/>
    <s v="Casual"/>
    <s v="UK"/>
    <n v="5"/>
    <n v="73.58"/>
    <x v="119"/>
    <s v="UPI"/>
  </r>
  <r>
    <d v="2022-07-26T00:00:00"/>
    <s v="Fear of God Essentials Tee"/>
    <s v="T-shirt"/>
    <x v="0"/>
    <s v="Unisex"/>
    <s v="Streetwear"/>
    <s v="USA"/>
    <n v="1"/>
    <n v="106.59"/>
    <x v="120"/>
    <s v="Card"/>
  </r>
  <r>
    <d v="2022-02-12T00:00:00"/>
    <s v="Nike Tech Fleece"/>
    <s v="Hoodie"/>
    <x v="4"/>
    <s v="Men"/>
    <s v="Streetwear"/>
    <s v="Canada"/>
    <n v="3"/>
    <n v="59.98"/>
    <x v="121"/>
    <s v="UPI"/>
  </r>
  <r>
    <d v="2022-03-02T00:00:00"/>
    <s v="Puma Joggers"/>
    <s v="Joggers"/>
    <x v="6"/>
    <s v="Women"/>
    <s v="Casual"/>
    <s v="Japan"/>
    <n v="3"/>
    <n v="87.81"/>
    <x v="122"/>
    <s v="Card"/>
  </r>
  <r>
    <d v="2022-04-06T00:00:00"/>
    <s v="Nike Tech Fleece"/>
    <s v="Hoodie"/>
    <x v="4"/>
    <s v="Men"/>
    <s v="Sportswear"/>
    <s v="Japan"/>
    <n v="2"/>
    <n v="283.60000000000002"/>
    <x v="123"/>
    <s v="UPI"/>
  </r>
  <r>
    <d v="2022-08-11T00:00:00"/>
    <s v="Puma Joggers"/>
    <s v="Joggers"/>
    <x v="6"/>
    <s v="Men"/>
    <s v="Limited Edition"/>
    <s v="Japan"/>
    <n v="2"/>
    <n v="194.31"/>
    <x v="124"/>
    <s v="UPI"/>
  </r>
  <r>
    <d v="2022-06-23T00:00:00"/>
    <s v="Supreme Hoodie"/>
    <s v="Hoodie"/>
    <x v="5"/>
    <s v="Unisex"/>
    <s v="Limited Edition"/>
    <s v="Japan"/>
    <n v="4"/>
    <n v="199.68"/>
    <x v="125"/>
    <s v="Wallet"/>
  </r>
  <r>
    <d v="2022-04-08T00:00:00"/>
    <s v="Fear of God Essentials Tee"/>
    <s v="T-shirt"/>
    <x v="0"/>
    <s v="Women"/>
    <s v="Sportswear"/>
    <s v="Japan"/>
    <n v="5"/>
    <n v="145.47"/>
    <x v="126"/>
    <s v="Card"/>
  </r>
  <r>
    <d v="2022-01-31T00:00:00"/>
    <s v="Supreme Hoodie"/>
    <s v="Hoodie"/>
    <x v="5"/>
    <s v="Women"/>
    <s v="Limited Edition"/>
    <s v="Australia"/>
    <n v="1"/>
    <n v="141.11000000000001"/>
    <x v="127"/>
    <s v="UPI"/>
  </r>
  <r>
    <d v="2022-04-16T00:00:00"/>
    <s v="Jordan 1 High"/>
    <s v="Sneakers"/>
    <x v="4"/>
    <s v="Women"/>
    <s v="Casual"/>
    <s v="UK"/>
    <n v="2"/>
    <n v="188.4"/>
    <x v="128"/>
    <s v="Card"/>
  </r>
  <r>
    <d v="2022-03-30T00:00:00"/>
    <s v="Supreme Hoodie"/>
    <s v="Hoodie"/>
    <x v="5"/>
    <s v="Men"/>
    <s v="Limited Edition"/>
    <s v="Germany"/>
    <n v="4"/>
    <n v="145.28"/>
    <x v="129"/>
    <s v="Card"/>
  </r>
  <r>
    <d v="2022-07-15T00:00:00"/>
    <s v="Adidas Ultraboost"/>
    <s v="Sneakers"/>
    <x v="1"/>
    <s v="Men"/>
    <s v="Streetwear"/>
    <s v="Australia"/>
    <n v="2"/>
    <n v="277.48"/>
    <x v="130"/>
    <s v="Card"/>
  </r>
  <r>
    <d v="2022-08-16T00:00:00"/>
    <s v="Nike Tech Fleece"/>
    <s v="Hoodie"/>
    <x v="4"/>
    <s v="Women"/>
    <s v="Limited Edition"/>
    <s v="Japan"/>
    <n v="4"/>
    <n v="153.56"/>
    <x v="131"/>
    <s v="Wallet"/>
  </r>
  <r>
    <d v="2022-03-15T00:00:00"/>
    <s v="Fear of God Essentials Tee"/>
    <s v="T-shirt"/>
    <x v="0"/>
    <s v="Men"/>
    <s v="Casual"/>
    <s v="Japan"/>
    <n v="2"/>
    <n v="74.83"/>
    <x v="132"/>
    <s v="Card"/>
  </r>
  <r>
    <d v="2022-07-06T00:00:00"/>
    <s v="Supreme Hoodie"/>
    <s v="Hoodie"/>
    <x v="5"/>
    <s v="Women"/>
    <s v="Limited Edition"/>
    <s v="Germany"/>
    <n v="1"/>
    <n v="136.80000000000001"/>
    <x v="133"/>
    <s v="UPI"/>
  </r>
  <r>
    <d v="2022-06-26T00:00:00"/>
    <s v="Yeezy Boost 350"/>
    <s v="Sneakers"/>
    <x v="1"/>
    <s v="Unisex"/>
    <s v="Casual"/>
    <s v="USA"/>
    <n v="3"/>
    <n v="209.69"/>
    <x v="134"/>
    <s v="Wallet"/>
  </r>
  <r>
    <d v="2022-03-18T00:00:00"/>
    <s v="Supreme Hoodie"/>
    <s v="Hoodie"/>
    <x v="5"/>
    <s v="Men"/>
    <s v="Casual"/>
    <s v="India"/>
    <n v="3"/>
    <n v="200.87"/>
    <x v="135"/>
    <s v="Cash on Delivery"/>
  </r>
  <r>
    <d v="2022-02-04T00:00:00"/>
    <s v="Puma Joggers"/>
    <s v="Joggers"/>
    <x v="6"/>
    <s v="Men"/>
    <s v="Streetwear"/>
    <s v="Japan"/>
    <n v="1"/>
    <n v="221.26"/>
    <x v="136"/>
    <s v="Card"/>
  </r>
  <r>
    <d v="2022-01-03T00:00:00"/>
    <s v="Nike Dunk Low"/>
    <s v="Sneakers"/>
    <x v="4"/>
    <s v="Women"/>
    <s v="Streetwear"/>
    <s v="USA"/>
    <n v="5"/>
    <n v="176.98"/>
    <x v="137"/>
    <s v="Card"/>
  </r>
  <r>
    <d v="2022-08-06T00:00:00"/>
    <s v="New Era Cap"/>
    <s v="Cap"/>
    <x v="3"/>
    <s v="Men"/>
    <s v="Casual"/>
    <s v="UK"/>
    <n v="5"/>
    <n v="77.08"/>
    <x v="138"/>
    <s v="Wallet"/>
  </r>
  <r>
    <d v="2022-03-06T00:00:00"/>
    <s v="Jordan 1 High"/>
    <s v="Sneakers"/>
    <x v="4"/>
    <s v="Men"/>
    <s v="Casual"/>
    <s v="Canada"/>
    <n v="4"/>
    <n v="239.54"/>
    <x v="139"/>
    <s v="Wallet"/>
  </r>
  <r>
    <d v="2022-03-19T00:00:00"/>
    <s v="Supreme Hoodie"/>
    <s v="Hoodie"/>
    <x v="5"/>
    <s v="Men"/>
    <s v="Streetwear"/>
    <s v="India"/>
    <n v="5"/>
    <n v="179.54"/>
    <x v="140"/>
    <s v="UPI"/>
  </r>
  <r>
    <d v="2022-04-05T00:00:00"/>
    <s v="Off-White Hoodie"/>
    <s v="Hoodie"/>
    <x v="2"/>
    <s v="Women"/>
    <s v="Streetwear"/>
    <s v="Canada"/>
    <n v="3"/>
    <n v="274.23"/>
    <x v="141"/>
    <s v="Cash on Delivery"/>
  </r>
  <r>
    <d v="2022-03-11T00:00:00"/>
    <s v="Nike Tech Fleece"/>
    <s v="Hoodie"/>
    <x v="4"/>
    <s v="Women"/>
    <s v="Limited Edition"/>
    <s v="India"/>
    <n v="5"/>
    <n v="99.89"/>
    <x v="142"/>
    <s v="Cash on Delivery"/>
  </r>
  <r>
    <d v="2022-04-03T00:00:00"/>
    <s v="Yeezy Boost 350"/>
    <s v="Sneakers"/>
    <x v="1"/>
    <s v="Women"/>
    <s v="Sportswear"/>
    <s v="UK"/>
    <n v="4"/>
    <n v="148.11000000000001"/>
    <x v="143"/>
    <s v="Cash on Delivery"/>
  </r>
  <r>
    <d v="2022-06-30T00:00:00"/>
    <s v="Jordan 1 High"/>
    <s v="Sneakers"/>
    <x v="4"/>
    <s v="Unisex"/>
    <s v="Sportswear"/>
    <s v="India"/>
    <n v="5"/>
    <n v="81.97"/>
    <x v="144"/>
    <s v="Cash on Delivery"/>
  </r>
  <r>
    <d v="2022-01-09T00:00:00"/>
    <s v="Yeezy Boost 350"/>
    <s v="Sneakers"/>
    <x v="1"/>
    <s v="Women"/>
    <s v="Limited Edition"/>
    <s v="India"/>
    <n v="3"/>
    <n v="291.29000000000002"/>
    <x v="145"/>
    <s v="Wallet"/>
  </r>
  <r>
    <d v="2022-05-02T00:00:00"/>
    <s v="Adidas Ultraboost"/>
    <s v="Sneakers"/>
    <x v="1"/>
    <s v="Men"/>
    <s v="Streetwear"/>
    <s v="Canada"/>
    <n v="5"/>
    <n v="138.94999999999999"/>
    <x v="146"/>
    <s v="UPI"/>
  </r>
  <r>
    <d v="2022-01-27T00:00:00"/>
    <s v="Adidas Ultraboost"/>
    <s v="Sneakers"/>
    <x v="1"/>
    <s v="Men"/>
    <s v="Streetwear"/>
    <s v="Japan"/>
    <n v="4"/>
    <n v="208.19"/>
    <x v="147"/>
    <s v="Wallet"/>
  </r>
  <r>
    <d v="2022-07-27T00:00:00"/>
    <s v="Jordan 1 High"/>
    <s v="Sneakers"/>
    <x v="4"/>
    <s v="Men"/>
    <s v="Limited Edition"/>
    <s v="India"/>
    <n v="5"/>
    <n v="291.7"/>
    <x v="148"/>
    <s v="Wallet"/>
  </r>
  <r>
    <d v="2022-06-10T00:00:00"/>
    <s v="Fear of God Essentials Tee"/>
    <s v="T-shirt"/>
    <x v="0"/>
    <s v="Women"/>
    <s v="Sportswear"/>
    <s v="Australia"/>
    <n v="3"/>
    <n v="209.89"/>
    <x v="149"/>
    <s v="UPI"/>
  </r>
  <r>
    <d v="2022-05-04T00:00:00"/>
    <s v="Jordan 1 High"/>
    <s v="Sneakers"/>
    <x v="4"/>
    <s v="Unisex"/>
    <s v="Casual"/>
    <s v="Japan"/>
    <n v="4"/>
    <n v="171.49"/>
    <x v="150"/>
    <s v="Cash on Delivery"/>
  </r>
  <r>
    <d v="2022-01-17T00:00:00"/>
    <s v="Nike Tech Fleece"/>
    <s v="Hoodie"/>
    <x v="4"/>
    <s v="Men"/>
    <s v="Casual"/>
    <s v="Germany"/>
    <n v="3"/>
    <n v="156.22"/>
    <x v="151"/>
    <s v="Wallet"/>
  </r>
  <r>
    <d v="2022-06-07T00:00:00"/>
    <s v="Yeezy Boost 350"/>
    <s v="Sneakers"/>
    <x v="1"/>
    <s v="Men"/>
    <s v="Streetwear"/>
    <s v="Japan"/>
    <n v="4"/>
    <n v="158.82"/>
    <x v="152"/>
    <s v="UPI"/>
  </r>
  <r>
    <d v="2022-07-12T00:00:00"/>
    <s v="Off-White Hoodie"/>
    <s v="Hoodie"/>
    <x v="2"/>
    <s v="Men"/>
    <s v="Sportswear"/>
    <s v="UK"/>
    <n v="3"/>
    <n v="218.91"/>
    <x v="153"/>
    <s v="Wallet"/>
  </r>
  <r>
    <d v="2022-07-27T00:00:00"/>
    <s v="Supreme Hoodie"/>
    <s v="Hoodie"/>
    <x v="5"/>
    <s v="Women"/>
    <s v="Limited Edition"/>
    <s v="Australia"/>
    <n v="5"/>
    <n v="54.88"/>
    <x v="154"/>
    <s v="Wallet"/>
  </r>
  <r>
    <d v="2022-05-08T00:00:00"/>
    <s v="New Era Cap"/>
    <s v="Cap"/>
    <x v="3"/>
    <s v="Women"/>
    <s v="Sportswear"/>
    <s v="Canada"/>
    <n v="1"/>
    <n v="75.27"/>
    <x v="155"/>
    <s v="Card"/>
  </r>
  <r>
    <d v="2022-06-12T00:00:00"/>
    <s v="Puma Joggers"/>
    <s v="Joggers"/>
    <x v="6"/>
    <s v="Men"/>
    <s v="Limited Edition"/>
    <s v="India"/>
    <n v="1"/>
    <n v="144.04"/>
    <x v="156"/>
    <s v="Cash on Delivery"/>
  </r>
  <r>
    <d v="2022-07-26T00:00:00"/>
    <s v="Jordan 1 High"/>
    <s v="Sneakers"/>
    <x v="4"/>
    <s v="Men"/>
    <s v="Streetwear"/>
    <s v="Germany"/>
    <n v="4"/>
    <n v="196.45"/>
    <x v="157"/>
    <s v="UPI"/>
  </r>
  <r>
    <d v="2022-01-17T00:00:00"/>
    <s v="Nike Dunk Low"/>
    <s v="Sneakers"/>
    <x v="4"/>
    <s v="Men"/>
    <s v="Limited Edition"/>
    <s v="USA"/>
    <n v="3"/>
    <n v="213.66"/>
    <x v="158"/>
    <s v="Card"/>
  </r>
  <r>
    <d v="2022-08-16T00:00:00"/>
    <s v="Yeezy Boost 350"/>
    <s v="Sneakers"/>
    <x v="1"/>
    <s v="Men"/>
    <s v="Streetwear"/>
    <s v="UK"/>
    <n v="1"/>
    <n v="164.57"/>
    <x v="159"/>
    <s v="Cash on Delivery"/>
  </r>
  <r>
    <d v="2022-04-13T00:00:00"/>
    <s v="Jordan 1 High"/>
    <s v="Sneakers"/>
    <x v="4"/>
    <s v="Men"/>
    <s v="Casual"/>
    <s v="Canada"/>
    <n v="4"/>
    <n v="203.25"/>
    <x v="160"/>
    <s v="Wallet"/>
  </r>
  <r>
    <d v="2022-05-13T00:00:00"/>
    <s v="Off-White Hoodie"/>
    <s v="Hoodie"/>
    <x v="2"/>
    <s v="Women"/>
    <s v="Sportswear"/>
    <s v="UK"/>
    <n v="5"/>
    <n v="91.11"/>
    <x v="161"/>
    <s v="Cash on Delivery"/>
  </r>
  <r>
    <d v="2022-02-17T00:00:00"/>
    <s v="Off-White Hoodie"/>
    <s v="Hoodie"/>
    <x v="2"/>
    <s v="Unisex"/>
    <s v="Streetwear"/>
    <s v="USA"/>
    <n v="3"/>
    <n v="57.92"/>
    <x v="162"/>
    <s v="Cash on Delivery"/>
  </r>
  <r>
    <d v="2022-07-31T00:00:00"/>
    <s v="Jordan 1 High"/>
    <s v="Sneakers"/>
    <x v="4"/>
    <s v="Women"/>
    <s v="Limited Edition"/>
    <s v="Japan"/>
    <n v="3"/>
    <n v="209.3"/>
    <x v="163"/>
    <s v="Wallet"/>
  </r>
  <r>
    <d v="2022-08-25T00:00:00"/>
    <s v="Adidas Ultraboost"/>
    <s v="Sneakers"/>
    <x v="1"/>
    <s v="Unisex"/>
    <s v="Casual"/>
    <s v="Germany"/>
    <n v="1"/>
    <n v="112.26"/>
    <x v="164"/>
    <s v="UPI"/>
  </r>
  <r>
    <d v="2022-08-30T00:00:00"/>
    <s v="Nike Dunk Low"/>
    <s v="Sneakers"/>
    <x v="4"/>
    <s v="Women"/>
    <s v="Limited Edition"/>
    <s v="Canada"/>
    <n v="2"/>
    <n v="216.83"/>
    <x v="165"/>
    <s v="UPI"/>
  </r>
  <r>
    <d v="2022-07-21T00:00:00"/>
    <s v="Puma Joggers"/>
    <s v="Joggers"/>
    <x v="6"/>
    <s v="Unisex"/>
    <s v="Limited Edition"/>
    <s v="Canada"/>
    <n v="5"/>
    <n v="68.52"/>
    <x v="166"/>
    <s v="UPI"/>
  </r>
  <r>
    <d v="2022-08-02T00:00:00"/>
    <s v="Supreme Hoodie"/>
    <s v="Hoodie"/>
    <x v="5"/>
    <s v="Men"/>
    <s v="Casual"/>
    <s v="Canada"/>
    <n v="1"/>
    <n v="98.04"/>
    <x v="167"/>
    <s v="Cash on Delivery"/>
  </r>
  <r>
    <d v="2022-06-30T00:00:00"/>
    <s v="Fear of God Essentials Tee"/>
    <s v="T-shirt"/>
    <x v="0"/>
    <s v="Men"/>
    <s v="Casual"/>
    <s v="India"/>
    <n v="5"/>
    <n v="204.35"/>
    <x v="168"/>
    <s v="Wallet"/>
  </r>
  <r>
    <d v="2022-04-10T00:00:00"/>
    <s v="Nike Dunk Low"/>
    <s v="Sneakers"/>
    <x v="4"/>
    <s v="Women"/>
    <s v="Streetwear"/>
    <s v="Germany"/>
    <n v="4"/>
    <n v="283.7"/>
    <x v="169"/>
    <s v="Card"/>
  </r>
  <r>
    <d v="2022-07-03T00:00:00"/>
    <s v="Off-White Hoodie"/>
    <s v="Hoodie"/>
    <x v="2"/>
    <s v="Women"/>
    <s v="Limited Edition"/>
    <s v="India"/>
    <n v="4"/>
    <n v="172.52"/>
    <x v="170"/>
    <s v="UPI"/>
  </r>
  <r>
    <d v="2022-02-26T00:00:00"/>
    <s v="Jordan 1 High"/>
    <s v="Sneakers"/>
    <x v="4"/>
    <s v="Men"/>
    <s v="Limited Edition"/>
    <s v="USA"/>
    <n v="3"/>
    <n v="51.81"/>
    <x v="171"/>
    <s v="Wallet"/>
  </r>
  <r>
    <d v="2022-04-29T00:00:00"/>
    <s v="Nike Tech Fleece"/>
    <s v="Hoodie"/>
    <x v="4"/>
    <s v="Men"/>
    <s v="Sportswear"/>
    <s v="Japan"/>
    <n v="5"/>
    <n v="71.28"/>
    <x v="172"/>
    <s v="Cash on Delivery"/>
  </r>
  <r>
    <d v="2022-02-24T00:00:00"/>
    <s v="Yeezy Boost 350"/>
    <s v="Sneakers"/>
    <x v="1"/>
    <s v="Unisex"/>
    <s v="Sportswear"/>
    <s v="Canada"/>
    <n v="2"/>
    <n v="248.44"/>
    <x v="173"/>
    <s v="Cash on Delivery"/>
  </r>
  <r>
    <d v="2022-07-03T00:00:00"/>
    <s v="Yeezy Boost 350"/>
    <s v="Sneakers"/>
    <x v="1"/>
    <s v="Women"/>
    <s v="Sportswear"/>
    <s v="India"/>
    <n v="2"/>
    <n v="107.04"/>
    <x v="174"/>
    <s v="Card"/>
  </r>
  <r>
    <d v="2022-08-30T00:00:00"/>
    <s v="Puma Joggers"/>
    <s v="Joggers"/>
    <x v="6"/>
    <s v="Women"/>
    <s v="Sportswear"/>
    <s v="Australia"/>
    <n v="1"/>
    <n v="132.07"/>
    <x v="175"/>
    <s v="Wallet"/>
  </r>
  <r>
    <d v="2022-07-09T00:00:00"/>
    <s v="Nike Dunk Low"/>
    <s v="Sneakers"/>
    <x v="4"/>
    <s v="Men"/>
    <s v="Casual"/>
    <s v="Japan"/>
    <n v="3"/>
    <n v="118.37"/>
    <x v="176"/>
    <s v="Card"/>
  </r>
  <r>
    <d v="2022-04-18T00:00:00"/>
    <s v="Nike Tech Fleece"/>
    <s v="Hoodie"/>
    <x v="4"/>
    <s v="Women"/>
    <s v="Streetwear"/>
    <s v="Germany"/>
    <n v="5"/>
    <n v="243.74"/>
    <x v="177"/>
    <s v="Wallet"/>
  </r>
  <r>
    <d v="2022-01-16T00:00:00"/>
    <s v="Nike Dunk Low"/>
    <s v="Sneakers"/>
    <x v="4"/>
    <s v="Unisex"/>
    <s v="Limited Edition"/>
    <s v="Japan"/>
    <n v="5"/>
    <n v="150.02000000000001"/>
    <x v="178"/>
    <s v="Cash on Delivery"/>
  </r>
  <r>
    <d v="2022-04-02T00:00:00"/>
    <s v="Nike Tech Fleece"/>
    <s v="Hoodie"/>
    <x v="4"/>
    <s v="Women"/>
    <s v="Streetwear"/>
    <s v="Australia"/>
    <n v="3"/>
    <n v="73.31"/>
    <x v="179"/>
    <s v="Wallet"/>
  </r>
  <r>
    <d v="2022-08-25T00:00:00"/>
    <s v="Puma Joggers"/>
    <s v="Joggers"/>
    <x v="6"/>
    <s v="Men"/>
    <s v="Casual"/>
    <s v="Australia"/>
    <n v="2"/>
    <n v="176.24"/>
    <x v="180"/>
    <s v="Cash on Delivery"/>
  </r>
  <r>
    <d v="2022-05-27T00:00:00"/>
    <s v="Adidas Ultraboost"/>
    <s v="Sneakers"/>
    <x v="1"/>
    <s v="Women"/>
    <s v="Sportswear"/>
    <s v="UK"/>
    <n v="5"/>
    <n v="135.5"/>
    <x v="181"/>
    <s v="UPI"/>
  </r>
  <r>
    <d v="2022-08-18T00:00:00"/>
    <s v="Fear of God Essentials Tee"/>
    <s v="T-shirt"/>
    <x v="0"/>
    <s v="Men"/>
    <s v="Sportswear"/>
    <s v="Canada"/>
    <n v="4"/>
    <n v="250.12"/>
    <x v="182"/>
    <s v="Card"/>
  </r>
  <r>
    <d v="2022-07-03T00:00:00"/>
    <s v="Yeezy Boost 350"/>
    <s v="Sneakers"/>
    <x v="1"/>
    <s v="Women"/>
    <s v="Casual"/>
    <s v="Australia"/>
    <n v="4"/>
    <n v="145.88999999999999"/>
    <x v="183"/>
    <s v="Card"/>
  </r>
  <r>
    <d v="2022-05-07T00:00:00"/>
    <s v="Nike Tech Fleece"/>
    <s v="Hoodie"/>
    <x v="4"/>
    <s v="Unisex"/>
    <s v="Casual"/>
    <s v="USA"/>
    <n v="4"/>
    <n v="281.54000000000002"/>
    <x v="184"/>
    <s v="Wallet"/>
  </r>
  <r>
    <d v="2022-06-25T00:00:00"/>
    <s v="Jordan 1 High"/>
    <s v="Sneakers"/>
    <x v="4"/>
    <s v="Unisex"/>
    <s v="Casual"/>
    <s v="Australia"/>
    <n v="4"/>
    <n v="121.42"/>
    <x v="185"/>
    <s v="Card"/>
  </r>
  <r>
    <d v="2022-06-03T00:00:00"/>
    <s v="Jordan 1 High"/>
    <s v="Sneakers"/>
    <x v="4"/>
    <s v="Women"/>
    <s v="Streetwear"/>
    <s v="India"/>
    <n v="4"/>
    <n v="265.91000000000003"/>
    <x v="186"/>
    <s v="UPI"/>
  </r>
  <r>
    <d v="2022-01-25T00:00:00"/>
    <s v="Fear of God Essentials Tee"/>
    <s v="T-shirt"/>
    <x v="0"/>
    <s v="Women"/>
    <s v="Limited Edition"/>
    <s v="Germany"/>
    <n v="1"/>
    <n v="240.42"/>
    <x v="187"/>
    <s v="Card"/>
  </r>
  <r>
    <d v="2022-01-08T00:00:00"/>
    <s v="Adidas Ultraboost"/>
    <s v="Sneakers"/>
    <x v="1"/>
    <s v="Women"/>
    <s v="Sportswear"/>
    <s v="USA"/>
    <n v="5"/>
    <n v="275.27"/>
    <x v="188"/>
    <s v="Card"/>
  </r>
  <r>
    <d v="2022-08-09T00:00:00"/>
    <s v="Supreme Hoodie"/>
    <s v="Hoodie"/>
    <x v="5"/>
    <s v="Women"/>
    <s v="Streetwear"/>
    <s v="India"/>
    <n v="3"/>
    <n v="154.79"/>
    <x v="189"/>
    <s v="Card"/>
  </r>
  <r>
    <d v="2022-08-13T00:00:00"/>
    <s v="Supreme Hoodie"/>
    <s v="Hoodie"/>
    <x v="5"/>
    <s v="Unisex"/>
    <s v="Sportswear"/>
    <s v="India"/>
    <n v="5"/>
    <n v="139"/>
    <x v="190"/>
    <s v="UPI"/>
  </r>
  <r>
    <d v="2022-06-21T00:00:00"/>
    <s v="Nike Tech Fleece"/>
    <s v="Hoodie"/>
    <x v="4"/>
    <s v="Unisex"/>
    <s v="Streetwear"/>
    <s v="Australia"/>
    <n v="3"/>
    <n v="79.27"/>
    <x v="191"/>
    <s v="Card"/>
  </r>
  <r>
    <d v="2022-08-23T00:00:00"/>
    <s v="Off-White Hoodie"/>
    <s v="Hoodie"/>
    <x v="2"/>
    <s v="Men"/>
    <s v="Casual"/>
    <s v="Canada"/>
    <n v="2"/>
    <n v="237.1"/>
    <x v="192"/>
    <s v="Cash on Delivery"/>
  </r>
  <r>
    <d v="2022-01-29T00:00:00"/>
    <s v="Off-White Hoodie"/>
    <s v="Hoodie"/>
    <x v="2"/>
    <s v="Men"/>
    <s v="Casual"/>
    <s v="UK"/>
    <n v="4"/>
    <n v="228.46"/>
    <x v="193"/>
    <s v="Cash on Delivery"/>
  </r>
  <r>
    <d v="2022-06-12T00:00:00"/>
    <s v="Supreme Hoodie"/>
    <s v="Hoodie"/>
    <x v="5"/>
    <s v="Men"/>
    <s v="Sportswear"/>
    <s v="Canada"/>
    <n v="4"/>
    <n v="52.42"/>
    <x v="194"/>
    <s v="Wallet"/>
  </r>
  <r>
    <d v="2022-08-26T00:00:00"/>
    <s v="Nike Dunk Low"/>
    <s v="Sneakers"/>
    <x v="4"/>
    <s v="Men"/>
    <s v="Limited Edition"/>
    <s v="Japan"/>
    <n v="3"/>
    <n v="270.52"/>
    <x v="195"/>
    <s v="UPI"/>
  </r>
  <r>
    <d v="2022-01-08T00:00:00"/>
    <s v="Jordan 1 High"/>
    <s v="Sneakers"/>
    <x v="4"/>
    <s v="Unisex"/>
    <s v="Limited Edition"/>
    <s v="UK"/>
    <n v="4"/>
    <n v="119.36"/>
    <x v="196"/>
    <s v="Cash on Delivery"/>
  </r>
  <r>
    <d v="2022-01-23T00:00:00"/>
    <s v="New Era Cap"/>
    <s v="Cap"/>
    <x v="3"/>
    <s v="Women"/>
    <s v="Limited Edition"/>
    <s v="UK"/>
    <n v="3"/>
    <n v="125.26"/>
    <x v="197"/>
    <s v="Wallet"/>
  </r>
  <r>
    <d v="2022-06-02T00:00:00"/>
    <s v="Off-White Hoodie"/>
    <s v="Hoodie"/>
    <x v="2"/>
    <s v="Women"/>
    <s v="Casual"/>
    <s v="Canada"/>
    <n v="3"/>
    <n v="296.55"/>
    <x v="198"/>
    <s v="Card"/>
  </r>
  <r>
    <d v="2022-06-13T00:00:00"/>
    <s v="Puma Joggers"/>
    <s v="Joggers"/>
    <x v="6"/>
    <s v="Women"/>
    <s v="Casual"/>
    <s v="UK"/>
    <n v="1"/>
    <n v="56.73"/>
    <x v="199"/>
    <s v="Wallet"/>
  </r>
  <r>
    <d v="2022-01-18T00:00:00"/>
    <s v="Supreme Hoodie"/>
    <s v="Hoodie"/>
    <x v="5"/>
    <s v="Unisex"/>
    <s v="Casual"/>
    <s v="UK"/>
    <n v="1"/>
    <n v="91.56"/>
    <x v="200"/>
    <s v="UPI"/>
  </r>
  <r>
    <d v="2022-04-11T00:00:00"/>
    <s v="New Era Cap"/>
    <s v="Cap"/>
    <x v="3"/>
    <s v="Women"/>
    <s v="Streetwear"/>
    <s v="USA"/>
    <n v="2"/>
    <n v="152.54"/>
    <x v="201"/>
    <s v="Card"/>
  </r>
  <r>
    <d v="2022-07-04T00:00:00"/>
    <s v="New Era Cap"/>
    <s v="Cap"/>
    <x v="3"/>
    <s v="Women"/>
    <s v="Casual"/>
    <s v="Australia"/>
    <n v="4"/>
    <n v="61.37"/>
    <x v="202"/>
    <s v="Cash on Delivery"/>
  </r>
  <r>
    <d v="2022-03-07T00:00:00"/>
    <s v="Off-White Hoodie"/>
    <s v="Hoodie"/>
    <x v="2"/>
    <s v="Men"/>
    <s v="Streetwear"/>
    <s v="Japan"/>
    <n v="3"/>
    <n v="162.36000000000001"/>
    <x v="203"/>
    <s v="Wallet"/>
  </r>
  <r>
    <d v="2022-06-29T00:00:00"/>
    <s v="Supreme Hoodie"/>
    <s v="Hoodie"/>
    <x v="5"/>
    <s v="Men"/>
    <s v="Streetwear"/>
    <s v="USA"/>
    <n v="2"/>
    <n v="257.5"/>
    <x v="204"/>
    <s v="UPI"/>
  </r>
  <r>
    <d v="2022-05-21T00:00:00"/>
    <s v="Nike Dunk Low"/>
    <s v="Sneakers"/>
    <x v="4"/>
    <s v="Women"/>
    <s v="Casual"/>
    <s v="Germany"/>
    <n v="4"/>
    <n v="202.28"/>
    <x v="205"/>
    <s v="Card"/>
  </r>
  <r>
    <d v="2022-07-07T00:00:00"/>
    <s v="New Era Cap"/>
    <s v="Cap"/>
    <x v="3"/>
    <s v="Unisex"/>
    <s v="Casual"/>
    <s v="India"/>
    <n v="1"/>
    <n v="224.83"/>
    <x v="206"/>
    <s v="Cash on Delivery"/>
  </r>
  <r>
    <d v="2022-04-02T00:00:00"/>
    <s v="Puma Joggers"/>
    <s v="Joggers"/>
    <x v="6"/>
    <s v="Men"/>
    <s v="Streetwear"/>
    <s v="Canada"/>
    <n v="3"/>
    <n v="256.27"/>
    <x v="207"/>
    <s v="Cash on Delivery"/>
  </r>
  <r>
    <d v="2022-03-26T00:00:00"/>
    <s v="Yeezy Boost 350"/>
    <s v="Sneakers"/>
    <x v="1"/>
    <s v="Women"/>
    <s v="Limited Edition"/>
    <s v="UK"/>
    <n v="2"/>
    <n v="277.26"/>
    <x v="208"/>
    <s v="UPI"/>
  </r>
  <r>
    <d v="2022-07-04T00:00:00"/>
    <s v="Puma Joggers"/>
    <s v="Joggers"/>
    <x v="6"/>
    <s v="Unisex"/>
    <s v="Streetwear"/>
    <s v="Canada"/>
    <n v="3"/>
    <n v="271.19"/>
    <x v="209"/>
    <s v="Cash on Delivery"/>
  </r>
  <r>
    <d v="2022-01-12T00:00:00"/>
    <s v="Off-White Hoodie"/>
    <s v="Hoodie"/>
    <x v="2"/>
    <s v="Men"/>
    <s v="Streetwear"/>
    <s v="Canada"/>
    <n v="3"/>
    <n v="205.62"/>
    <x v="210"/>
    <s v="Wallet"/>
  </r>
  <r>
    <d v="2022-08-01T00:00:00"/>
    <s v="Jordan 1 High"/>
    <s v="Sneakers"/>
    <x v="4"/>
    <s v="Men"/>
    <s v="Streetwear"/>
    <s v="USA"/>
    <n v="4"/>
    <n v="130.97"/>
    <x v="211"/>
    <s v="Card"/>
  </r>
  <r>
    <d v="2022-03-26T00:00:00"/>
    <s v="Fear of God Essentials Tee"/>
    <s v="T-shirt"/>
    <x v="0"/>
    <s v="Men"/>
    <s v="Streetwear"/>
    <s v="Canada"/>
    <n v="5"/>
    <n v="267.70999999999998"/>
    <x v="212"/>
    <s v="Cash on Delivery"/>
  </r>
  <r>
    <d v="2022-01-04T00:00:00"/>
    <s v="Nike Dunk Low"/>
    <s v="Sneakers"/>
    <x v="4"/>
    <s v="Men"/>
    <s v="Sportswear"/>
    <s v="USA"/>
    <n v="4"/>
    <n v="151.37"/>
    <x v="213"/>
    <s v="UPI"/>
  </r>
  <r>
    <d v="2022-03-07T00:00:00"/>
    <s v="Off-White Hoodie"/>
    <s v="Hoodie"/>
    <x v="2"/>
    <s v="Men"/>
    <s v="Sportswear"/>
    <s v="Canada"/>
    <n v="5"/>
    <n v="89.84"/>
    <x v="214"/>
    <s v="Wallet"/>
  </r>
  <r>
    <d v="2022-04-25T00:00:00"/>
    <s v="Puma Joggers"/>
    <s v="Joggers"/>
    <x v="6"/>
    <s v="Men"/>
    <s v="Streetwear"/>
    <s v="Canada"/>
    <n v="1"/>
    <n v="276.64"/>
    <x v="215"/>
    <s v="Card"/>
  </r>
  <r>
    <d v="2022-03-15T00:00:00"/>
    <s v="Puma Joggers"/>
    <s v="Joggers"/>
    <x v="6"/>
    <s v="Unisex"/>
    <s v="Limited Edition"/>
    <s v="India"/>
    <n v="3"/>
    <n v="203.41"/>
    <x v="216"/>
    <s v="Card"/>
  </r>
  <r>
    <d v="2022-08-10T00:00:00"/>
    <s v="Nike Tech Fleece"/>
    <s v="Hoodie"/>
    <x v="4"/>
    <s v="Men"/>
    <s v="Limited Edition"/>
    <s v="UK"/>
    <n v="2"/>
    <n v="195.85"/>
    <x v="217"/>
    <s v="Wallet"/>
  </r>
  <r>
    <d v="2022-08-04T00:00:00"/>
    <s v="Puma Joggers"/>
    <s v="Joggers"/>
    <x v="6"/>
    <s v="Men"/>
    <s v="Sportswear"/>
    <s v="Australia"/>
    <n v="2"/>
    <n v="288.87"/>
    <x v="218"/>
    <s v="UPI"/>
  </r>
  <r>
    <d v="2022-05-11T00:00:00"/>
    <s v="Nike Tech Fleece"/>
    <s v="Hoodie"/>
    <x v="4"/>
    <s v="Men"/>
    <s v="Sportswear"/>
    <s v="Australia"/>
    <n v="1"/>
    <n v="65.45"/>
    <x v="219"/>
    <s v="Cash on Delivery"/>
  </r>
  <r>
    <d v="2022-01-01T00:00:00"/>
    <s v="Yeezy Boost 350"/>
    <s v="Sneakers"/>
    <x v="1"/>
    <s v="Unisex"/>
    <s v="Casual"/>
    <s v="USA"/>
    <n v="1"/>
    <n v="202.42"/>
    <x v="220"/>
    <s v="Wallet"/>
  </r>
  <r>
    <d v="2022-03-05T00:00:00"/>
    <s v="Nike Tech Fleece"/>
    <s v="Hoodie"/>
    <x v="4"/>
    <s v="Men"/>
    <s v="Streetwear"/>
    <s v="Australia"/>
    <n v="2"/>
    <n v="51.11"/>
    <x v="221"/>
    <s v="Cash on Delivery"/>
  </r>
  <r>
    <d v="2022-07-24T00:00:00"/>
    <s v="New Era Cap"/>
    <s v="Cap"/>
    <x v="3"/>
    <s v="Men"/>
    <s v="Limited Edition"/>
    <s v="Japan"/>
    <n v="1"/>
    <n v="292.68"/>
    <x v="222"/>
    <s v="UPI"/>
  </r>
  <r>
    <d v="2022-08-10T00:00:00"/>
    <s v="Puma Joggers"/>
    <s v="Joggers"/>
    <x v="6"/>
    <s v="Women"/>
    <s v="Casual"/>
    <s v="USA"/>
    <n v="2"/>
    <n v="175.51"/>
    <x v="223"/>
    <s v="UPI"/>
  </r>
  <r>
    <d v="2022-03-13T00:00:00"/>
    <s v="Yeezy Boost 350"/>
    <s v="Sneakers"/>
    <x v="1"/>
    <s v="Women"/>
    <s v="Sportswear"/>
    <s v="Germany"/>
    <n v="4"/>
    <n v="211.37"/>
    <x v="224"/>
    <s v="Card"/>
  </r>
  <r>
    <d v="2022-03-23T00:00:00"/>
    <s v="Nike Tech Fleece"/>
    <s v="Hoodie"/>
    <x v="4"/>
    <s v="Unisex"/>
    <s v="Casual"/>
    <s v="Germany"/>
    <n v="1"/>
    <n v="209.78"/>
    <x v="225"/>
    <s v="UPI"/>
  </r>
  <r>
    <d v="2022-05-12T00:00:00"/>
    <s v="Nike Dunk Low"/>
    <s v="Sneakers"/>
    <x v="4"/>
    <s v="Unisex"/>
    <s v="Casual"/>
    <s v="India"/>
    <n v="1"/>
    <n v="59.85"/>
    <x v="226"/>
    <s v="Wallet"/>
  </r>
  <r>
    <d v="2022-07-17T00:00:00"/>
    <s v="Nike Dunk Low"/>
    <s v="Sneakers"/>
    <x v="4"/>
    <s v="Unisex"/>
    <s v="Streetwear"/>
    <s v="Canada"/>
    <n v="3"/>
    <n v="156.27000000000001"/>
    <x v="227"/>
    <s v="UPI"/>
  </r>
  <r>
    <d v="2022-03-08T00:00:00"/>
    <s v="Yeezy Boost 350"/>
    <s v="Sneakers"/>
    <x v="1"/>
    <s v="Unisex"/>
    <s v="Limited Edition"/>
    <s v="Australia"/>
    <n v="2"/>
    <n v="175"/>
    <x v="228"/>
    <s v="Card"/>
  </r>
  <r>
    <d v="2022-08-05T00:00:00"/>
    <s v="Off-White Hoodie"/>
    <s v="Hoodie"/>
    <x v="2"/>
    <s v="Men"/>
    <s v="Casual"/>
    <s v="UK"/>
    <n v="2"/>
    <n v="88"/>
    <x v="229"/>
    <s v="Wallet"/>
  </r>
  <r>
    <d v="2022-07-02T00:00:00"/>
    <s v="Nike Dunk Low"/>
    <s v="Sneakers"/>
    <x v="4"/>
    <s v="Men"/>
    <s v="Casual"/>
    <s v="UK"/>
    <n v="4"/>
    <n v="293.33"/>
    <x v="230"/>
    <s v="Card"/>
  </r>
  <r>
    <d v="2022-07-17T00:00:00"/>
    <s v="Nike Dunk Low"/>
    <s v="Sneakers"/>
    <x v="4"/>
    <s v="Unisex"/>
    <s v="Limited Edition"/>
    <s v="Germany"/>
    <n v="5"/>
    <n v="285.37"/>
    <x v="231"/>
    <s v="UPI"/>
  </r>
  <r>
    <d v="2022-01-15T00:00:00"/>
    <s v="Off-White Hoodie"/>
    <s v="Hoodie"/>
    <x v="2"/>
    <s v="Women"/>
    <s v="Sportswear"/>
    <s v="USA"/>
    <n v="5"/>
    <n v="220.59"/>
    <x v="232"/>
    <s v="Wallet"/>
  </r>
  <r>
    <d v="2022-03-03T00:00:00"/>
    <s v="Nike Dunk Low"/>
    <s v="Sneakers"/>
    <x v="4"/>
    <s v="Men"/>
    <s v="Streetwear"/>
    <s v="Australia"/>
    <n v="5"/>
    <n v="214"/>
    <x v="233"/>
    <s v="Wallet"/>
  </r>
  <r>
    <d v="2022-08-18T00:00:00"/>
    <s v="Yeezy Boost 350"/>
    <s v="Sneakers"/>
    <x v="1"/>
    <s v="Unisex"/>
    <s v="Limited Edition"/>
    <s v="Germany"/>
    <n v="5"/>
    <n v="208.24"/>
    <x v="234"/>
    <s v="Card"/>
  </r>
  <r>
    <d v="2022-06-07T00:00:00"/>
    <s v="Supreme Hoodie"/>
    <s v="Hoodie"/>
    <x v="5"/>
    <s v="Unisex"/>
    <s v="Casual"/>
    <s v="Germany"/>
    <n v="4"/>
    <n v="133.69999999999999"/>
    <x v="235"/>
    <s v="UPI"/>
  </r>
  <r>
    <d v="2022-08-24T00:00:00"/>
    <s v="Fear of God Essentials Tee"/>
    <s v="T-shirt"/>
    <x v="0"/>
    <s v="Men"/>
    <s v="Casual"/>
    <s v="India"/>
    <n v="2"/>
    <n v="158.69999999999999"/>
    <x v="236"/>
    <s v="Wallet"/>
  </r>
  <r>
    <d v="2022-01-19T00:00:00"/>
    <s v="Nike Tech Fleece"/>
    <s v="Hoodie"/>
    <x v="4"/>
    <s v="Women"/>
    <s v="Streetwear"/>
    <s v="UK"/>
    <n v="2"/>
    <n v="244.13"/>
    <x v="237"/>
    <s v="Cash on Delivery"/>
  </r>
  <r>
    <d v="2022-08-19T00:00:00"/>
    <s v="Nike Tech Fleece"/>
    <s v="Hoodie"/>
    <x v="4"/>
    <s v="Women"/>
    <s v="Casual"/>
    <s v="Australia"/>
    <n v="5"/>
    <n v="147.99"/>
    <x v="238"/>
    <s v="UPI"/>
  </r>
  <r>
    <d v="2022-08-11T00:00:00"/>
    <s v="Fear of God Essentials Tee"/>
    <s v="T-shirt"/>
    <x v="0"/>
    <s v="Unisex"/>
    <s v="Casual"/>
    <s v="Japan"/>
    <n v="1"/>
    <n v="157.81"/>
    <x v="239"/>
    <s v="Cash on Delivery"/>
  </r>
  <r>
    <d v="2022-03-24T00:00:00"/>
    <s v="Puma Joggers"/>
    <s v="Joggers"/>
    <x v="6"/>
    <s v="Unisex"/>
    <s v="Streetwear"/>
    <s v="Germany"/>
    <n v="2"/>
    <n v="212.76"/>
    <x v="240"/>
    <s v="Wallet"/>
  </r>
  <r>
    <d v="2022-01-17T00:00:00"/>
    <s v="Adidas Ultraboost"/>
    <s v="Sneakers"/>
    <x v="1"/>
    <s v="Women"/>
    <s v="Casual"/>
    <s v="Australia"/>
    <n v="3"/>
    <n v="225.9"/>
    <x v="241"/>
    <s v="Wallet"/>
  </r>
  <r>
    <d v="2022-02-09T00:00:00"/>
    <s v="New Era Cap"/>
    <s v="Cap"/>
    <x v="3"/>
    <s v="Men"/>
    <s v="Streetwear"/>
    <s v="Canada"/>
    <n v="3"/>
    <n v="112.98"/>
    <x v="242"/>
    <s v="Wallet"/>
  </r>
  <r>
    <d v="2022-05-13T00:00:00"/>
    <s v="New Era Cap"/>
    <s v="Cap"/>
    <x v="3"/>
    <s v="Unisex"/>
    <s v="Casual"/>
    <s v="Canada"/>
    <n v="2"/>
    <n v="100.84"/>
    <x v="243"/>
    <s v="Cash on Delivery"/>
  </r>
  <r>
    <d v="2022-02-03T00:00:00"/>
    <s v="Jordan 1 High"/>
    <s v="Sneakers"/>
    <x v="4"/>
    <s v="Women"/>
    <s v="Casual"/>
    <s v="Canada"/>
    <n v="4"/>
    <n v="292.75"/>
    <x v="244"/>
    <s v="Wallet"/>
  </r>
  <r>
    <d v="2022-02-08T00:00:00"/>
    <s v="Nike Tech Fleece"/>
    <s v="Hoodie"/>
    <x v="4"/>
    <s v="Men"/>
    <s v="Streetwear"/>
    <s v="UK"/>
    <n v="3"/>
    <n v="82.62"/>
    <x v="245"/>
    <s v="Cash on Delivery"/>
  </r>
  <r>
    <d v="2022-07-18T00:00:00"/>
    <s v="Off-White Hoodie"/>
    <s v="Hoodie"/>
    <x v="2"/>
    <s v="Men"/>
    <s v="Sportswear"/>
    <s v="Australia"/>
    <n v="3"/>
    <n v="246.13"/>
    <x v="246"/>
    <s v="UPI"/>
  </r>
  <r>
    <d v="2022-04-29T00:00:00"/>
    <s v="Nike Dunk Low"/>
    <s v="Sneakers"/>
    <x v="4"/>
    <s v="Men"/>
    <s v="Streetwear"/>
    <s v="Germany"/>
    <n v="4"/>
    <n v="168.01"/>
    <x v="247"/>
    <s v="Wallet"/>
  </r>
  <r>
    <d v="2022-08-26T00:00:00"/>
    <s v="Adidas Ultraboost"/>
    <s v="Sneakers"/>
    <x v="1"/>
    <s v="Men"/>
    <s v="Sportswear"/>
    <s v="Japan"/>
    <n v="1"/>
    <n v="93.08"/>
    <x v="248"/>
    <s v="Wallet"/>
  </r>
  <r>
    <d v="2022-01-14T00:00:00"/>
    <s v="Off-White Hoodie"/>
    <s v="Hoodie"/>
    <x v="2"/>
    <s v="Women"/>
    <s v="Limited Edition"/>
    <s v="Australia"/>
    <n v="3"/>
    <n v="161.55000000000001"/>
    <x v="249"/>
    <s v="UPI"/>
  </r>
  <r>
    <d v="2022-02-25T00:00:00"/>
    <s v="New Era Cap"/>
    <s v="Cap"/>
    <x v="3"/>
    <s v="Men"/>
    <s v="Casual"/>
    <s v="Germany"/>
    <n v="3"/>
    <n v="228.84"/>
    <x v="250"/>
    <s v="UPI"/>
  </r>
  <r>
    <d v="2022-05-23T00:00:00"/>
    <s v="Off-White Hoodie"/>
    <s v="Hoodie"/>
    <x v="2"/>
    <s v="Women"/>
    <s v="Sportswear"/>
    <s v="USA"/>
    <n v="4"/>
    <n v="221.31"/>
    <x v="251"/>
    <s v="Card"/>
  </r>
  <r>
    <d v="2022-07-26T00:00:00"/>
    <s v="New Era Cap"/>
    <s v="Cap"/>
    <x v="3"/>
    <s v="Women"/>
    <s v="Sportswear"/>
    <s v="UK"/>
    <n v="2"/>
    <n v="287.68"/>
    <x v="252"/>
    <s v="Cash on Delivery"/>
  </r>
  <r>
    <d v="2022-01-16T00:00:00"/>
    <s v="Nike Dunk Low"/>
    <s v="Sneakers"/>
    <x v="4"/>
    <s v="Women"/>
    <s v="Limited Edition"/>
    <s v="UK"/>
    <n v="5"/>
    <n v="168.7"/>
    <x v="253"/>
    <s v="Wallet"/>
  </r>
  <r>
    <d v="2022-06-01T00:00:00"/>
    <s v="Fear of God Essentials Tee"/>
    <s v="T-shirt"/>
    <x v="0"/>
    <s v="Women"/>
    <s v="Streetwear"/>
    <s v="UK"/>
    <n v="3"/>
    <n v="153.82"/>
    <x v="254"/>
    <s v="Cash on Delivery"/>
  </r>
  <r>
    <d v="2022-02-13T00:00:00"/>
    <s v="Adidas Ultraboost"/>
    <s v="Sneakers"/>
    <x v="1"/>
    <s v="Unisex"/>
    <s v="Casual"/>
    <s v="Japan"/>
    <n v="4"/>
    <n v="281"/>
    <x v="255"/>
    <s v="UPI"/>
  </r>
  <r>
    <d v="2022-03-28T00:00:00"/>
    <s v="Puma Joggers"/>
    <s v="Joggers"/>
    <x v="6"/>
    <s v="Women"/>
    <s v="Streetwear"/>
    <s v="India"/>
    <n v="5"/>
    <n v="112.4"/>
    <x v="256"/>
    <s v="Wallet"/>
  </r>
  <r>
    <d v="2022-01-20T00:00:00"/>
    <s v="Off-White Hoodie"/>
    <s v="Hoodie"/>
    <x v="2"/>
    <s v="Unisex"/>
    <s v="Limited Edition"/>
    <s v="Canada"/>
    <n v="1"/>
    <n v="233.16"/>
    <x v="257"/>
    <s v="Cash on Delivery"/>
  </r>
  <r>
    <d v="2022-02-27T00:00:00"/>
    <s v="Yeezy Boost 350"/>
    <s v="Sneakers"/>
    <x v="1"/>
    <s v="Unisex"/>
    <s v="Sportswear"/>
    <s v="USA"/>
    <n v="5"/>
    <n v="248.71"/>
    <x v="258"/>
    <s v="Wallet"/>
  </r>
  <r>
    <d v="2022-05-26T00:00:00"/>
    <s v="Nike Tech Fleece"/>
    <s v="Hoodie"/>
    <x v="4"/>
    <s v="Men"/>
    <s v="Casual"/>
    <s v="Australia"/>
    <n v="5"/>
    <n v="157.19999999999999"/>
    <x v="259"/>
    <s v="Wallet"/>
  </r>
  <r>
    <d v="2022-01-29T00:00:00"/>
    <s v="Yeezy Boost 350"/>
    <s v="Sneakers"/>
    <x v="1"/>
    <s v="Men"/>
    <s v="Limited Edition"/>
    <s v="Australia"/>
    <n v="4"/>
    <n v="113.75"/>
    <x v="260"/>
    <s v="Wallet"/>
  </r>
  <r>
    <d v="2022-04-14T00:00:00"/>
    <s v="Yeezy Boost 350"/>
    <s v="Sneakers"/>
    <x v="1"/>
    <s v="Women"/>
    <s v="Streetwear"/>
    <s v="Germany"/>
    <n v="1"/>
    <n v="109.66"/>
    <x v="261"/>
    <s v="Cash on Delivery"/>
  </r>
  <r>
    <d v="2022-06-06T00:00:00"/>
    <s v="Puma Joggers"/>
    <s v="Joggers"/>
    <x v="6"/>
    <s v="Women"/>
    <s v="Casual"/>
    <s v="India"/>
    <n v="1"/>
    <n v="81.569999999999993"/>
    <x v="262"/>
    <s v="UPI"/>
  </r>
  <r>
    <d v="2022-02-08T00:00:00"/>
    <s v="Fear of God Essentials Tee"/>
    <s v="T-shirt"/>
    <x v="0"/>
    <s v="Men"/>
    <s v="Casual"/>
    <s v="Canada"/>
    <n v="2"/>
    <n v="247.2"/>
    <x v="263"/>
    <s v="UPI"/>
  </r>
  <r>
    <d v="2022-05-06T00:00:00"/>
    <s v="Puma Joggers"/>
    <s v="Joggers"/>
    <x v="6"/>
    <s v="Women"/>
    <s v="Sportswear"/>
    <s v="Japan"/>
    <n v="4"/>
    <n v="250.26"/>
    <x v="264"/>
    <s v="Card"/>
  </r>
  <r>
    <d v="2022-01-06T00:00:00"/>
    <s v="Adidas Ultraboost"/>
    <s v="Sneakers"/>
    <x v="1"/>
    <s v="Unisex"/>
    <s v="Sportswear"/>
    <s v="Germany"/>
    <n v="1"/>
    <n v="137.19999999999999"/>
    <x v="265"/>
    <s v="Card"/>
  </r>
  <r>
    <d v="2022-03-18T00:00:00"/>
    <s v="Adidas Ultraboost"/>
    <s v="Sneakers"/>
    <x v="1"/>
    <s v="Women"/>
    <s v="Streetwear"/>
    <s v="Canada"/>
    <n v="3"/>
    <n v="164.06"/>
    <x v="266"/>
    <s v="UPI"/>
  </r>
  <r>
    <d v="2022-02-07T00:00:00"/>
    <s v="Off-White Hoodie"/>
    <s v="Hoodie"/>
    <x v="2"/>
    <s v="Unisex"/>
    <s v="Streetwear"/>
    <s v="USA"/>
    <n v="4"/>
    <n v="198.45"/>
    <x v="267"/>
    <s v="Wallet"/>
  </r>
  <r>
    <d v="2022-06-05T00:00:00"/>
    <s v="Puma Joggers"/>
    <s v="Joggers"/>
    <x v="6"/>
    <s v="Unisex"/>
    <s v="Limited Edition"/>
    <s v="Germany"/>
    <n v="2"/>
    <n v="162.47999999999999"/>
    <x v="268"/>
    <s v="Cash on Delivery"/>
  </r>
  <r>
    <d v="2022-06-13T00:00:00"/>
    <s v="Supreme Hoodie"/>
    <s v="Hoodie"/>
    <x v="5"/>
    <s v="Men"/>
    <s v="Casual"/>
    <s v="UK"/>
    <n v="4"/>
    <n v="243.48"/>
    <x v="269"/>
    <s v="Wallet"/>
  </r>
  <r>
    <d v="2022-08-10T00:00:00"/>
    <s v="Nike Dunk Low"/>
    <s v="Sneakers"/>
    <x v="4"/>
    <s v="Women"/>
    <s v="Limited Edition"/>
    <s v="UK"/>
    <n v="4"/>
    <n v="183.4"/>
    <x v="270"/>
    <s v="Card"/>
  </r>
  <r>
    <d v="2022-05-05T00:00:00"/>
    <s v="Off-White Hoodie"/>
    <s v="Hoodie"/>
    <x v="2"/>
    <s v="Men"/>
    <s v="Streetwear"/>
    <s v="UK"/>
    <n v="1"/>
    <n v="271.44"/>
    <x v="271"/>
    <s v="Cash on Delivery"/>
  </r>
  <r>
    <d v="2022-03-01T00:00:00"/>
    <s v="Off-White Hoodie"/>
    <s v="Hoodie"/>
    <x v="2"/>
    <s v="Unisex"/>
    <s v="Limited Edition"/>
    <s v="USA"/>
    <n v="2"/>
    <n v="135.47999999999999"/>
    <x v="272"/>
    <s v="Cash on Delivery"/>
  </r>
  <r>
    <d v="2022-01-21T00:00:00"/>
    <s v="Fear of God Essentials Tee"/>
    <s v="T-shirt"/>
    <x v="0"/>
    <s v="Men"/>
    <s v="Sportswear"/>
    <s v="Japan"/>
    <n v="5"/>
    <n v="148.46"/>
    <x v="273"/>
    <s v="Card"/>
  </r>
  <r>
    <d v="2022-07-10T00:00:00"/>
    <s v="New Era Cap"/>
    <s v="Cap"/>
    <x v="3"/>
    <s v="Men"/>
    <s v="Casual"/>
    <s v="Canada"/>
    <n v="5"/>
    <n v="251.06"/>
    <x v="274"/>
    <s v="UPI"/>
  </r>
  <r>
    <d v="2022-03-12T00:00:00"/>
    <s v="New Era Cap"/>
    <s v="Cap"/>
    <x v="3"/>
    <s v="Unisex"/>
    <s v="Streetwear"/>
    <s v="Germany"/>
    <n v="2"/>
    <n v="195.41"/>
    <x v="275"/>
    <s v="Card"/>
  </r>
  <r>
    <d v="2022-01-22T00:00:00"/>
    <s v="Yeezy Boost 350"/>
    <s v="Sneakers"/>
    <x v="1"/>
    <s v="Unisex"/>
    <s v="Limited Edition"/>
    <s v="India"/>
    <n v="4"/>
    <n v="206.29"/>
    <x v="276"/>
    <s v="Wallet"/>
  </r>
  <r>
    <d v="2022-05-13T00:00:00"/>
    <s v="New Era Cap"/>
    <s v="Cap"/>
    <x v="3"/>
    <s v="Women"/>
    <s v="Streetwear"/>
    <s v="Japan"/>
    <n v="4"/>
    <n v="146.09"/>
    <x v="277"/>
    <s v="Cash on Delivery"/>
  </r>
  <r>
    <d v="2022-05-26T00:00:00"/>
    <s v="Yeezy Boost 350"/>
    <s v="Sneakers"/>
    <x v="1"/>
    <s v="Women"/>
    <s v="Limited Edition"/>
    <s v="USA"/>
    <n v="1"/>
    <n v="284.3"/>
    <x v="278"/>
    <s v="Card"/>
  </r>
  <r>
    <d v="2022-01-14T00:00:00"/>
    <s v="Puma Joggers"/>
    <s v="Joggers"/>
    <x v="6"/>
    <s v="Unisex"/>
    <s v="Limited Edition"/>
    <s v="Australia"/>
    <n v="5"/>
    <n v="289.47000000000003"/>
    <x v="279"/>
    <s v="Card"/>
  </r>
  <r>
    <d v="2022-03-10T00:00:00"/>
    <s v="Nike Tech Fleece"/>
    <s v="Hoodie"/>
    <x v="4"/>
    <s v="Women"/>
    <s v="Sportswear"/>
    <s v="UK"/>
    <n v="2"/>
    <n v="218.25"/>
    <x v="280"/>
    <s v="Wallet"/>
  </r>
  <r>
    <d v="2022-07-08T00:00:00"/>
    <s v="Jordan 1 High"/>
    <s v="Sneakers"/>
    <x v="4"/>
    <s v="Men"/>
    <s v="Streetwear"/>
    <s v="India"/>
    <n v="4"/>
    <n v="204.62"/>
    <x v="281"/>
    <s v="Wallet"/>
  </r>
  <r>
    <d v="2022-01-03T00:00:00"/>
    <s v="Puma Joggers"/>
    <s v="Joggers"/>
    <x v="6"/>
    <s v="Women"/>
    <s v="Limited Edition"/>
    <s v="Japan"/>
    <n v="2"/>
    <n v="267.42"/>
    <x v="282"/>
    <s v="Cash on Delivery"/>
  </r>
  <r>
    <d v="2022-04-02T00:00:00"/>
    <s v="Supreme Hoodie"/>
    <s v="Hoodie"/>
    <x v="5"/>
    <s v="Men"/>
    <s v="Casual"/>
    <s v="Germany"/>
    <n v="1"/>
    <n v="144.59"/>
    <x v="283"/>
    <s v="UPI"/>
  </r>
  <r>
    <d v="2022-08-17T00:00:00"/>
    <s v="Yeezy Boost 350"/>
    <s v="Sneakers"/>
    <x v="1"/>
    <s v="Men"/>
    <s v="Sportswear"/>
    <s v="Canada"/>
    <n v="2"/>
    <n v="80.47"/>
    <x v="284"/>
    <s v="Card"/>
  </r>
  <r>
    <d v="2022-04-26T00:00:00"/>
    <s v="Nike Tech Fleece"/>
    <s v="Hoodie"/>
    <x v="4"/>
    <s v="Men"/>
    <s v="Casual"/>
    <s v="Canada"/>
    <n v="2"/>
    <n v="98.17"/>
    <x v="285"/>
    <s v="Card"/>
  </r>
  <r>
    <d v="2022-06-15T00:00:00"/>
    <s v="Off-White Hoodie"/>
    <s v="Hoodie"/>
    <x v="2"/>
    <s v="Men"/>
    <s v="Sportswear"/>
    <s v="UK"/>
    <n v="2"/>
    <n v="63.76"/>
    <x v="286"/>
    <s v="Cash on Delivery"/>
  </r>
  <r>
    <d v="2022-04-06T00:00:00"/>
    <s v="Supreme Hoodie"/>
    <s v="Hoodie"/>
    <x v="5"/>
    <s v="Men"/>
    <s v="Casual"/>
    <s v="UK"/>
    <n v="2"/>
    <n v="157.12"/>
    <x v="287"/>
    <s v="Card"/>
  </r>
  <r>
    <d v="2022-04-07T00:00:00"/>
    <s v="Supreme Hoodie"/>
    <s v="Hoodie"/>
    <x v="5"/>
    <s v="Women"/>
    <s v="Casual"/>
    <s v="Germany"/>
    <n v="5"/>
    <n v="293.20999999999998"/>
    <x v="288"/>
    <s v="Cash on Delivery"/>
  </r>
  <r>
    <d v="2022-03-30T00:00:00"/>
    <s v="Off-White Hoodie"/>
    <s v="Hoodie"/>
    <x v="2"/>
    <s v="Men"/>
    <s v="Streetwear"/>
    <s v="UK"/>
    <n v="2"/>
    <n v="142.25"/>
    <x v="289"/>
    <s v="UPI"/>
  </r>
  <r>
    <d v="2022-07-02T00:00:00"/>
    <s v="Off-White Hoodie"/>
    <s v="Hoodie"/>
    <x v="2"/>
    <s v="Men"/>
    <s v="Sportswear"/>
    <s v="Japan"/>
    <n v="1"/>
    <n v="86.17"/>
    <x v="290"/>
    <s v="Wallet"/>
  </r>
  <r>
    <d v="2022-07-09T00:00:00"/>
    <s v="Nike Tech Fleece"/>
    <s v="Hoodie"/>
    <x v="4"/>
    <s v="Women"/>
    <s v="Limited Edition"/>
    <s v="Canada"/>
    <n v="3"/>
    <n v="172.37"/>
    <x v="291"/>
    <s v="Card"/>
  </r>
  <r>
    <d v="2022-02-05T00:00:00"/>
    <s v="Off-White Hoodie"/>
    <s v="Hoodie"/>
    <x v="2"/>
    <s v="Men"/>
    <s v="Sportswear"/>
    <s v="India"/>
    <n v="3"/>
    <n v="236.05"/>
    <x v="292"/>
    <s v="UPI"/>
  </r>
  <r>
    <d v="2022-07-11T00:00:00"/>
    <s v="Nike Tech Fleece"/>
    <s v="Hoodie"/>
    <x v="4"/>
    <s v="Men"/>
    <s v="Streetwear"/>
    <s v="UK"/>
    <n v="3"/>
    <n v="256.72000000000003"/>
    <x v="293"/>
    <s v="UPI"/>
  </r>
  <r>
    <d v="2022-06-02T00:00:00"/>
    <s v="Nike Dunk Low"/>
    <s v="Sneakers"/>
    <x v="4"/>
    <s v="Men"/>
    <s v="Limited Edition"/>
    <s v="UK"/>
    <n v="4"/>
    <n v="205.64"/>
    <x v="294"/>
    <s v="Wallet"/>
  </r>
  <r>
    <d v="2022-05-29T00:00:00"/>
    <s v="Off-White Hoodie"/>
    <s v="Hoodie"/>
    <x v="2"/>
    <s v="Men"/>
    <s v="Streetwear"/>
    <s v="Germany"/>
    <n v="4"/>
    <n v="68.180000000000007"/>
    <x v="295"/>
    <s v="Cash on Delivery"/>
  </r>
  <r>
    <d v="2022-03-21T00:00:00"/>
    <s v="New Era Cap"/>
    <s v="Cap"/>
    <x v="3"/>
    <s v="Men"/>
    <s v="Limited Edition"/>
    <s v="Australia"/>
    <n v="4"/>
    <n v="68.97"/>
    <x v="296"/>
    <s v="Card"/>
  </r>
  <r>
    <d v="2022-06-06T00:00:00"/>
    <s v="Nike Tech Fleece"/>
    <s v="Hoodie"/>
    <x v="4"/>
    <s v="Unisex"/>
    <s v="Limited Edition"/>
    <s v="Germany"/>
    <n v="5"/>
    <n v="123.23"/>
    <x v="297"/>
    <s v="Wallet"/>
  </r>
  <r>
    <d v="2022-08-24T00:00:00"/>
    <s v="Nike Dunk Low"/>
    <s v="Sneakers"/>
    <x v="4"/>
    <s v="Women"/>
    <s v="Streetwear"/>
    <s v="Australia"/>
    <n v="5"/>
    <n v="273"/>
    <x v="298"/>
    <s v="Card"/>
  </r>
  <r>
    <d v="2022-02-10T00:00:00"/>
    <s v="Yeezy Boost 350"/>
    <s v="Sneakers"/>
    <x v="1"/>
    <s v="Women"/>
    <s v="Casual"/>
    <s v="Canada"/>
    <n v="3"/>
    <n v="225.84"/>
    <x v="299"/>
    <s v="Card"/>
  </r>
  <r>
    <d v="2022-03-01T00:00:00"/>
    <s v="Jordan 1 High"/>
    <s v="Sneakers"/>
    <x v="4"/>
    <s v="Women"/>
    <s v="Sportswear"/>
    <s v="Canada"/>
    <n v="3"/>
    <n v="235.36"/>
    <x v="300"/>
    <s v="Wallet"/>
  </r>
  <r>
    <d v="2022-03-17T00:00:00"/>
    <s v="Yeezy Boost 350"/>
    <s v="Sneakers"/>
    <x v="1"/>
    <s v="Women"/>
    <s v="Sportswear"/>
    <s v="India"/>
    <n v="5"/>
    <n v="189.94"/>
    <x v="301"/>
    <s v="Cash on Delivery"/>
  </r>
  <r>
    <d v="2022-01-03T00:00:00"/>
    <s v="Off-White Hoodie"/>
    <s v="Hoodie"/>
    <x v="2"/>
    <s v="Women"/>
    <s v="Casual"/>
    <s v="USA"/>
    <n v="3"/>
    <n v="110.2"/>
    <x v="302"/>
    <s v="Card"/>
  </r>
  <r>
    <d v="2022-06-29T00:00:00"/>
    <s v="Off-White Hoodie"/>
    <s v="Hoodie"/>
    <x v="2"/>
    <s v="Unisex"/>
    <s v="Sportswear"/>
    <s v="Germany"/>
    <n v="2"/>
    <n v="54.76"/>
    <x v="303"/>
    <s v="Wallet"/>
  </r>
  <r>
    <d v="2022-06-02T00:00:00"/>
    <s v="Supreme Hoodie"/>
    <s v="Hoodie"/>
    <x v="5"/>
    <s v="Women"/>
    <s v="Sportswear"/>
    <s v="Australia"/>
    <n v="1"/>
    <n v="296.56"/>
    <x v="304"/>
    <s v="UPI"/>
  </r>
  <r>
    <d v="2022-06-04T00:00:00"/>
    <s v="Yeezy Boost 350"/>
    <s v="Sneakers"/>
    <x v="1"/>
    <s v="Women"/>
    <s v="Sportswear"/>
    <s v="Australia"/>
    <n v="1"/>
    <n v="296.51"/>
    <x v="305"/>
    <s v="Wallet"/>
  </r>
  <r>
    <d v="2022-04-03T00:00:00"/>
    <s v="Puma Joggers"/>
    <s v="Joggers"/>
    <x v="6"/>
    <s v="Men"/>
    <s v="Casual"/>
    <s v="India"/>
    <n v="1"/>
    <n v="89.5"/>
    <x v="306"/>
    <s v="UPI"/>
  </r>
  <r>
    <d v="2022-03-16T00:00:00"/>
    <s v="Yeezy Boost 350"/>
    <s v="Sneakers"/>
    <x v="1"/>
    <s v="Unisex"/>
    <s v="Casual"/>
    <s v="UK"/>
    <n v="3"/>
    <n v="280.64"/>
    <x v="307"/>
    <s v="Card"/>
  </r>
  <r>
    <d v="2022-02-15T00:00:00"/>
    <s v="Nike Tech Fleece"/>
    <s v="Hoodie"/>
    <x v="4"/>
    <s v="Women"/>
    <s v="Streetwear"/>
    <s v="Canada"/>
    <n v="5"/>
    <n v="234.28"/>
    <x v="308"/>
    <s v="Cash on Delivery"/>
  </r>
  <r>
    <d v="2022-01-01T00:00:00"/>
    <s v="Nike Dunk Low"/>
    <s v="Sneakers"/>
    <x v="4"/>
    <s v="Women"/>
    <s v="Streetwear"/>
    <s v="Japan"/>
    <n v="2"/>
    <n v="294.89"/>
    <x v="309"/>
    <s v="Wallet"/>
  </r>
  <r>
    <d v="2022-03-10T00:00:00"/>
    <s v="Jordan 1 High"/>
    <s v="Sneakers"/>
    <x v="4"/>
    <s v="Women"/>
    <s v="Sportswear"/>
    <s v="USA"/>
    <n v="1"/>
    <n v="208.24"/>
    <x v="310"/>
    <s v="Cash on Delivery"/>
  </r>
  <r>
    <d v="2022-04-08T00:00:00"/>
    <s v="Jordan 1 High"/>
    <s v="Sneakers"/>
    <x v="4"/>
    <s v="Men"/>
    <s v="Casual"/>
    <s v="India"/>
    <n v="5"/>
    <n v="94.25"/>
    <x v="311"/>
    <s v="Wallet"/>
  </r>
  <r>
    <d v="2022-08-03T00:00:00"/>
    <s v="Nike Tech Fleece"/>
    <s v="Hoodie"/>
    <x v="4"/>
    <s v="Women"/>
    <s v="Casual"/>
    <s v="Germany"/>
    <n v="5"/>
    <n v="259"/>
    <x v="312"/>
    <s v="Card"/>
  </r>
  <r>
    <d v="2022-05-05T00:00:00"/>
    <s v="Puma Joggers"/>
    <s v="Joggers"/>
    <x v="6"/>
    <s v="Women"/>
    <s v="Casual"/>
    <s v="Germany"/>
    <n v="4"/>
    <n v="299.73"/>
    <x v="313"/>
    <s v="Cash on Delivery"/>
  </r>
  <r>
    <d v="2022-05-19T00:00:00"/>
    <s v="Adidas Ultraboost"/>
    <s v="Sneakers"/>
    <x v="1"/>
    <s v="Men"/>
    <s v="Casual"/>
    <s v="Canada"/>
    <n v="5"/>
    <n v="71.260000000000005"/>
    <x v="314"/>
    <s v="Cash on Delivery"/>
  </r>
  <r>
    <d v="2022-07-17T00:00:00"/>
    <s v="Nike Dunk Low"/>
    <s v="Sneakers"/>
    <x v="4"/>
    <s v="Women"/>
    <s v="Limited Edition"/>
    <s v="Japan"/>
    <n v="5"/>
    <n v="270.14"/>
    <x v="315"/>
    <s v="Walle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1F0AC3D-6EED-4486-8F28-88F0408C2365}" name="PivotTable9"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3">
  <location ref="E27:F33" firstHeaderRow="1" firstDataRow="1" firstDataCol="1"/>
  <pivotFields count="12">
    <pivotField numFmtId="14" showAll="0"/>
    <pivotField showAll="0"/>
    <pivotField axis="axisRow" showAll="0">
      <items count="6">
        <item x="3"/>
        <item x="2"/>
        <item x="4"/>
        <item x="1"/>
        <item x="0"/>
        <item t="default"/>
      </items>
    </pivotField>
    <pivotField showAll="0"/>
    <pivotField showAll="0"/>
    <pivotField showAll="0"/>
    <pivotField showAll="0">
      <items count="8">
        <item x="1"/>
        <item h="1" x="5"/>
        <item h="1" x="4"/>
        <item h="1" x="3"/>
        <item h="1" x="0"/>
        <item h="1" x="2"/>
        <item h="1" x="6"/>
        <item t="default"/>
      </items>
    </pivotField>
    <pivotField showAll="0"/>
    <pivotField dataField="1" showAll="0"/>
    <pivotField showAll="0"/>
    <pivotField showAll="0"/>
    <pivotField showAll="0" defaultSubtotal="0"/>
  </pivotFields>
  <rowFields count="1">
    <field x="2"/>
  </rowFields>
  <rowItems count="6">
    <i>
      <x/>
    </i>
    <i>
      <x v="1"/>
    </i>
    <i>
      <x v="2"/>
    </i>
    <i>
      <x v="3"/>
    </i>
    <i>
      <x v="4"/>
    </i>
    <i t="grand">
      <x/>
    </i>
  </rowItems>
  <colItems count="1">
    <i/>
  </colItems>
  <dataFields count="1">
    <dataField name="Sum of Unit Price ($)" fld="8" baseField="0" baseItem="0"/>
  </dataFields>
  <chartFormats count="2">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0D97142-ADD8-43CE-BBA3-0AD5EF78B371}" name="PivotTable3"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E17:J24" firstHeaderRow="1" firstDataRow="2" firstDataCol="1"/>
  <pivotFields count="12">
    <pivotField numFmtId="14" showAll="0"/>
    <pivotField showAll="0">
      <items count="11">
        <item x="4"/>
        <item x="0"/>
        <item x="6"/>
        <item x="3"/>
        <item x="8"/>
        <item x="5"/>
        <item x="2"/>
        <item x="9"/>
        <item x="7"/>
        <item x="1"/>
        <item t="default"/>
      </items>
    </pivotField>
    <pivotField axis="axisRow" showAll="0">
      <items count="6">
        <item x="3"/>
        <item x="2"/>
        <item x="4"/>
        <item x="1"/>
        <item x="0"/>
        <item t="default"/>
      </items>
    </pivotField>
    <pivotField showAll="0"/>
    <pivotField showAll="0">
      <items count="4">
        <item x="2"/>
        <item x="0"/>
        <item x="1"/>
        <item t="default"/>
      </items>
    </pivotField>
    <pivotField showAll="0">
      <items count="5">
        <item x="2"/>
        <item x="0"/>
        <item x="1"/>
        <item x="3"/>
        <item t="default"/>
      </items>
    </pivotField>
    <pivotField showAll="0">
      <items count="8">
        <item h="1" x="1"/>
        <item h="1" x="5"/>
        <item h="1" x="4"/>
        <item h="1" x="3"/>
        <item h="1" x="0"/>
        <item x="2"/>
        <item h="1" x="6"/>
        <item t="default"/>
      </items>
    </pivotField>
    <pivotField showAll="0"/>
    <pivotField showAll="0"/>
    <pivotField dataField="1" showAll="0"/>
    <pivotField axis="axisCol" showAll="0">
      <items count="5">
        <item x="0"/>
        <item x="2"/>
        <item x="1"/>
        <item x="3"/>
        <item t="default"/>
      </items>
    </pivotField>
    <pivotField showAll="0" defaultSubtotal="0"/>
  </pivotFields>
  <rowFields count="1">
    <field x="2"/>
  </rowFields>
  <rowItems count="6">
    <i>
      <x/>
    </i>
    <i>
      <x v="1"/>
    </i>
    <i>
      <x v="2"/>
    </i>
    <i>
      <x v="3"/>
    </i>
    <i>
      <x v="4"/>
    </i>
    <i t="grand">
      <x/>
    </i>
  </rowItems>
  <colFields count="1">
    <field x="10"/>
  </colFields>
  <colItems count="5">
    <i>
      <x/>
    </i>
    <i>
      <x v="1"/>
    </i>
    <i>
      <x v="2"/>
    </i>
    <i>
      <x v="3"/>
    </i>
    <i t="grand">
      <x/>
    </i>
  </colItems>
  <dataFields count="1">
    <dataField name="Sum of Amount ($)" fld="9" baseField="0" baseItem="0"/>
  </dataFields>
  <chartFormats count="4">
    <chartFormat chart="4" format="9" series="1">
      <pivotArea type="data" outline="0" fieldPosition="0">
        <references count="2">
          <reference field="4294967294" count="1" selected="0">
            <x v="0"/>
          </reference>
          <reference field="10" count="1" selected="0">
            <x v="0"/>
          </reference>
        </references>
      </pivotArea>
    </chartFormat>
    <chartFormat chart="4" format="10" series="1">
      <pivotArea type="data" outline="0" fieldPosition="0">
        <references count="2">
          <reference field="4294967294" count="1" selected="0">
            <x v="0"/>
          </reference>
          <reference field="10" count="1" selected="0">
            <x v="1"/>
          </reference>
        </references>
      </pivotArea>
    </chartFormat>
    <chartFormat chart="4" format="11" series="1">
      <pivotArea type="data" outline="0" fieldPosition="0">
        <references count="2">
          <reference field="4294967294" count="1" selected="0">
            <x v="0"/>
          </reference>
          <reference field="10" count="1" selected="0">
            <x v="2"/>
          </reference>
        </references>
      </pivotArea>
    </chartFormat>
    <chartFormat chart="4" format="12" series="1">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E68808B-7668-42E5-92FD-719E7F482B9A}" name="PivotTable2"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B24:C32" firstHeaderRow="1" firstDataRow="1" firstDataCol="1"/>
  <pivotFields count="12">
    <pivotField numFmtId="14" showAll="0">
      <items count="369">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x="214"/>
        <item h="1" x="215"/>
        <item h="1" x="216"/>
        <item h="1" x="217"/>
        <item h="1" x="218"/>
        <item h="1" x="219"/>
        <item h="1" x="220"/>
        <item h="1" x="221"/>
        <item h="1" x="222"/>
        <item h="1" x="223"/>
        <item h="1" x="224"/>
        <item h="1" x="225"/>
        <item h="1" x="226"/>
        <item h="1" x="227"/>
        <item h="1" x="228"/>
        <item h="1" x="229"/>
        <item h="1" x="230"/>
        <item h="1" x="231"/>
        <item h="1" x="232"/>
        <item h="1" x="233"/>
        <item h="1" x="234"/>
        <item h="1" x="235"/>
        <item h="1" x="236"/>
        <item h="1" x="237"/>
        <item h="1" x="238"/>
        <item h="1" x="239"/>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t="default"/>
      </items>
    </pivotField>
    <pivotField showAll="0"/>
    <pivotField showAll="0"/>
    <pivotField axis="axisRow" showAll="0">
      <items count="8">
        <item x="1"/>
        <item x="0"/>
        <item x="3"/>
        <item x="4"/>
        <item x="2"/>
        <item x="6"/>
        <item x="5"/>
        <item t="default"/>
      </items>
    </pivotField>
    <pivotField showAll="0">
      <items count="4">
        <item h="1" x="2"/>
        <item x="0"/>
        <item h="1" x="1"/>
        <item t="default"/>
      </items>
    </pivotField>
    <pivotField showAll="0"/>
    <pivotField showAll="0"/>
    <pivotField showAll="0"/>
    <pivotField showAll="0"/>
    <pivotField dataField="1" showAll="0"/>
    <pivotField showAll="0"/>
    <pivotField showAll="0" defaultSubtotal="0"/>
  </pivotFields>
  <rowFields count="1">
    <field x="3"/>
  </rowFields>
  <rowItems count="8">
    <i>
      <x/>
    </i>
    <i>
      <x v="1"/>
    </i>
    <i>
      <x v="2"/>
    </i>
    <i>
      <x v="3"/>
    </i>
    <i>
      <x v="4"/>
    </i>
    <i>
      <x v="5"/>
    </i>
    <i>
      <x v="6"/>
    </i>
    <i t="grand">
      <x/>
    </i>
  </rowItems>
  <colItems count="1">
    <i/>
  </colItems>
  <dataFields count="1">
    <dataField name="Sum of Amount ($)" fld="9" baseField="0" baseItem="0"/>
  </dataFields>
  <chartFormats count="8">
    <chartFormat chart="3" format="9" series="1">
      <pivotArea type="data" outline="0" fieldPosition="0">
        <references count="1">
          <reference field="4294967294" count="1" selected="0">
            <x v="0"/>
          </reference>
        </references>
      </pivotArea>
    </chartFormat>
    <chartFormat chart="3" format="10">
      <pivotArea type="data" outline="0" fieldPosition="0">
        <references count="2">
          <reference field="4294967294" count="1" selected="0">
            <x v="0"/>
          </reference>
          <reference field="3" count="1" selected="0">
            <x v="0"/>
          </reference>
        </references>
      </pivotArea>
    </chartFormat>
    <chartFormat chart="3" format="11">
      <pivotArea type="data" outline="0" fieldPosition="0">
        <references count="2">
          <reference field="4294967294" count="1" selected="0">
            <x v="0"/>
          </reference>
          <reference field="3" count="1" selected="0">
            <x v="1"/>
          </reference>
        </references>
      </pivotArea>
    </chartFormat>
    <chartFormat chart="3" format="12">
      <pivotArea type="data" outline="0" fieldPosition="0">
        <references count="2">
          <reference field="4294967294" count="1" selected="0">
            <x v="0"/>
          </reference>
          <reference field="3" count="1" selected="0">
            <x v="2"/>
          </reference>
        </references>
      </pivotArea>
    </chartFormat>
    <chartFormat chart="3" format="13">
      <pivotArea type="data" outline="0" fieldPosition="0">
        <references count="2">
          <reference field="4294967294" count="1" selected="0">
            <x v="0"/>
          </reference>
          <reference field="3" count="1" selected="0">
            <x v="3"/>
          </reference>
        </references>
      </pivotArea>
    </chartFormat>
    <chartFormat chart="3" format="14">
      <pivotArea type="data" outline="0" fieldPosition="0">
        <references count="2">
          <reference field="4294967294" count="1" selected="0">
            <x v="0"/>
          </reference>
          <reference field="3" count="1" selected="0">
            <x v="4"/>
          </reference>
        </references>
      </pivotArea>
    </chartFormat>
    <chartFormat chart="3" format="15">
      <pivotArea type="data" outline="0" fieldPosition="0">
        <references count="2">
          <reference field="4294967294" count="1" selected="0">
            <x v="0"/>
          </reference>
          <reference field="3" count="1" selected="0">
            <x v="5"/>
          </reference>
        </references>
      </pivotArea>
    </chartFormat>
    <chartFormat chart="3" format="16">
      <pivotArea type="data" outline="0" fieldPosition="0">
        <references count="2">
          <reference field="4294967294" count="1" selected="0">
            <x v="0"/>
          </reference>
          <reference field="3"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A82CB58-2EA9-42ED-8420-15DB3879EC1F}" name="PivotTable1"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0">
  <location ref="A3:F13" firstHeaderRow="1" firstDataRow="2" firstDataCol="1"/>
  <pivotFields count="12">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1">
        <item x="4"/>
        <item x="0"/>
        <item x="6"/>
        <item x="3"/>
        <item x="8"/>
        <item x="5"/>
        <item x="2"/>
        <item x="9"/>
        <item x="7"/>
        <item x="1"/>
        <item t="default"/>
      </items>
    </pivotField>
    <pivotField showAll="0"/>
    <pivotField showAll="0">
      <items count="8">
        <item h="1" x="1"/>
        <item h="1" x="0"/>
        <item h="1" x="3"/>
        <item x="4"/>
        <item h="1" x="2"/>
        <item h="1" x="6"/>
        <item h="1" x="5"/>
        <item t="default"/>
      </items>
    </pivotField>
    <pivotField showAll="0"/>
    <pivotField axis="axisCol" showAll="0">
      <items count="5">
        <item x="2"/>
        <item x="0"/>
        <item x="1"/>
        <item x="3"/>
        <item t="default"/>
      </items>
    </pivotField>
    <pivotField showAll="0"/>
    <pivotField showAll="0"/>
    <pivotField showAll="0"/>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11"/>
    <field x="0"/>
  </rowFields>
  <rowItems count="9">
    <i>
      <x v="1"/>
    </i>
    <i>
      <x v="2"/>
    </i>
    <i>
      <x v="3"/>
    </i>
    <i>
      <x v="4"/>
    </i>
    <i>
      <x v="5"/>
    </i>
    <i>
      <x v="6"/>
    </i>
    <i>
      <x v="7"/>
    </i>
    <i>
      <x v="8"/>
    </i>
    <i t="grand">
      <x/>
    </i>
  </rowItems>
  <colFields count="1">
    <field x="5"/>
  </colFields>
  <colItems count="5">
    <i>
      <x/>
    </i>
    <i>
      <x v="1"/>
    </i>
    <i>
      <x v="2"/>
    </i>
    <i>
      <x v="3"/>
    </i>
    <i t="grand">
      <x/>
    </i>
  </colItems>
  <dataFields count="1">
    <dataField name="Sum of Amount ($)" fld="9" baseField="0" baseItem="0"/>
  </dataFields>
  <chartFormats count="4">
    <chartFormat chart="19" format="8" series="1">
      <pivotArea type="data" outline="0" fieldPosition="0">
        <references count="2">
          <reference field="4294967294" count="1" selected="0">
            <x v="0"/>
          </reference>
          <reference field="5" count="1" selected="0">
            <x v="0"/>
          </reference>
        </references>
      </pivotArea>
    </chartFormat>
    <chartFormat chart="19" format="9" series="1">
      <pivotArea type="data" outline="0" fieldPosition="0">
        <references count="2">
          <reference field="4294967294" count="1" selected="0">
            <x v="0"/>
          </reference>
          <reference field="5" count="1" selected="0">
            <x v="1"/>
          </reference>
        </references>
      </pivotArea>
    </chartFormat>
    <chartFormat chart="19" format="10" series="1">
      <pivotArea type="data" outline="0" fieldPosition="0">
        <references count="2">
          <reference field="4294967294" count="1" selected="0">
            <x v="0"/>
          </reference>
          <reference field="5" count="1" selected="0">
            <x v="2"/>
          </reference>
        </references>
      </pivotArea>
    </chartFormat>
    <chartFormat chart="19" format="11" series="1">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7">
  <location ref="M9:O34" firstHeaderRow="0" firstDataRow="1" firstDataCol="1"/>
  <pivotFields count="11">
    <pivotField numFmtId="14" showAll="0">
      <items count="192">
        <item x="164"/>
        <item x="9"/>
        <item x="118"/>
        <item x="162"/>
        <item x="178"/>
        <item x="29"/>
        <item x="149"/>
        <item x="129"/>
        <item x="62"/>
        <item x="160"/>
        <item x="173"/>
        <item x="168"/>
        <item x="105"/>
        <item x="134"/>
        <item x="155"/>
        <item x="170"/>
        <item x="102"/>
        <item x="179"/>
        <item x="41"/>
        <item x="154"/>
        <item x="91"/>
        <item x="148"/>
        <item x="15"/>
        <item x="87"/>
        <item x="11"/>
        <item x="77"/>
        <item x="97"/>
        <item x="125"/>
        <item x="183"/>
        <item x="101"/>
        <item x="80"/>
        <item x="13"/>
        <item x="114"/>
        <item x="184"/>
        <item x="65"/>
        <item x="99"/>
        <item x="39"/>
        <item x="92"/>
        <item x="188"/>
        <item x="33"/>
        <item x="139"/>
        <item x="112"/>
        <item x="94"/>
        <item x="5"/>
        <item x="28"/>
        <item x="24"/>
        <item x="143"/>
        <item x="107"/>
        <item x="113"/>
        <item x="106"/>
        <item x="88"/>
        <item x="117"/>
        <item x="86"/>
        <item x="165"/>
        <item x="54"/>
        <item x="82"/>
        <item x="31"/>
        <item x="51"/>
        <item x="180"/>
        <item x="128"/>
        <item x="104"/>
        <item x="36"/>
        <item x="71"/>
        <item x="124"/>
        <item x="187"/>
        <item x="185"/>
        <item x="43"/>
        <item x="57"/>
        <item x="55"/>
        <item x="111"/>
        <item x="23"/>
        <item x="96"/>
        <item x="159"/>
        <item x="175"/>
        <item x="123"/>
        <item x="25"/>
        <item x="16"/>
        <item x="2"/>
        <item x="90"/>
        <item x="127"/>
        <item x="119"/>
        <item x="182"/>
        <item x="19"/>
        <item x="78"/>
        <item x="142"/>
        <item x="156"/>
        <item x="137"/>
        <item x="176"/>
        <item x="70"/>
        <item x="122"/>
        <item x="146"/>
        <item x="69"/>
        <item x="163"/>
        <item x="27"/>
        <item x="81"/>
        <item x="35"/>
        <item x="144"/>
        <item x="130"/>
        <item x="59"/>
        <item x="133"/>
        <item x="67"/>
        <item x="177"/>
        <item x="21"/>
        <item x="135"/>
        <item x="46"/>
        <item x="166"/>
        <item x="138"/>
        <item x="14"/>
        <item x="190"/>
        <item x="158"/>
        <item x="52"/>
        <item x="174"/>
        <item x="48"/>
        <item x="50"/>
        <item x="66"/>
        <item x="0"/>
        <item x="22"/>
        <item x="110"/>
        <item x="76"/>
        <item x="89"/>
        <item x="53"/>
        <item x="147"/>
        <item x="186"/>
        <item x="84"/>
        <item x="73"/>
        <item x="20"/>
        <item x="132"/>
        <item x="38"/>
        <item x="136"/>
        <item x="116"/>
        <item x="93"/>
        <item x="61"/>
        <item x="47"/>
        <item x="42"/>
        <item x="8"/>
        <item x="152"/>
        <item x="121"/>
        <item x="108"/>
        <item x="10"/>
        <item x="85"/>
        <item x="30"/>
        <item x="49"/>
        <item x="98"/>
        <item x="60"/>
        <item x="103"/>
        <item x="83"/>
        <item x="157"/>
        <item x="95"/>
        <item x="45"/>
        <item x="63"/>
        <item x="145"/>
        <item x="40"/>
        <item x="17"/>
        <item x="6"/>
        <item x="3"/>
        <item x="7"/>
        <item x="100"/>
        <item x="56"/>
        <item x="34"/>
        <item x="172"/>
        <item x="141"/>
        <item x="79"/>
        <item x="37"/>
        <item x="109"/>
        <item x="32"/>
        <item x="131"/>
        <item x="140"/>
        <item x="161"/>
        <item x="75"/>
        <item x="189"/>
        <item x="58"/>
        <item x="167"/>
        <item x="126"/>
        <item x="150"/>
        <item x="26"/>
        <item x="120"/>
        <item x="151"/>
        <item x="115"/>
        <item x="181"/>
        <item x="18"/>
        <item x="171"/>
        <item x="64"/>
        <item x="44"/>
        <item x="1"/>
        <item x="153"/>
        <item x="169"/>
        <item x="4"/>
        <item x="12"/>
        <item x="74"/>
        <item x="72"/>
        <item x="68"/>
        <item t="default"/>
      </items>
    </pivotField>
    <pivotField showAll="0"/>
    <pivotField showAll="0"/>
    <pivotField showAll="0"/>
    <pivotField axis="axisRow" showAll="0">
      <items count="4">
        <item x="2"/>
        <item x="0"/>
        <item x="1"/>
        <item t="default"/>
      </items>
    </pivotField>
    <pivotField showAll="0"/>
    <pivotField axis="axisRow" showAll="0">
      <items count="8">
        <item x="3"/>
        <item x="5"/>
        <item x="2"/>
        <item x="6"/>
        <item x="0"/>
        <item x="4"/>
        <item x="1"/>
        <item t="default"/>
      </items>
    </pivotField>
    <pivotField dataField="1" showAll="0">
      <items count="6">
        <item x="2"/>
        <item x="1"/>
        <item x="4"/>
        <item x="3"/>
        <item x="0"/>
        <item t="default"/>
      </items>
    </pivotField>
    <pivotField showAll="0"/>
    <pivotField dataField="1" showAll="0">
      <items count="354">
        <item x="78"/>
        <item x="13"/>
        <item x="89"/>
        <item x="79"/>
        <item x="236"/>
        <item x="114"/>
        <item x="263"/>
        <item x="256"/>
        <item x="95"/>
        <item x="38"/>
        <item x="192"/>
        <item x="299"/>
        <item x="327"/>
        <item x="39"/>
        <item x="343"/>
        <item x="237"/>
        <item x="285"/>
        <item x="67"/>
        <item x="204"/>
        <item x="115"/>
        <item x="258"/>
        <item x="14"/>
        <item x="127"/>
        <item x="157"/>
        <item x="340"/>
        <item x="298"/>
        <item x="201"/>
        <item x="104"/>
        <item x="10"/>
        <item x="98"/>
        <item x="323"/>
        <item x="212"/>
        <item x="140"/>
        <item x="170"/>
        <item x="302"/>
        <item x="164"/>
        <item x="193"/>
        <item x="320"/>
        <item x="169"/>
        <item x="208"/>
        <item x="276"/>
        <item x="47"/>
        <item x="321"/>
        <item x="146"/>
        <item x="196"/>
        <item x="17"/>
        <item x="74"/>
        <item x="199"/>
        <item x="266"/>
        <item x="139"/>
        <item x="158"/>
        <item x="60"/>
        <item x="54"/>
        <item x="134"/>
        <item x="72"/>
        <item x="150"/>
        <item x="322"/>
        <item x="280"/>
        <item x="257"/>
        <item x="99"/>
        <item x="6"/>
        <item x="347"/>
        <item x="53"/>
        <item x="125"/>
        <item x="231"/>
        <item x="262"/>
        <item x="211"/>
        <item x="216"/>
        <item x="173"/>
        <item x="145"/>
        <item x="243"/>
        <item x="70"/>
        <item x="73"/>
        <item x="294"/>
        <item x="228"/>
        <item x="120"/>
        <item x="224"/>
        <item x="61"/>
        <item x="239"/>
        <item x="36"/>
        <item x="282"/>
        <item x="28"/>
        <item x="23"/>
        <item x="126"/>
        <item x="5"/>
        <item x="32"/>
        <item x="131"/>
        <item x="159"/>
        <item x="35"/>
        <item x="142"/>
        <item x="309"/>
        <item x="121"/>
        <item x="308"/>
        <item x="332"/>
        <item x="191"/>
        <item x="333"/>
        <item x="252"/>
        <item x="77"/>
        <item x="315"/>
        <item x="326"/>
        <item x="63"/>
        <item x="123"/>
        <item x="137"/>
        <item x="2"/>
        <item x="259"/>
        <item x="48"/>
        <item x="342"/>
        <item x="341"/>
        <item x="113"/>
        <item x="238"/>
        <item x="91"/>
        <item x="106"/>
        <item x="324"/>
        <item x="75"/>
        <item x="273"/>
        <item x="81"/>
        <item x="15"/>
        <item x="305"/>
        <item x="7"/>
        <item x="339"/>
        <item x="136"/>
        <item x="279"/>
        <item x="203"/>
        <item x="16"/>
        <item x="24"/>
        <item x="265"/>
        <item x="260"/>
        <item x="217"/>
        <item x="213"/>
        <item x="351"/>
        <item x="209"/>
        <item x="143"/>
        <item x="130"/>
        <item x="156"/>
        <item x="4"/>
        <item x="234"/>
        <item x="165"/>
        <item x="55"/>
        <item x="175"/>
        <item x="161"/>
        <item x="101"/>
        <item x="312"/>
        <item x="254"/>
        <item x="141"/>
        <item x="31"/>
        <item x="57"/>
        <item x="181"/>
        <item x="83"/>
        <item x="50"/>
        <item x="133"/>
        <item x="277"/>
        <item x="20"/>
        <item x="202"/>
        <item x="317"/>
        <item x="62"/>
        <item x="41"/>
        <item x="56"/>
        <item x="251"/>
        <item x="297"/>
        <item x="198"/>
        <item x="291"/>
        <item x="226"/>
        <item x="188"/>
        <item x="264"/>
        <item x="151"/>
        <item x="348"/>
        <item x="229"/>
        <item x="233"/>
        <item x="11"/>
        <item x="286"/>
        <item x="222"/>
        <item x="240"/>
        <item x="29"/>
        <item x="274"/>
        <item x="103"/>
        <item x="303"/>
        <item x="300"/>
        <item x="210"/>
        <item x="46"/>
        <item x="153"/>
        <item x="179"/>
        <item x="18"/>
        <item x="80"/>
        <item x="128"/>
        <item x="109"/>
        <item x="241"/>
        <item x="328"/>
        <item x="129"/>
        <item x="59"/>
        <item x="118"/>
        <item x="248"/>
        <item x="1"/>
        <item x="272"/>
        <item x="319"/>
        <item x="66"/>
        <item x="40"/>
        <item x="110"/>
        <item x="124"/>
        <item x="245"/>
        <item x="167"/>
        <item x="132"/>
        <item x="293"/>
        <item x="76"/>
        <item x="154"/>
        <item x="160"/>
        <item x="289"/>
        <item x="255"/>
        <item x="166"/>
        <item x="220"/>
        <item x="314"/>
        <item x="346"/>
        <item x="180"/>
        <item x="21"/>
        <item x="8"/>
        <item x="172"/>
        <item x="43"/>
        <item x="27"/>
        <item x="250"/>
        <item x="253"/>
        <item x="168"/>
        <item x="334"/>
        <item x="247"/>
        <item x="200"/>
        <item x="171"/>
        <item x="186"/>
        <item x="189"/>
        <item x="195"/>
        <item x="65"/>
        <item x="87"/>
        <item x="190"/>
        <item x="52"/>
        <item x="284"/>
        <item x="149"/>
        <item x="218"/>
        <item x="336"/>
        <item x="278"/>
        <item x="187"/>
        <item x="287"/>
        <item x="64"/>
        <item x="207"/>
        <item x="25"/>
        <item x="183"/>
        <item x="227"/>
        <item x="107"/>
        <item x="122"/>
        <item x="337"/>
        <item x="329"/>
        <item x="0"/>
        <item x="71"/>
        <item x="93"/>
        <item x="163"/>
        <item x="85"/>
        <item x="307"/>
        <item x="135"/>
        <item x="283"/>
        <item x="275"/>
        <item x="33"/>
        <item x="310"/>
        <item x="90"/>
        <item x="215"/>
        <item x="37"/>
        <item x="244"/>
        <item x="330"/>
        <item x="97"/>
        <item x="69"/>
        <item x="194"/>
        <item x="296"/>
        <item x="155"/>
        <item x="304"/>
        <item x="162"/>
        <item x="242"/>
        <item x="232"/>
        <item x="58"/>
        <item x="197"/>
        <item x="246"/>
        <item x="318"/>
        <item x="331"/>
        <item x="178"/>
        <item x="313"/>
        <item x="96"/>
        <item x="184"/>
        <item x="100"/>
        <item x="344"/>
        <item x="290"/>
        <item x="261"/>
        <item x="44"/>
        <item x="94"/>
        <item x="152"/>
        <item x="182"/>
        <item x="51"/>
        <item x="174"/>
        <item x="288"/>
        <item x="22"/>
        <item x="12"/>
        <item x="235"/>
        <item x="177"/>
        <item x="230"/>
        <item x="116"/>
        <item x="49"/>
        <item x="144"/>
        <item x="338"/>
        <item x="119"/>
        <item x="42"/>
        <item x="176"/>
        <item x="147"/>
        <item x="82"/>
        <item x="306"/>
        <item x="148"/>
        <item x="3"/>
        <item x="111"/>
        <item x="102"/>
        <item x="219"/>
        <item x="301"/>
        <item x="26"/>
        <item x="205"/>
        <item x="117"/>
        <item x="30"/>
        <item x="271"/>
        <item x="84"/>
        <item x="223"/>
        <item x="270"/>
        <item x="108"/>
        <item x="88"/>
        <item x="68"/>
        <item x="269"/>
        <item x="105"/>
        <item x="292"/>
        <item x="221"/>
        <item x="206"/>
        <item x="281"/>
        <item x="345"/>
        <item x="267"/>
        <item x="34"/>
        <item x="92"/>
        <item x="19"/>
        <item x="9"/>
        <item x="350"/>
        <item x="138"/>
        <item x="214"/>
        <item x="295"/>
        <item x="311"/>
        <item x="45"/>
        <item x="349"/>
        <item x="112"/>
        <item x="249"/>
        <item x="352"/>
        <item x="335"/>
        <item x="225"/>
        <item x="268"/>
        <item x="316"/>
        <item x="185"/>
        <item x="325"/>
        <item x="86"/>
        <item t="default"/>
      </items>
    </pivotField>
    <pivotField showAll="0"/>
  </pivotFields>
  <rowFields count="2">
    <field x="4"/>
    <field x="6"/>
  </rowFields>
  <rowItems count="25">
    <i>
      <x/>
    </i>
    <i r="1">
      <x/>
    </i>
    <i r="1">
      <x v="1"/>
    </i>
    <i r="1">
      <x v="2"/>
    </i>
    <i r="1">
      <x v="3"/>
    </i>
    <i r="1">
      <x v="4"/>
    </i>
    <i r="1">
      <x v="5"/>
    </i>
    <i r="1">
      <x v="6"/>
    </i>
    <i>
      <x v="1"/>
    </i>
    <i r="1">
      <x/>
    </i>
    <i r="1">
      <x v="1"/>
    </i>
    <i r="1">
      <x v="2"/>
    </i>
    <i r="1">
      <x v="3"/>
    </i>
    <i r="1">
      <x v="4"/>
    </i>
    <i r="1">
      <x v="5"/>
    </i>
    <i r="1">
      <x v="6"/>
    </i>
    <i>
      <x v="2"/>
    </i>
    <i r="1">
      <x/>
    </i>
    <i r="1">
      <x v="1"/>
    </i>
    <i r="1">
      <x v="2"/>
    </i>
    <i r="1">
      <x v="3"/>
    </i>
    <i r="1">
      <x v="4"/>
    </i>
    <i r="1">
      <x v="5"/>
    </i>
    <i r="1">
      <x v="6"/>
    </i>
    <i t="grand">
      <x/>
    </i>
  </rowItems>
  <colFields count="1">
    <field x="-2"/>
  </colFields>
  <colItems count="2">
    <i>
      <x/>
    </i>
    <i i="1">
      <x v="1"/>
    </i>
  </colItems>
  <dataFields count="2">
    <dataField name="Average of Amount ($)" fld="9" subtotal="average" baseField="4" baseItem="0"/>
    <dataField name="Sum of Quantity" fld="7" baseField="0" baseItem="0"/>
  </dataFields>
  <chartFormats count="8">
    <chartFormat chart="22" format="0" series="1">
      <pivotArea type="data" outline="0" fieldPosition="0">
        <references count="1">
          <reference field="4294967294" count="1" selected="0">
            <x v="0"/>
          </reference>
        </references>
      </pivotArea>
    </chartFormat>
    <chartFormat chart="22" format="1" series="1">
      <pivotArea type="data" outline="0" fieldPosition="0">
        <references count="1">
          <reference field="4294967294" count="1" selected="0">
            <x v="1"/>
          </reference>
        </references>
      </pivotArea>
    </chartFormat>
    <chartFormat chart="25" format="2" series="1">
      <pivotArea type="data" outline="0" fieldPosition="0">
        <references count="1">
          <reference field="4294967294" count="1" selected="0">
            <x v="0"/>
          </reference>
        </references>
      </pivotArea>
    </chartFormat>
    <chartFormat chart="25" format="3" series="1">
      <pivotArea type="data" outline="0" fieldPosition="0">
        <references count="1">
          <reference field="4294967294" count="1" selected="0">
            <x v="1"/>
          </reference>
        </references>
      </pivotArea>
    </chartFormat>
    <chartFormat chart="26" format="4"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1"/>
          </reference>
        </references>
      </pivotArea>
    </chartFormat>
    <chartFormat chart="24" format="6" series="1">
      <pivotArea type="data" outline="0" fieldPosition="0">
        <references count="1">
          <reference field="4294967294" count="1" selected="0">
            <x v="0"/>
          </reference>
        </references>
      </pivotArea>
    </chartFormat>
    <chartFormat chart="24"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2">
    <filter fld="7" type="captionGreaterThan" evalOrder="-1" id="2" stringValue1="3">
      <autoFilter ref="A1">
        <filterColumn colId="0">
          <customFilters>
            <customFilter operator="greaterThan" val="3"/>
          </customFilters>
        </filterColumn>
      </autoFilter>
    </filter>
    <filter fld="9" type="captionGreaterThan" evalOrder="-1" id="1" stringValue1="547.0342">
      <autoFilter ref="A1">
        <filterColumn colId="0">
          <customFilters>
            <customFilter operator="greaterThan" val="547.03420000000006"/>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D21205F-139E-4B62-89E4-5D67CC23C23D}" name="PivotTable7"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N6:P14" firstHeaderRow="0" firstDataRow="1" firstDataCol="1"/>
  <pivotFields count="11">
    <pivotField numFmtId="14" showAll="0"/>
    <pivotField showAll="0"/>
    <pivotField showAll="0"/>
    <pivotField axis="axisRow" showAll="0">
      <items count="8">
        <item x="1"/>
        <item x="0"/>
        <item x="3"/>
        <item x="4"/>
        <item x="2"/>
        <item x="6"/>
        <item x="5"/>
        <item t="default"/>
      </items>
    </pivotField>
    <pivotField showAll="0"/>
    <pivotField showAll="0"/>
    <pivotField showAll="0"/>
    <pivotField showAll="0"/>
    <pivotField numFmtId="164" showAll="0"/>
    <pivotField dataField="1" numFmtId="165" showAll="0">
      <items count="317">
        <item x="41"/>
        <item x="52"/>
        <item x="42"/>
        <item x="199"/>
        <item x="77"/>
        <item x="226"/>
        <item x="219"/>
        <item x="58"/>
        <item x="1"/>
        <item x="155"/>
        <item x="262"/>
        <item x="290"/>
        <item x="2"/>
        <item x="306"/>
        <item x="200"/>
        <item x="248"/>
        <item x="30"/>
        <item x="167"/>
        <item x="78"/>
        <item x="221"/>
        <item x="90"/>
        <item x="120"/>
        <item x="303"/>
        <item x="261"/>
        <item x="164"/>
        <item x="67"/>
        <item x="61"/>
        <item x="286"/>
        <item x="175"/>
        <item x="103"/>
        <item x="133"/>
        <item x="265"/>
        <item x="127"/>
        <item x="156"/>
        <item x="283"/>
        <item x="132"/>
        <item x="171"/>
        <item x="239"/>
        <item x="10"/>
        <item x="284"/>
        <item x="109"/>
        <item x="159"/>
        <item x="37"/>
        <item x="162"/>
        <item x="229"/>
        <item x="102"/>
        <item x="121"/>
        <item x="23"/>
        <item x="17"/>
        <item x="97"/>
        <item x="35"/>
        <item x="113"/>
        <item x="285"/>
        <item x="243"/>
        <item x="220"/>
        <item x="62"/>
        <item x="310"/>
        <item x="16"/>
        <item x="88"/>
        <item x="194"/>
        <item x="225"/>
        <item x="174"/>
        <item x="179"/>
        <item x="136"/>
        <item x="108"/>
        <item x="206"/>
        <item x="33"/>
        <item x="36"/>
        <item x="257"/>
        <item x="191"/>
        <item x="83"/>
        <item x="187"/>
        <item x="24"/>
        <item x="202"/>
        <item x="245"/>
        <item x="89"/>
        <item x="94"/>
        <item x="122"/>
        <item x="105"/>
        <item x="272"/>
        <item x="84"/>
        <item x="271"/>
        <item x="295"/>
        <item x="154"/>
        <item x="296"/>
        <item x="215"/>
        <item x="40"/>
        <item x="278"/>
        <item x="289"/>
        <item x="26"/>
        <item x="86"/>
        <item x="100"/>
        <item x="222"/>
        <item x="11"/>
        <item x="305"/>
        <item x="304"/>
        <item x="76"/>
        <item x="201"/>
        <item x="54"/>
        <item x="69"/>
        <item x="287"/>
        <item x="38"/>
        <item x="236"/>
        <item x="44"/>
        <item x="268"/>
        <item x="302"/>
        <item x="99"/>
        <item x="242"/>
        <item x="166"/>
        <item x="228"/>
        <item x="223"/>
        <item x="180"/>
        <item x="176"/>
        <item x="314"/>
        <item x="172"/>
        <item x="106"/>
        <item x="93"/>
        <item x="119"/>
        <item x="197"/>
        <item x="128"/>
        <item x="18"/>
        <item x="138"/>
        <item x="124"/>
        <item x="64"/>
        <item x="275"/>
        <item x="217"/>
        <item x="104"/>
        <item x="20"/>
        <item x="144"/>
        <item x="46"/>
        <item x="13"/>
        <item x="96"/>
        <item x="240"/>
        <item x="165"/>
        <item x="280"/>
        <item x="25"/>
        <item x="4"/>
        <item x="19"/>
        <item x="214"/>
        <item x="260"/>
        <item x="161"/>
        <item x="254"/>
        <item x="189"/>
        <item x="151"/>
        <item x="227"/>
        <item x="114"/>
        <item x="311"/>
        <item x="192"/>
        <item x="196"/>
        <item x="249"/>
        <item x="185"/>
        <item x="203"/>
        <item x="237"/>
        <item x="66"/>
        <item x="266"/>
        <item x="263"/>
        <item x="173"/>
        <item x="9"/>
        <item x="116"/>
        <item x="142"/>
        <item x="43"/>
        <item x="91"/>
        <item x="72"/>
        <item x="204"/>
        <item x="291"/>
        <item x="92"/>
        <item x="22"/>
        <item x="81"/>
        <item x="211"/>
        <item x="235"/>
        <item x="282"/>
        <item x="29"/>
        <item x="3"/>
        <item x="73"/>
        <item x="87"/>
        <item x="208"/>
        <item x="130"/>
        <item x="95"/>
        <item x="256"/>
        <item x="39"/>
        <item x="117"/>
        <item x="123"/>
        <item x="252"/>
        <item x="218"/>
        <item x="129"/>
        <item x="183"/>
        <item x="277"/>
        <item x="309"/>
        <item x="143"/>
        <item x="135"/>
        <item x="6"/>
        <item x="213"/>
        <item x="216"/>
        <item x="131"/>
        <item x="297"/>
        <item x="210"/>
        <item x="163"/>
        <item x="134"/>
        <item x="149"/>
        <item x="152"/>
        <item x="158"/>
        <item x="28"/>
        <item x="50"/>
        <item x="153"/>
        <item x="15"/>
        <item x="247"/>
        <item x="112"/>
        <item x="181"/>
        <item x="299"/>
        <item x="241"/>
        <item x="150"/>
        <item x="250"/>
        <item x="27"/>
        <item x="170"/>
        <item x="146"/>
        <item x="190"/>
        <item x="70"/>
        <item x="85"/>
        <item x="300"/>
        <item x="292"/>
        <item x="0"/>
        <item x="34"/>
        <item x="56"/>
        <item x="126"/>
        <item x="48"/>
        <item x="270"/>
        <item x="98"/>
        <item x="246"/>
        <item x="238"/>
        <item x="273"/>
        <item x="53"/>
        <item x="178"/>
        <item x="207"/>
        <item x="293"/>
        <item x="60"/>
        <item x="32"/>
        <item x="157"/>
        <item x="259"/>
        <item x="118"/>
        <item x="267"/>
        <item x="125"/>
        <item x="205"/>
        <item x="195"/>
        <item x="21"/>
        <item x="160"/>
        <item x="209"/>
        <item x="281"/>
        <item x="294"/>
        <item x="141"/>
        <item x="276"/>
        <item x="59"/>
        <item x="147"/>
        <item x="63"/>
        <item x="307"/>
        <item x="253"/>
        <item x="224"/>
        <item x="7"/>
        <item x="57"/>
        <item x="115"/>
        <item x="145"/>
        <item x="14"/>
        <item x="137"/>
        <item x="251"/>
        <item x="198"/>
        <item x="140"/>
        <item x="193"/>
        <item x="79"/>
        <item x="12"/>
        <item x="107"/>
        <item x="301"/>
        <item x="82"/>
        <item x="5"/>
        <item x="139"/>
        <item x="110"/>
        <item x="45"/>
        <item x="269"/>
        <item x="111"/>
        <item x="74"/>
        <item x="65"/>
        <item x="182"/>
        <item x="264"/>
        <item x="168"/>
        <item x="80"/>
        <item x="234"/>
        <item x="47"/>
        <item x="186"/>
        <item x="233"/>
        <item x="71"/>
        <item x="51"/>
        <item x="31"/>
        <item x="232"/>
        <item x="68"/>
        <item x="255"/>
        <item x="184"/>
        <item x="169"/>
        <item x="244"/>
        <item x="308"/>
        <item x="230"/>
        <item x="55"/>
        <item x="313"/>
        <item x="101"/>
        <item x="177"/>
        <item x="258"/>
        <item x="274"/>
        <item x="8"/>
        <item x="312"/>
        <item x="75"/>
        <item x="212"/>
        <item x="315"/>
        <item x="298"/>
        <item x="188"/>
        <item x="231"/>
        <item x="279"/>
        <item x="148"/>
        <item x="288"/>
        <item x="49"/>
        <item t="default"/>
      </items>
    </pivotField>
    <pivotField showAll="0"/>
  </pivotFields>
  <rowFields count="1">
    <field x="3"/>
  </rowFields>
  <rowItems count="8">
    <i>
      <x/>
    </i>
    <i>
      <x v="1"/>
    </i>
    <i>
      <x v="2"/>
    </i>
    <i>
      <x v="3"/>
    </i>
    <i>
      <x v="4"/>
    </i>
    <i>
      <x v="5"/>
    </i>
    <i>
      <x v="6"/>
    </i>
    <i t="grand">
      <x/>
    </i>
  </rowItems>
  <colFields count="1">
    <field x="-2"/>
  </colFields>
  <colItems count="2">
    <i>
      <x/>
    </i>
    <i i="1">
      <x v="1"/>
    </i>
  </colItems>
  <dataFields count="2">
    <dataField name="Sum of Amount ($)" fld="9" baseField="3" baseItem="0">
      <extLst>
        <ext xmlns:x14="http://schemas.microsoft.com/office/spreadsheetml/2009/9/main" uri="{E15A36E0-9728-4e99-A89B-3F7291B0FE68}">
          <x14:dataField pivotShowAs="rankDescending"/>
        </ext>
      </extLst>
    </dataField>
    <dataField name="Sum of Amount ($)2"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231EEAF-F495-4CD4-BB1F-4FE7EDCD510F}" name="PivotTable2"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O8:R18" firstHeaderRow="1" firstDataRow="2" firstDataCol="1"/>
  <pivotFields count="12">
    <pivotField numFmtId="14" showAll="0"/>
    <pivotField axis="axisRow" showAll="0">
      <items count="9">
        <item x="6"/>
        <item x="5"/>
        <item x="2"/>
        <item x="1"/>
        <item x="0"/>
        <item x="4"/>
        <item x="3"/>
        <item x="7"/>
        <item t="default"/>
      </items>
    </pivotField>
    <pivotField showAll="0"/>
    <pivotField showAll="0"/>
    <pivotField showAll="0"/>
    <pivotField showAll="0"/>
    <pivotField axis="axisCol" showAll="0">
      <items count="5">
        <item h="1" x="2"/>
        <item x="0"/>
        <item h="1" x="1"/>
        <item x="3"/>
        <item t="default"/>
      </items>
    </pivotField>
    <pivotField showAll="0"/>
    <pivotField showAll="0"/>
    <pivotField showAll="0"/>
    <pivotField dataField="1" showAll="0"/>
    <pivotField showAll="0"/>
  </pivotFields>
  <rowFields count="1">
    <field x="1"/>
  </rowFields>
  <rowItems count="9">
    <i>
      <x/>
    </i>
    <i>
      <x v="1"/>
    </i>
    <i>
      <x v="2"/>
    </i>
    <i>
      <x v="3"/>
    </i>
    <i>
      <x v="4"/>
    </i>
    <i>
      <x v="5"/>
    </i>
    <i>
      <x v="6"/>
    </i>
    <i>
      <x v="7"/>
    </i>
    <i t="grand">
      <x/>
    </i>
  </rowItems>
  <colFields count="1">
    <field x="6"/>
  </colFields>
  <colItems count="3">
    <i>
      <x v="1"/>
    </i>
    <i>
      <x v="3"/>
    </i>
    <i t="grand">
      <x/>
    </i>
  </colItems>
  <dataFields count="1">
    <dataField name="Sum of Amount ($)"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D837955-DA69-4413-A763-95F9447AC6A9}" name="PivotTable3"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N4:O37" firstHeaderRow="1" firstDataRow="1" firstDataCol="1"/>
  <pivotFields count="11">
    <pivotField numFmtId="14" showAll="0"/>
    <pivotField showAll="0"/>
    <pivotField showAll="0"/>
    <pivotField showAll="0"/>
    <pivotField showAll="0"/>
    <pivotField showAll="0"/>
    <pivotField axis="axisRow" showAll="0">
      <items count="8">
        <item x="1"/>
        <item x="5"/>
        <item x="4"/>
        <item x="3"/>
        <item x="0"/>
        <item x="2"/>
        <item x="6"/>
        <item t="default"/>
      </items>
    </pivotField>
    <pivotField showAll="0"/>
    <pivotField showAll="0"/>
    <pivotField dataField="1" showAll="0">
      <items count="317">
        <item x="41"/>
        <item x="52"/>
        <item x="42"/>
        <item x="199"/>
        <item x="77"/>
        <item x="226"/>
        <item x="219"/>
        <item x="58"/>
        <item x="1"/>
        <item x="155"/>
        <item x="262"/>
        <item x="290"/>
        <item x="2"/>
        <item x="306"/>
        <item x="200"/>
        <item x="248"/>
        <item x="30"/>
        <item x="167"/>
        <item x="78"/>
        <item x="221"/>
        <item x="90"/>
        <item x="120"/>
        <item x="303"/>
        <item x="261"/>
        <item x="164"/>
        <item x="67"/>
        <item x="61"/>
        <item x="286"/>
        <item x="175"/>
        <item x="103"/>
        <item x="133"/>
        <item x="265"/>
        <item x="127"/>
        <item x="156"/>
        <item x="283"/>
        <item x="132"/>
        <item x="171"/>
        <item x="239"/>
        <item x="10"/>
        <item x="284"/>
        <item x="109"/>
        <item x="159"/>
        <item x="37"/>
        <item x="162"/>
        <item x="229"/>
        <item x="102"/>
        <item x="121"/>
        <item x="23"/>
        <item x="17"/>
        <item x="97"/>
        <item x="35"/>
        <item x="113"/>
        <item x="285"/>
        <item x="243"/>
        <item x="220"/>
        <item x="62"/>
        <item x="310"/>
        <item x="16"/>
        <item x="88"/>
        <item x="194"/>
        <item x="225"/>
        <item x="174"/>
        <item x="179"/>
        <item x="136"/>
        <item x="108"/>
        <item x="206"/>
        <item x="33"/>
        <item x="36"/>
        <item x="257"/>
        <item x="191"/>
        <item x="83"/>
        <item x="187"/>
        <item x="24"/>
        <item x="202"/>
        <item x="245"/>
        <item x="89"/>
        <item x="94"/>
        <item x="122"/>
        <item x="105"/>
        <item x="272"/>
        <item x="84"/>
        <item x="271"/>
        <item x="295"/>
        <item x="154"/>
        <item x="296"/>
        <item x="215"/>
        <item x="40"/>
        <item x="278"/>
        <item x="289"/>
        <item x="26"/>
        <item x="86"/>
        <item x="100"/>
        <item x="222"/>
        <item x="11"/>
        <item x="305"/>
        <item x="304"/>
        <item x="76"/>
        <item x="201"/>
        <item x="54"/>
        <item x="69"/>
        <item x="287"/>
        <item x="38"/>
        <item x="236"/>
        <item x="44"/>
        <item x="268"/>
        <item x="302"/>
        <item x="99"/>
        <item x="242"/>
        <item x="166"/>
        <item x="228"/>
        <item x="223"/>
        <item x="180"/>
        <item x="176"/>
        <item x="314"/>
        <item x="172"/>
        <item x="106"/>
        <item x="93"/>
        <item x="119"/>
        <item x="197"/>
        <item x="128"/>
        <item x="18"/>
        <item x="138"/>
        <item x="124"/>
        <item x="64"/>
        <item x="275"/>
        <item x="217"/>
        <item x="104"/>
        <item x="20"/>
        <item x="144"/>
        <item x="46"/>
        <item x="13"/>
        <item x="96"/>
        <item x="240"/>
        <item x="165"/>
        <item x="280"/>
        <item x="25"/>
        <item x="4"/>
        <item x="19"/>
        <item x="214"/>
        <item x="260"/>
        <item x="161"/>
        <item x="254"/>
        <item x="189"/>
        <item x="151"/>
        <item x="227"/>
        <item x="114"/>
        <item x="311"/>
        <item x="192"/>
        <item x="196"/>
        <item x="249"/>
        <item x="185"/>
        <item x="203"/>
        <item x="237"/>
        <item x="66"/>
        <item x="266"/>
        <item x="263"/>
        <item x="173"/>
        <item x="9"/>
        <item x="116"/>
        <item x="142"/>
        <item x="43"/>
        <item x="91"/>
        <item x="72"/>
        <item x="204"/>
        <item x="291"/>
        <item x="92"/>
        <item x="22"/>
        <item x="81"/>
        <item x="211"/>
        <item x="235"/>
        <item x="282"/>
        <item x="29"/>
        <item x="3"/>
        <item x="73"/>
        <item x="87"/>
        <item x="208"/>
        <item x="130"/>
        <item x="95"/>
        <item x="256"/>
        <item x="39"/>
        <item x="117"/>
        <item x="123"/>
        <item x="252"/>
        <item x="218"/>
        <item x="129"/>
        <item x="183"/>
        <item x="277"/>
        <item x="309"/>
        <item x="143"/>
        <item x="135"/>
        <item x="6"/>
        <item x="213"/>
        <item x="216"/>
        <item x="131"/>
        <item x="297"/>
        <item x="210"/>
        <item x="163"/>
        <item x="134"/>
        <item x="149"/>
        <item x="152"/>
        <item x="158"/>
        <item x="28"/>
        <item x="50"/>
        <item x="153"/>
        <item x="15"/>
        <item x="247"/>
        <item x="112"/>
        <item x="181"/>
        <item x="299"/>
        <item x="241"/>
        <item x="150"/>
        <item x="250"/>
        <item x="27"/>
        <item x="170"/>
        <item x="146"/>
        <item x="190"/>
        <item x="70"/>
        <item x="85"/>
        <item x="300"/>
        <item x="292"/>
        <item x="0"/>
        <item x="34"/>
        <item x="56"/>
        <item x="126"/>
        <item x="48"/>
        <item x="270"/>
        <item x="98"/>
        <item x="246"/>
        <item x="238"/>
        <item x="273"/>
        <item x="53"/>
        <item x="178"/>
        <item x="207"/>
        <item x="293"/>
        <item x="60"/>
        <item x="32"/>
        <item x="157"/>
        <item x="259"/>
        <item x="118"/>
        <item x="267"/>
        <item x="125"/>
        <item x="205"/>
        <item x="195"/>
        <item x="21"/>
        <item x="160"/>
        <item x="209"/>
        <item x="281"/>
        <item x="294"/>
        <item x="141"/>
        <item x="276"/>
        <item x="59"/>
        <item x="147"/>
        <item x="63"/>
        <item x="307"/>
        <item x="253"/>
        <item x="224"/>
        <item x="7"/>
        <item x="57"/>
        <item x="115"/>
        <item x="145"/>
        <item x="14"/>
        <item x="137"/>
        <item x="251"/>
        <item x="198"/>
        <item x="140"/>
        <item x="193"/>
        <item x="79"/>
        <item x="12"/>
        <item x="107"/>
        <item x="301"/>
        <item x="82"/>
        <item x="5"/>
        <item x="139"/>
        <item x="110"/>
        <item x="45"/>
        <item x="269"/>
        <item x="111"/>
        <item x="74"/>
        <item x="65"/>
        <item x="182"/>
        <item x="264"/>
        <item x="168"/>
        <item x="80"/>
        <item x="234"/>
        <item x="47"/>
        <item x="186"/>
        <item x="233"/>
        <item x="71"/>
        <item x="51"/>
        <item x="31"/>
        <item x="232"/>
        <item x="68"/>
        <item x="255"/>
        <item x="184"/>
        <item x="169"/>
        <item x="244"/>
        <item x="308"/>
        <item x="230"/>
        <item x="55"/>
        <item x="313"/>
        <item x="101"/>
        <item x="177"/>
        <item x="258"/>
        <item x="274"/>
        <item x="8"/>
        <item x="312"/>
        <item x="75"/>
        <item x="212"/>
        <item x="315"/>
        <item x="298"/>
        <item x="188"/>
        <item x="231"/>
        <item x="279"/>
        <item x="148"/>
        <item x="288"/>
        <item x="49"/>
        <item t="default"/>
      </items>
    </pivotField>
    <pivotField axis="axisRow" showAll="0" sortType="ascending">
      <items count="5">
        <item x="0"/>
        <item x="2"/>
        <item x="1"/>
        <item x="3"/>
        <item t="default"/>
      </items>
    </pivotField>
  </pivotFields>
  <rowFields count="2">
    <field x="10"/>
    <field x="6"/>
  </rowFields>
  <rowItems count="33">
    <i>
      <x/>
    </i>
    <i r="1">
      <x/>
    </i>
    <i r="1">
      <x v="1"/>
    </i>
    <i r="1">
      <x v="2"/>
    </i>
    <i r="1">
      <x v="3"/>
    </i>
    <i r="1">
      <x v="4"/>
    </i>
    <i r="1">
      <x v="5"/>
    </i>
    <i r="1">
      <x v="6"/>
    </i>
    <i>
      <x v="1"/>
    </i>
    <i r="1">
      <x/>
    </i>
    <i r="1">
      <x v="1"/>
    </i>
    <i r="1">
      <x v="2"/>
    </i>
    <i r="1">
      <x v="3"/>
    </i>
    <i r="1">
      <x v="4"/>
    </i>
    <i r="1">
      <x v="5"/>
    </i>
    <i r="1">
      <x v="6"/>
    </i>
    <i>
      <x v="2"/>
    </i>
    <i r="1">
      <x/>
    </i>
    <i r="1">
      <x v="1"/>
    </i>
    <i r="1">
      <x v="2"/>
    </i>
    <i r="1">
      <x v="3"/>
    </i>
    <i r="1">
      <x v="4"/>
    </i>
    <i r="1">
      <x v="5"/>
    </i>
    <i r="1">
      <x v="6"/>
    </i>
    <i>
      <x v="3"/>
    </i>
    <i r="1">
      <x/>
    </i>
    <i r="1">
      <x v="1"/>
    </i>
    <i r="1">
      <x v="2"/>
    </i>
    <i r="1">
      <x v="3"/>
    </i>
    <i r="1">
      <x v="4"/>
    </i>
    <i r="1">
      <x v="5"/>
    </i>
    <i r="1">
      <x v="6"/>
    </i>
    <i t="grand">
      <x/>
    </i>
  </rowItems>
  <colItems count="1">
    <i/>
  </colItems>
  <dataFields count="1">
    <dataField name="Sum of Amount ($)" fld="9" baseField="0" baseItem="0"/>
  </dataFields>
  <formats count="3">
    <format dxfId="12">
      <pivotArea dataOnly="0" fieldPosition="0">
        <references count="1">
          <reference field="10" count="1">
            <x v="3"/>
          </reference>
        </references>
      </pivotArea>
    </format>
    <format dxfId="11">
      <pivotArea collapsedLevelsAreSubtotals="1" fieldPosition="0">
        <references count="2">
          <reference field="6" count="1">
            <x v="1"/>
          </reference>
          <reference field="10" count="1" selected="0">
            <x v="3"/>
          </reference>
        </references>
      </pivotArea>
    </format>
    <format dxfId="10">
      <pivotArea dataOnly="0" labelOnly="1" fieldPosition="0">
        <references count="2">
          <reference field="6" count="1">
            <x v="1"/>
          </reference>
          <reference field="10"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89B752D-EB4A-4814-9A52-E09DD5178341}" name="PivotTable4"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3">
  <location ref="N4:P15" firstHeaderRow="0" firstDataRow="1" firstDataCol="1"/>
  <pivotFields count="11">
    <pivotField numFmtId="14" showAll="0"/>
    <pivotField axis="axisRow" showAll="0">
      <items count="11">
        <item x="4"/>
        <item x="0"/>
        <item x="6"/>
        <item x="3"/>
        <item x="8"/>
        <item x="5"/>
        <item x="2"/>
        <item x="9"/>
        <item x="7"/>
        <item x="1"/>
        <item t="default"/>
      </items>
    </pivotField>
    <pivotField showAll="0"/>
    <pivotField showAll="0"/>
    <pivotField showAll="0"/>
    <pivotField showAll="0"/>
    <pivotField showAll="0"/>
    <pivotField dataField="1" showAll="0">
      <items count="6">
        <item x="1"/>
        <item x="3"/>
        <item x="4"/>
        <item x="2"/>
        <item x="0"/>
        <item t="default"/>
      </items>
    </pivotField>
    <pivotField dataField="1" showAll="0"/>
    <pivotField showAll="0"/>
    <pivotField showAll="0"/>
  </pivotFields>
  <rowFields count="1">
    <field x="1"/>
  </rowFields>
  <rowItems count="11">
    <i>
      <x/>
    </i>
    <i>
      <x v="1"/>
    </i>
    <i>
      <x v="2"/>
    </i>
    <i>
      <x v="3"/>
    </i>
    <i>
      <x v="4"/>
    </i>
    <i>
      <x v="5"/>
    </i>
    <i>
      <x v="6"/>
    </i>
    <i>
      <x v="7"/>
    </i>
    <i>
      <x v="8"/>
    </i>
    <i>
      <x v="9"/>
    </i>
    <i t="grand">
      <x/>
    </i>
  </rowItems>
  <colFields count="1">
    <field x="-2"/>
  </colFields>
  <colItems count="2">
    <i>
      <x/>
    </i>
    <i i="1">
      <x v="1"/>
    </i>
  </colItems>
  <dataFields count="2">
    <dataField name="Sum of Quantity" fld="7" baseField="0" baseItem="0"/>
    <dataField name="Average of Unit Price ($)" fld="8" subtotal="average" baseField="1" baseItem="0"/>
  </dataFields>
  <formats count="7">
    <format dxfId="8">
      <pivotArea collapsedLevelsAreSubtotals="1" fieldPosition="0">
        <references count="2">
          <reference field="4294967294" count="1" selected="0">
            <x v="0"/>
          </reference>
          <reference field="1" count="1">
            <x v="3"/>
          </reference>
        </references>
      </pivotArea>
    </format>
    <format dxfId="7">
      <pivotArea collapsedLevelsAreSubtotals="1" fieldPosition="0">
        <references count="2">
          <reference field="4294967294" count="1" selected="0">
            <x v="0"/>
          </reference>
          <reference field="1" count="1">
            <x v="1"/>
          </reference>
        </references>
      </pivotArea>
    </format>
    <format dxfId="6">
      <pivotArea collapsedLevelsAreSubtotals="1" fieldPosition="0">
        <references count="2">
          <reference field="4294967294" count="1" selected="0">
            <x v="1"/>
          </reference>
          <reference field="1" count="1">
            <x v="1"/>
          </reference>
        </references>
      </pivotArea>
    </format>
    <format dxfId="5">
      <pivotArea collapsedLevelsAreSubtotals="1" fieldPosition="0">
        <references count="2">
          <reference field="4294967294" count="1" selected="0">
            <x v="1"/>
          </reference>
          <reference field="1" count="1">
            <x v="3"/>
          </reference>
        </references>
      </pivotArea>
    </format>
    <format dxfId="4">
      <pivotArea dataOnly="0" labelOnly="1" fieldPosition="0">
        <references count="1">
          <reference field="1" count="1">
            <x v="3"/>
          </reference>
        </references>
      </pivotArea>
    </format>
    <format dxfId="3">
      <pivotArea dataOnly="0" labelOnly="1" fieldPosition="0">
        <references count="1">
          <reference field="1" count="1">
            <x v="1"/>
          </reference>
        </references>
      </pivotArea>
    </format>
    <format dxfId="2">
      <pivotArea collapsedLevelsAreSubtotals="1" fieldPosition="0">
        <references count="2">
          <reference field="4294967294" count="1" selected="0">
            <x v="1"/>
          </reference>
          <reference field="1" count="1">
            <x v="9"/>
          </reference>
        </references>
      </pivotArea>
    </format>
  </formats>
  <chartFormats count="2">
    <chartFormat chart="12" format="4"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7047518-DF52-4AA7-BCE4-D73123D43D80}" name="PivotTable5"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N4:P87" firstHeaderRow="1" firstDataRow="2" firstDataCol="1"/>
  <pivotFields count="12">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axis="axisCol" showAll="0">
      <items count="5">
        <item x="2"/>
        <item h="1" x="0"/>
        <item h="1" x="1"/>
        <item h="1" x="3"/>
        <item t="default"/>
      </items>
    </pivotField>
    <pivotField showAll="0"/>
    <pivotField showAll="0"/>
    <pivotField showAll="0"/>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0"/>
  </rowFields>
  <rowItems count="82">
    <i>
      <x v="1"/>
    </i>
    <i>
      <x v="3"/>
    </i>
    <i>
      <x v="17"/>
    </i>
    <i>
      <x v="18"/>
    </i>
    <i>
      <x v="22"/>
    </i>
    <i>
      <x v="29"/>
    </i>
    <i>
      <x v="32"/>
    </i>
    <i>
      <x v="34"/>
    </i>
    <i>
      <x v="38"/>
    </i>
    <i>
      <x v="39"/>
    </i>
    <i>
      <x v="41"/>
    </i>
    <i>
      <x v="43"/>
    </i>
    <i>
      <x v="44"/>
    </i>
    <i>
      <x v="45"/>
    </i>
    <i>
      <x v="56"/>
    </i>
    <i>
      <x v="58"/>
    </i>
    <i>
      <x v="59"/>
    </i>
    <i>
      <x v="62"/>
    </i>
    <i>
      <x v="66"/>
    </i>
    <i>
      <x v="69"/>
    </i>
    <i>
      <x v="72"/>
    </i>
    <i>
      <x v="73"/>
    </i>
    <i>
      <x v="74"/>
    </i>
    <i>
      <x v="75"/>
    </i>
    <i>
      <x v="76"/>
    </i>
    <i>
      <x v="78"/>
    </i>
    <i>
      <x v="83"/>
    </i>
    <i>
      <x v="93"/>
    </i>
    <i>
      <x v="94"/>
    </i>
    <i>
      <x v="95"/>
    </i>
    <i>
      <x v="97"/>
    </i>
    <i>
      <x v="98"/>
    </i>
    <i>
      <x v="99"/>
    </i>
    <i>
      <x v="104"/>
    </i>
    <i>
      <x v="107"/>
    </i>
    <i>
      <x v="117"/>
    </i>
    <i>
      <x v="118"/>
    </i>
    <i>
      <x v="125"/>
    </i>
    <i>
      <x v="126"/>
    </i>
    <i>
      <x v="128"/>
    </i>
    <i>
      <x v="132"/>
    </i>
    <i>
      <x v="133"/>
    </i>
    <i>
      <x v="134"/>
    </i>
    <i>
      <x v="140"/>
    </i>
    <i>
      <x v="142"/>
    </i>
    <i>
      <x v="145"/>
    </i>
    <i>
      <x v="147"/>
    </i>
    <i>
      <x v="154"/>
    </i>
    <i>
      <x v="157"/>
    </i>
    <i>
      <x v="158"/>
    </i>
    <i>
      <x v="159"/>
    </i>
    <i>
      <x v="165"/>
    </i>
    <i>
      <x v="168"/>
    </i>
    <i>
      <x v="170"/>
    </i>
    <i>
      <x v="177"/>
    </i>
    <i>
      <x v="178"/>
    </i>
    <i>
      <x v="181"/>
    </i>
    <i>
      <x v="182"/>
    </i>
    <i>
      <x v="184"/>
    </i>
    <i>
      <x v="185"/>
    </i>
    <i>
      <x v="186"/>
    </i>
    <i>
      <x v="188"/>
    </i>
    <i>
      <x v="189"/>
    </i>
    <i>
      <x v="191"/>
    </i>
    <i>
      <x v="192"/>
    </i>
    <i>
      <x v="194"/>
    </i>
    <i>
      <x v="197"/>
    </i>
    <i>
      <x v="205"/>
    </i>
    <i>
      <x v="215"/>
    </i>
    <i>
      <x v="216"/>
    </i>
    <i>
      <x v="217"/>
    </i>
    <i>
      <x v="218"/>
    </i>
    <i>
      <x v="219"/>
    </i>
    <i>
      <x v="223"/>
    </i>
    <i>
      <x v="224"/>
    </i>
    <i>
      <x v="232"/>
    </i>
    <i>
      <x v="234"/>
    </i>
    <i>
      <x v="236"/>
    </i>
    <i>
      <x v="237"/>
    </i>
    <i>
      <x v="238"/>
    </i>
    <i>
      <x v="243"/>
    </i>
    <i t="grand">
      <x/>
    </i>
  </rowItems>
  <colFields count="1">
    <field x="5"/>
  </colFields>
  <colItems count="2">
    <i>
      <x/>
    </i>
    <i t="grand">
      <x/>
    </i>
  </colItems>
  <dataFields count="1">
    <dataField name="Sum of Amount ($)"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AB8CC0C4-ADC2-4814-98DD-48E03B6C90EF}" sourceName="Brand">
  <pivotTables>
    <pivotTable tabId="13" name="PivotTable1"/>
  </pivotTables>
  <data>
    <tabular pivotCacheId="1982486323">
      <items count="7">
        <i x="1"/>
        <i x="0"/>
        <i x="3"/>
        <i x="4" s="1"/>
        <i x="2"/>
        <i x="6"/>
        <i x="5"/>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3A3ED16-8466-4ED8-8E4F-B0EB89C32F1A}" sourceName="Gender">
  <pivotTables>
    <pivotTable tabId="13" name="PivotTable2"/>
  </pivotTables>
  <data>
    <tabular pivotCacheId="1982486323">
      <items count="3">
        <i x="2"/>
        <i x="0" s="1"/>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468DA034-1CCA-4308-BA6A-F087ED9A6FC3}" sourceName="Country">
  <pivotTables>
    <pivotTable tabId="13" name="PivotTable3"/>
  </pivotTables>
  <data>
    <tabular pivotCacheId="1982486323">
      <items count="7">
        <i x="1"/>
        <i x="5"/>
        <i x="4"/>
        <i x="3"/>
        <i x="0"/>
        <i x="2" s="1"/>
        <i x="6"/>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 xr10:uid="{9428AB60-BD44-4E92-BFEB-5BE8FF484656}" sourceName="Country">
  <pivotTables>
    <pivotTable tabId="13" name="PivotTable9"/>
  </pivotTables>
  <data>
    <tabular pivotCacheId="1982486323">
      <items count="7">
        <i x="1" s="1"/>
        <i x="5"/>
        <i x="4"/>
        <i x="3"/>
        <i x="0"/>
        <i x="2"/>
        <i x="6"/>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1" xr10:uid="{D32E3157-D98E-44CA-86DA-5092570E0C93}" cache="Slicer_Brand" caption="Brand" style="SlicerStyleLight6" rowHeight="241300"/>
  <slicer name="Gender" xr10:uid="{2EFD61DC-25C4-49DB-B03E-D79B65531C7A}" cache="Slicer_Gender" caption="Gender" style="SlicerStyleLight6" rowHeight="241300"/>
  <slicer name="Country" xr10:uid="{23516533-2484-435A-891C-CA39F1B9EBD1}" cache="Slicer_Country" caption="Country" style="SlicerStyleLight6" rowHeight="241300"/>
  <slicer name="Country 1" xr10:uid="{E3336859-9F83-4F0B-BE5D-79E276545341}" cache="Slicer_Country1" caption="Country" style="SlicerStyleLight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4E237DE-272D-484B-820C-7A8DC4DC84F9}" name="Table134567" displayName="Table134567" ref="A1:K317" totalsRowShown="0">
  <autoFilter ref="A1:K317" xr:uid="{00000000-0009-0000-0100-000003000000}">
    <filterColumn colId="2">
      <filters>
        <filter val="Hoodie"/>
        <filter val="Sneakers"/>
        <filter val="T-shirt"/>
      </filters>
    </filterColumn>
  </autoFilter>
  <tableColumns count="11">
    <tableColumn id="1" xr3:uid="{F6424672-B712-451B-8FAA-681E4C49D6EB}" name="Date" dataDxfId="19"/>
    <tableColumn id="2" xr3:uid="{565F4DAE-847E-48BB-91A9-1778DFC34D36}" name="Product Name"/>
    <tableColumn id="3" xr3:uid="{AB65778A-B048-43F7-9290-46320BFEE5F5}" name="Product Type"/>
    <tableColumn id="4" xr3:uid="{1B10F7EF-36E1-44E6-BED0-CA7D7A47D82B}" name="Brand"/>
    <tableColumn id="5" xr3:uid="{3D45D791-0DF7-4FC4-820B-38374C2E9D3D}" name="Gender"/>
    <tableColumn id="6" xr3:uid="{D0270A72-0034-40C6-A61A-258BC61B7480}" name="Category"/>
    <tableColumn id="7" xr3:uid="{25A2A9F5-F1D8-410F-AF7D-7B820D0432A1}" name="Country"/>
    <tableColumn id="8" xr3:uid="{9A8ACA77-029D-4F51-AFEC-EE6904E9B9E4}" name="Quantity"/>
    <tableColumn id="9" xr3:uid="{D835F268-0CF4-4677-BE6F-1B4137D89FEF}" name="Unit Price ($)"/>
    <tableColumn id="10" xr3:uid="{6BFC6A62-82A4-4743-A95B-D8A9C796E231}" name="Amount ($)"/>
    <tableColumn id="11" xr3:uid="{76567B30-D587-47CD-88FC-DDA34FC3B42A}" name="Payment Mode"/>
  </tableColumns>
  <tableStyleInfo name="TableStyleMedium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A1:K354" totalsRowShown="0">
  <autoFilter ref="A1:K354" xr:uid="{00000000-0009-0000-0100-000001000000}">
    <filterColumn colId="2">
      <filters>
        <filter val="Hoodie"/>
        <filter val="Sneakers"/>
        <filter val="T-shirt"/>
      </filters>
    </filterColumn>
  </autoFilter>
  <tableColumns count="11">
    <tableColumn id="1" xr3:uid="{00000000-0010-0000-0100-000001000000}" name="Date" dataDxfId="18"/>
    <tableColumn id="2" xr3:uid="{00000000-0010-0000-0100-000002000000}" name="Product Name"/>
    <tableColumn id="3" xr3:uid="{00000000-0010-0000-0100-000003000000}" name="Product Type"/>
    <tableColumn id="4" xr3:uid="{00000000-0010-0000-0100-000004000000}" name="Brand"/>
    <tableColumn id="5" xr3:uid="{00000000-0010-0000-0100-000005000000}" name="Gender"/>
    <tableColumn id="6" xr3:uid="{00000000-0010-0000-0100-000006000000}" name="Category"/>
    <tableColumn id="7" xr3:uid="{00000000-0010-0000-0100-000007000000}" name="Country"/>
    <tableColumn id="8" xr3:uid="{00000000-0010-0000-0100-000008000000}" name="Quantity"/>
    <tableColumn id="9" xr3:uid="{00000000-0010-0000-0100-000009000000}" name="Unit Price ($)"/>
    <tableColumn id="10" xr3:uid="{00000000-0010-0000-0100-00000A000000}" name="Amount ($)"/>
    <tableColumn id="11" xr3:uid="{00000000-0010-0000-0100-00000B000000}" name="Payment Mode"/>
  </tableColumns>
  <tableStyleInfo name="TableStyleMedium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Table13" displayName="Table13" ref="A1:K317" totalsRowShown="0">
  <autoFilter ref="A1:K317" xr:uid="{00000000-0009-0000-0100-000002000000}"/>
  <tableColumns count="11">
    <tableColumn id="1" xr3:uid="{00000000-0010-0000-0200-000001000000}" name="Date" dataDxfId="17"/>
    <tableColumn id="2" xr3:uid="{00000000-0010-0000-0200-000002000000}" name="Product Name"/>
    <tableColumn id="3" xr3:uid="{00000000-0010-0000-0200-000003000000}" name="Product Type"/>
    <tableColumn id="4" xr3:uid="{00000000-0010-0000-0200-000004000000}" name="Brand"/>
    <tableColumn id="5" xr3:uid="{00000000-0010-0000-0200-000005000000}" name="Gender"/>
    <tableColumn id="6" xr3:uid="{00000000-0010-0000-0200-000006000000}" name="Category"/>
    <tableColumn id="7" xr3:uid="{00000000-0010-0000-0200-000007000000}" name="Country"/>
    <tableColumn id="8" xr3:uid="{00000000-0010-0000-0200-000008000000}" name="Quantity"/>
    <tableColumn id="9" xr3:uid="{00000000-0010-0000-0200-000009000000}" name="Unit Price ($)" dataDxfId="16"/>
    <tableColumn id="10" xr3:uid="{00000000-0010-0000-0200-00000A000000}" name="Amount ($)" dataDxfId="15"/>
    <tableColumn id="11" xr3:uid="{00000000-0010-0000-0200-00000B000000}" name="Payment Mode"/>
  </tableColumns>
  <tableStyleInfo name="TableStyleMedium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134" displayName="Table134" ref="A1:L317" totalsRowShown="0">
  <autoFilter ref="A1:L317" xr:uid="{00000000-0009-0000-0100-000003000000}">
    <filterColumn colId="3">
      <filters>
        <filter val="Hoodie"/>
        <filter val="Sneakers"/>
        <filter val="T-shirt"/>
      </filters>
    </filterColumn>
  </autoFilter>
  <tableColumns count="12">
    <tableColumn id="1" xr3:uid="{00000000-0010-0000-0000-000001000000}" name="Date" dataDxfId="14"/>
    <tableColumn id="12" xr3:uid="{891996E8-67CE-47F6-8732-091EE3290232}" name="Monthly" dataDxfId="13">
      <calculatedColumnFormula>TEXT(Table134[Date],"mm-yyyy")</calculatedColumnFormula>
    </tableColumn>
    <tableColumn id="2" xr3:uid="{00000000-0010-0000-0000-000002000000}" name="Product Name"/>
    <tableColumn id="3" xr3:uid="{00000000-0010-0000-0000-000003000000}" name="Product Type"/>
    <tableColumn id="4" xr3:uid="{00000000-0010-0000-0000-000004000000}" name="Brand"/>
    <tableColumn id="5" xr3:uid="{00000000-0010-0000-0000-000005000000}" name="Gender"/>
    <tableColumn id="6" xr3:uid="{00000000-0010-0000-0000-000006000000}" name="Category"/>
    <tableColumn id="7" xr3:uid="{00000000-0010-0000-0000-000007000000}" name="Country"/>
    <tableColumn id="8" xr3:uid="{00000000-0010-0000-0000-000008000000}" name="Quantity"/>
    <tableColumn id="9" xr3:uid="{00000000-0010-0000-0000-000009000000}" name="Unit Price ($)"/>
    <tableColumn id="10" xr3:uid="{00000000-0010-0000-0000-00000A000000}" name="Amount ($)"/>
    <tableColumn id="11" xr3:uid="{00000000-0010-0000-0000-00000B000000}" name="Payment Mode"/>
  </tableColumns>
  <tableStyleInfo name="TableStyleMedium3"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82A60CB-7276-4BEC-8E01-8B2460F8876D}" name="Table1345" displayName="Table1345" ref="A1:K317" totalsRowShown="0">
  <autoFilter ref="A1:K317" xr:uid="{00000000-0009-0000-0100-000003000000}">
    <filterColumn colId="2">
      <filters>
        <filter val="Hoodie"/>
        <filter val="Sneakers"/>
        <filter val="T-shirt"/>
      </filters>
    </filterColumn>
  </autoFilter>
  <tableColumns count="11">
    <tableColumn id="1" xr3:uid="{7B93D32A-2000-4AEF-B84A-9186F93AB9F3}" name="Date" dataDxfId="9"/>
    <tableColumn id="2" xr3:uid="{73E3F29B-7C98-4B89-8EE6-2A0C42BDE95E}" name="Product Name"/>
    <tableColumn id="3" xr3:uid="{E3E0E05B-483D-45FB-B8CF-588D75B2DC6A}" name="Product Type"/>
    <tableColumn id="4" xr3:uid="{31DC01F8-758E-4E51-A60B-594F47A57089}" name="Brand"/>
    <tableColumn id="5" xr3:uid="{032B43BB-34D4-4AF2-9109-EF1BED35E1CF}" name="Gender"/>
    <tableColumn id="6" xr3:uid="{C2C6CD4C-7165-4FF3-A941-E8AE1CB2AF0C}" name="Category"/>
    <tableColumn id="7" xr3:uid="{7882CCFC-B03D-4EF6-B4D8-DA2EEA4C85AD}" name="Country"/>
    <tableColumn id="8" xr3:uid="{805F5377-DE24-43E2-9232-3CD95BA99D34}" name="Quantity"/>
    <tableColumn id="9" xr3:uid="{5415B733-ADCF-44C7-8F83-2B7CD2C1010D}" name="Unit Price ($)"/>
    <tableColumn id="10" xr3:uid="{B96C90A7-9CF3-4C3B-B4E9-F5D509063218}" name="Amount ($)"/>
    <tableColumn id="11" xr3:uid="{3F663CB2-F84F-4A9D-8485-5F472DA79AC3}" name="Payment Mode"/>
  </tableColumns>
  <tableStyleInfo name="TableStyleLight20"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0B11946-249C-435A-8479-A1E729A5DAD0}" name="Table13456" displayName="Table13456" ref="A1:K317" totalsRowShown="0">
  <autoFilter ref="A1:K317" xr:uid="{00000000-0009-0000-0100-000003000000}">
    <filterColumn colId="2">
      <filters>
        <filter val="Hoodie"/>
        <filter val="Sneakers"/>
        <filter val="T-shirt"/>
      </filters>
    </filterColumn>
  </autoFilter>
  <tableColumns count="11">
    <tableColumn id="1" xr3:uid="{A39A9E89-473C-4686-A22B-2933EF8A9A6E}" name="Date" dataDxfId="1"/>
    <tableColumn id="2" xr3:uid="{884B6ED0-8403-4775-9046-AB790F064A18}" name="Product Name"/>
    <tableColumn id="3" xr3:uid="{4EC426F0-73A5-446C-9DC7-F088945142E4}" name="Product Type"/>
    <tableColumn id="4" xr3:uid="{354B053D-1870-415E-AEA6-22DCCA5D1CB5}" name="Brand"/>
    <tableColumn id="5" xr3:uid="{7FDA4E22-E6F1-426F-AD74-BD6425277E0D}" name="Gender"/>
    <tableColumn id="6" xr3:uid="{265ECC7E-368E-4804-B164-3E557561B8E9}" name="Category"/>
    <tableColumn id="7" xr3:uid="{28F88373-6543-4160-A98C-0A1BC931217A}" name="Country"/>
    <tableColumn id="8" xr3:uid="{411BF034-2A0E-4A01-9E43-5DAB5C1E5265}" name="Quantity"/>
    <tableColumn id="9" xr3:uid="{4A337927-9807-4894-B967-A2D037CB35DE}" name="Unit Price ($)"/>
    <tableColumn id="10" xr3:uid="{0D636B05-B2DE-4AC2-8389-8B43391A5807}" name="Amount ($)"/>
    <tableColumn id="11" xr3:uid="{76699F83-5523-43DB-803D-A27DE3F265B1}" name="Payment Mode"/>
  </tableColumns>
  <tableStyleInfo name="TableStyleMedium3"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F96EF21-B6EB-463E-BA39-92617AA3ED41}" name="Table1345678" displayName="Table1345678" ref="A1:K317" totalsRowShown="0">
  <autoFilter ref="A1:K317" xr:uid="{00000000-0009-0000-0100-000003000000}">
    <filterColumn colId="2">
      <filters>
        <filter val="Hoodie"/>
        <filter val="Sneakers"/>
        <filter val="T-shirt"/>
      </filters>
    </filterColumn>
  </autoFilter>
  <tableColumns count="11">
    <tableColumn id="1" xr3:uid="{95190A3B-D0F6-405B-92EC-C92067933715}" name="Date" dataDxfId="0"/>
    <tableColumn id="2" xr3:uid="{51329475-D3C2-4733-BE97-D28375205FE8}" name="Product Name"/>
    <tableColumn id="3" xr3:uid="{10FAB115-86FB-4062-9DD7-E720CB812CB5}" name="Product Type"/>
    <tableColumn id="4" xr3:uid="{575FF1C4-F3C8-42F8-803D-AFF162AE394B}" name="Brand"/>
    <tableColumn id="5" xr3:uid="{11FFAAA2-A48D-4036-91CD-3AA5A36130F2}" name="Gender"/>
    <tableColumn id="6" xr3:uid="{F0E0A4C7-D787-4218-94F8-ABF3E5393D2A}" name="Category"/>
    <tableColumn id="7" xr3:uid="{934D1089-6893-459C-A212-5479C66BF280}" name="Country"/>
    <tableColumn id="8" xr3:uid="{C2C5091A-6BC9-49CB-B281-789B9ECF2606}" name="Quantity"/>
    <tableColumn id="9" xr3:uid="{BFF9F93A-918B-496B-9D17-E2142A6435DE}" name="Unit Price ($)"/>
    <tableColumn id="10" xr3:uid="{464CCA3A-2B45-40FC-9A7B-7ABDA3F7BEC2}" name="Amount ($)"/>
    <tableColumn id="11" xr3:uid="{520446A3-9303-41CE-9D0B-34175134CA7C}" name="Payment Mode"/>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rinterSettings" Target="../printerSettings/printerSettings2.bin"/><Relationship Id="rId1"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printerSettings" Target="../printerSettings/printerSettings3.bin"/><Relationship Id="rId1"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printerSettings" Target="../printerSettings/printerSettings4.bin"/><Relationship Id="rId1"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printerSettings" Target="../printerSettings/printerSettings5.bin"/><Relationship Id="rId1" Type="http://schemas.openxmlformats.org/officeDocument/2006/relationships/pivotTable" Target="../pivotTables/pivotTable8.xml"/></Relationships>
</file>

<file path=xl/worksheets/_rels/sheet7.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printerSettings" Target="../printerSettings/printerSettings6.bin"/><Relationship Id="rId1"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printerSettings" Target="../printerSettings/printerSettings7.bin"/><Relationship Id="rId1" Type="http://schemas.openxmlformats.org/officeDocument/2006/relationships/pivotTable" Target="../pivotTables/pivotTable10.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5A272-C747-47C7-AE83-45DA038EDF66}">
  <dimension ref="A3:J33"/>
  <sheetViews>
    <sheetView topLeftCell="A20" workbookViewId="0">
      <selection activeCell="E27" sqref="E27:F68"/>
    </sheetView>
  </sheetViews>
  <sheetFormatPr defaultRowHeight="15" x14ac:dyDescent="0.25"/>
  <cols>
    <col min="1" max="1" width="17.85546875" bestFit="1" customWidth="1"/>
    <col min="2" max="2" width="16.28515625" bestFit="1" customWidth="1"/>
    <col min="3" max="3" width="14.5703125" bestFit="1" customWidth="1"/>
    <col min="4" max="4" width="11" bestFit="1" customWidth="1"/>
    <col min="5" max="5" width="17.85546875" bestFit="1" customWidth="1"/>
    <col min="6" max="6" width="16.28515625" bestFit="1" customWidth="1"/>
    <col min="7" max="7" width="15.85546875" bestFit="1" customWidth="1"/>
    <col min="8" max="9" width="8" bestFit="1" customWidth="1"/>
    <col min="10" max="11" width="11.28515625" bestFit="1" customWidth="1"/>
    <col min="12" max="12" width="17.28515625" bestFit="1" customWidth="1"/>
    <col min="13" max="13" width="13.140625" bestFit="1" customWidth="1"/>
    <col min="14" max="14" width="16" bestFit="1" customWidth="1"/>
    <col min="15" max="15" width="15.28515625" bestFit="1" customWidth="1"/>
    <col min="16" max="16" width="11.28515625" bestFit="1" customWidth="1"/>
  </cols>
  <sheetData>
    <row r="3" spans="1:6" x14ac:dyDescent="0.25">
      <c r="A3" s="3" t="s">
        <v>56</v>
      </c>
      <c r="B3" s="3" t="s">
        <v>74</v>
      </c>
    </row>
    <row r="4" spans="1:6" x14ac:dyDescent="0.25">
      <c r="A4" s="3" t="s">
        <v>54</v>
      </c>
      <c r="B4" t="s">
        <v>32</v>
      </c>
      <c r="C4" t="s">
        <v>15</v>
      </c>
      <c r="D4" t="s">
        <v>40</v>
      </c>
      <c r="E4" t="s">
        <v>21</v>
      </c>
      <c r="F4" t="s">
        <v>55</v>
      </c>
    </row>
    <row r="5" spans="1:6" x14ac:dyDescent="0.25">
      <c r="A5" s="4" t="s">
        <v>177</v>
      </c>
      <c r="B5" s="6">
        <v>966.26</v>
      </c>
      <c r="C5" s="6">
        <v>3024.14</v>
      </c>
      <c r="D5" s="6">
        <v>605.48</v>
      </c>
      <c r="E5" s="6">
        <v>1962.94</v>
      </c>
      <c r="F5" s="6">
        <v>6558.82</v>
      </c>
    </row>
    <row r="6" spans="1:6" x14ac:dyDescent="0.25">
      <c r="A6" s="4" t="s">
        <v>178</v>
      </c>
      <c r="B6" s="6">
        <v>1171</v>
      </c>
      <c r="C6" s="6">
        <v>155.43</v>
      </c>
      <c r="D6" s="6">
        <v>256.81</v>
      </c>
      <c r="E6" s="6">
        <v>2458.92</v>
      </c>
      <c r="F6" s="6">
        <v>4042.16</v>
      </c>
    </row>
    <row r="7" spans="1:6" x14ac:dyDescent="0.25">
      <c r="A7" s="4" t="s">
        <v>179</v>
      </c>
      <c r="B7" s="6">
        <v>1167.94</v>
      </c>
      <c r="C7" s="6">
        <v>499.45</v>
      </c>
      <c r="D7" s="6">
        <v>2293.87</v>
      </c>
      <c r="E7" s="6">
        <v>2204.7600000000002</v>
      </c>
      <c r="F7" s="6">
        <v>6166.02</v>
      </c>
    </row>
    <row r="8" spans="1:6" x14ac:dyDescent="0.25">
      <c r="A8" s="4" t="s">
        <v>183</v>
      </c>
      <c r="B8" s="6">
        <v>2844.03</v>
      </c>
      <c r="C8" s="6"/>
      <c r="D8" s="6">
        <v>923.6</v>
      </c>
      <c r="E8" s="6">
        <v>3552.9700000000003</v>
      </c>
      <c r="F8" s="6">
        <v>7320.6</v>
      </c>
    </row>
    <row r="9" spans="1:6" x14ac:dyDescent="0.25">
      <c r="A9" s="4" t="s">
        <v>180</v>
      </c>
      <c r="B9" s="6">
        <v>3467.09</v>
      </c>
      <c r="C9" s="6">
        <v>54.99</v>
      </c>
      <c r="D9" s="6">
        <v>1770.63</v>
      </c>
      <c r="E9" s="6">
        <v>246.56</v>
      </c>
      <c r="F9" s="6">
        <v>5539.27</v>
      </c>
    </row>
    <row r="10" spans="1:6" x14ac:dyDescent="0.25">
      <c r="A10" s="4" t="s">
        <v>187</v>
      </c>
      <c r="B10" s="6">
        <v>1643.44</v>
      </c>
      <c r="C10" s="6">
        <v>3969.61</v>
      </c>
      <c r="D10" s="6">
        <v>409.85</v>
      </c>
      <c r="E10" s="6">
        <v>1593.3000000000002</v>
      </c>
      <c r="F10" s="6">
        <v>7616.2000000000007</v>
      </c>
    </row>
    <row r="11" spans="1:6" x14ac:dyDescent="0.25">
      <c r="A11" s="4" t="s">
        <v>181</v>
      </c>
      <c r="B11" s="6">
        <v>2131.1799999999998</v>
      </c>
      <c r="C11" s="6">
        <v>5551.92</v>
      </c>
      <c r="D11" s="6">
        <v>1823.7799999999997</v>
      </c>
      <c r="E11" s="6">
        <v>2843.25</v>
      </c>
      <c r="F11" s="6">
        <v>12350.130000000001</v>
      </c>
    </row>
    <row r="12" spans="1:6" x14ac:dyDescent="0.25">
      <c r="A12" s="4" t="s">
        <v>182</v>
      </c>
      <c r="B12" s="6">
        <v>2846.8500000000004</v>
      </c>
      <c r="C12" s="6">
        <v>4260.3599999999997</v>
      </c>
      <c r="D12" s="6"/>
      <c r="E12" s="6">
        <v>2806.63</v>
      </c>
      <c r="F12" s="6">
        <v>9913.84</v>
      </c>
    </row>
    <row r="13" spans="1:6" x14ac:dyDescent="0.25">
      <c r="A13" s="4" t="s">
        <v>55</v>
      </c>
      <c r="B13" s="6">
        <v>16237.79</v>
      </c>
      <c r="C13" s="6">
        <v>17515.899999999998</v>
      </c>
      <c r="D13" s="6">
        <v>8084.0199999999995</v>
      </c>
      <c r="E13" s="6">
        <v>17669.330000000002</v>
      </c>
      <c r="F13" s="6">
        <v>59507.039999999994</v>
      </c>
    </row>
    <row r="15" spans="1:6" x14ac:dyDescent="0.25">
      <c r="A15" s="7"/>
    </row>
    <row r="16" spans="1:6" x14ac:dyDescent="0.25">
      <c r="A16" s="27"/>
    </row>
    <row r="17" spans="1:10" x14ac:dyDescent="0.25">
      <c r="A17" s="27"/>
      <c r="E17" s="3" t="s">
        <v>56</v>
      </c>
      <c r="F17" s="3" t="s">
        <v>74</v>
      </c>
    </row>
    <row r="18" spans="1:10" x14ac:dyDescent="0.25">
      <c r="A18" s="27"/>
      <c r="E18" s="3" t="s">
        <v>54</v>
      </c>
      <c r="F18" t="s">
        <v>17</v>
      </c>
      <c r="G18" t="s">
        <v>23</v>
      </c>
      <c r="H18" t="s">
        <v>35</v>
      </c>
      <c r="I18" t="s">
        <v>36</v>
      </c>
      <c r="J18" t="s">
        <v>55</v>
      </c>
    </row>
    <row r="19" spans="1:10" x14ac:dyDescent="0.25">
      <c r="A19" s="27"/>
      <c r="C19" s="29"/>
      <c r="E19" s="4" t="s">
        <v>46</v>
      </c>
      <c r="F19" s="6"/>
      <c r="G19" s="6">
        <v>737.3</v>
      </c>
      <c r="H19" s="6"/>
      <c r="I19" s="6">
        <v>1496.83</v>
      </c>
      <c r="J19" s="6">
        <v>2234.13</v>
      </c>
    </row>
    <row r="20" spans="1:10" x14ac:dyDescent="0.25">
      <c r="A20" s="27"/>
      <c r="E20" s="4" t="s">
        <v>29</v>
      </c>
      <c r="F20" s="6">
        <v>1676.3899999999999</v>
      </c>
      <c r="G20" s="6">
        <v>2593.61</v>
      </c>
      <c r="H20" s="6">
        <v>1146.2199999999998</v>
      </c>
      <c r="I20" s="6">
        <v>3001.4300000000003</v>
      </c>
      <c r="J20" s="6">
        <v>8417.65</v>
      </c>
    </row>
    <row r="21" spans="1:10" x14ac:dyDescent="0.25">
      <c r="A21" s="27"/>
      <c r="E21" s="4" t="s">
        <v>49</v>
      </c>
      <c r="F21" s="6">
        <v>701.3</v>
      </c>
      <c r="G21" s="6"/>
      <c r="H21" s="6"/>
      <c r="I21" s="6">
        <v>56.73</v>
      </c>
      <c r="J21" s="6">
        <v>758.03</v>
      </c>
    </row>
    <row r="22" spans="1:10" x14ac:dyDescent="0.25">
      <c r="A22" s="27"/>
      <c r="E22" s="4" t="s">
        <v>19</v>
      </c>
      <c r="F22" s="6">
        <v>4749.1400000000003</v>
      </c>
      <c r="G22" s="6">
        <v>2221.9299999999998</v>
      </c>
      <c r="H22" s="6">
        <v>1232.02</v>
      </c>
      <c r="I22" s="6">
        <v>2408.8599999999997</v>
      </c>
      <c r="J22" s="6">
        <v>10611.95</v>
      </c>
    </row>
    <row r="23" spans="1:10" x14ac:dyDescent="0.25">
      <c r="A23" s="27"/>
      <c r="E23" s="4" t="s">
        <v>12</v>
      </c>
      <c r="F23" s="6">
        <v>891.42000000000007</v>
      </c>
      <c r="G23" s="6">
        <v>1707.17</v>
      </c>
      <c r="H23" s="6">
        <v>1057.4000000000001</v>
      </c>
      <c r="I23" s="6"/>
      <c r="J23" s="6">
        <v>3655.9900000000002</v>
      </c>
    </row>
    <row r="24" spans="1:10" x14ac:dyDescent="0.25">
      <c r="A24" s="26"/>
      <c r="B24" s="3" t="s">
        <v>54</v>
      </c>
      <c r="C24" t="s">
        <v>56</v>
      </c>
      <c r="E24" s="4" t="s">
        <v>55</v>
      </c>
      <c r="F24" s="6">
        <v>8018.25</v>
      </c>
      <c r="G24" s="6">
        <v>7260.01</v>
      </c>
      <c r="H24" s="6">
        <v>3435.64</v>
      </c>
      <c r="I24" s="6">
        <v>6963.8499999999995</v>
      </c>
      <c r="J24" s="6">
        <v>25677.750000000004</v>
      </c>
    </row>
    <row r="25" spans="1:10" x14ac:dyDescent="0.25">
      <c r="B25" s="4" t="s">
        <v>20</v>
      </c>
      <c r="C25" s="6">
        <v>10533.509999999998</v>
      </c>
    </row>
    <row r="26" spans="1:10" x14ac:dyDescent="0.25">
      <c r="B26" s="4" t="s">
        <v>13</v>
      </c>
      <c r="C26" s="6">
        <v>3980.3</v>
      </c>
    </row>
    <row r="27" spans="1:10" x14ac:dyDescent="0.25">
      <c r="B27" s="4" t="s">
        <v>47</v>
      </c>
      <c r="C27" s="6">
        <v>1822.4199999999998</v>
      </c>
      <c r="E27" s="3" t="s">
        <v>54</v>
      </c>
      <c r="F27" t="s">
        <v>186</v>
      </c>
    </row>
    <row r="28" spans="1:10" x14ac:dyDescent="0.25">
      <c r="B28" s="4" t="s">
        <v>25</v>
      </c>
      <c r="C28" s="6">
        <v>11090.54</v>
      </c>
      <c r="E28" s="4" t="s">
        <v>46</v>
      </c>
      <c r="F28" s="6">
        <v>400.89</v>
      </c>
    </row>
    <row r="29" spans="1:10" x14ac:dyDescent="0.25">
      <c r="B29" s="4" t="s">
        <v>38</v>
      </c>
      <c r="C29" s="6">
        <v>4115.12</v>
      </c>
      <c r="E29" s="4" t="s">
        <v>29</v>
      </c>
      <c r="F29" s="6">
        <v>1931.2600000000002</v>
      </c>
    </row>
    <row r="30" spans="1:10" x14ac:dyDescent="0.25">
      <c r="B30" s="4" t="s">
        <v>50</v>
      </c>
      <c r="C30" s="6">
        <v>6935.9699999999993</v>
      </c>
      <c r="E30" s="4" t="s">
        <v>49</v>
      </c>
      <c r="F30" s="6">
        <v>1437.74</v>
      </c>
    </row>
    <row r="31" spans="1:10" x14ac:dyDescent="0.25">
      <c r="B31" s="4" t="s">
        <v>42</v>
      </c>
      <c r="C31" s="6">
        <v>2413.33</v>
      </c>
      <c r="E31" s="4" t="s">
        <v>19</v>
      </c>
      <c r="F31" s="6">
        <v>3660.5799999999995</v>
      </c>
    </row>
    <row r="32" spans="1:10" x14ac:dyDescent="0.25">
      <c r="B32" s="4" t="s">
        <v>55</v>
      </c>
      <c r="C32" s="6">
        <v>40891.189999999995</v>
      </c>
      <c r="E32" s="4" t="s">
        <v>12</v>
      </c>
      <c r="F32" s="6">
        <v>481.07</v>
      </c>
    </row>
    <row r="33" spans="5:6" x14ac:dyDescent="0.25">
      <c r="E33" s="4" t="s">
        <v>55</v>
      </c>
      <c r="F33" s="6">
        <v>7911.5399999999991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0D95C-BFFD-4151-94AF-3BD5AD26AC5C}">
  <dimension ref="A1:K317"/>
  <sheetViews>
    <sheetView topLeftCell="A21" zoomScale="130" zoomScaleNormal="130" workbookViewId="0">
      <selection activeCell="E21" sqref="E21"/>
    </sheetView>
  </sheetViews>
  <sheetFormatPr defaultRowHeight="15" x14ac:dyDescent="0.25"/>
  <cols>
    <col min="1" max="1" width="10.42578125" bestFit="1" customWidth="1"/>
    <col min="2" max="2" width="24.42578125" bestFit="1" customWidth="1"/>
    <col min="3" max="3" width="14.85546875" bestFit="1" customWidth="1"/>
    <col min="4" max="5" width="10" bestFit="1" customWidth="1"/>
    <col min="6" max="6" width="14.5703125" bestFit="1" customWidth="1"/>
    <col min="7" max="7" width="10.140625" customWidth="1"/>
    <col min="8" max="8" width="10.85546875" customWidth="1"/>
    <col min="9" max="9" width="14.7109375" customWidth="1"/>
    <col min="10" max="10" width="13.28515625" bestFit="1" customWidth="1"/>
    <col min="11" max="11" width="17" bestFit="1" customWidth="1"/>
    <col min="13" max="13" width="13.140625" bestFit="1" customWidth="1"/>
    <col min="14" max="14" width="21.42578125" bestFit="1" customWidth="1"/>
    <col min="15" max="15" width="15.42578125" bestFit="1" customWidth="1"/>
  </cols>
  <sheetData>
    <row r="1" spans="1:11" x14ac:dyDescent="0.25">
      <c r="A1" t="s">
        <v>0</v>
      </c>
      <c r="B1" t="s">
        <v>1</v>
      </c>
      <c r="C1" t="s">
        <v>2</v>
      </c>
      <c r="D1" t="s">
        <v>3</v>
      </c>
      <c r="E1" t="s">
        <v>4</v>
      </c>
      <c r="F1" t="s">
        <v>5</v>
      </c>
      <c r="G1" t="s">
        <v>6</v>
      </c>
      <c r="H1" t="s">
        <v>7</v>
      </c>
      <c r="I1" t="s">
        <v>8</v>
      </c>
      <c r="J1" t="s">
        <v>9</v>
      </c>
      <c r="K1" t="s">
        <v>10</v>
      </c>
    </row>
    <row r="2" spans="1:11" x14ac:dyDescent="0.25">
      <c r="A2" s="1">
        <v>44708</v>
      </c>
      <c r="B2" t="s">
        <v>11</v>
      </c>
      <c r="C2" t="s">
        <v>12</v>
      </c>
      <c r="D2" t="s">
        <v>13</v>
      </c>
      <c r="E2" t="s">
        <v>14</v>
      </c>
      <c r="F2" t="s">
        <v>15</v>
      </c>
      <c r="G2" t="s">
        <v>16</v>
      </c>
      <c r="H2">
        <v>5</v>
      </c>
      <c r="I2">
        <v>141.82</v>
      </c>
      <c r="J2">
        <v>709.1</v>
      </c>
      <c r="K2" t="s">
        <v>17</v>
      </c>
    </row>
    <row r="3" spans="1:11" x14ac:dyDescent="0.25">
      <c r="A3" s="1">
        <v>44679</v>
      </c>
      <c r="B3" t="s">
        <v>18</v>
      </c>
      <c r="C3" t="s">
        <v>19</v>
      </c>
      <c r="D3" t="s">
        <v>20</v>
      </c>
      <c r="E3" t="s">
        <v>14</v>
      </c>
      <c r="F3" t="s">
        <v>40</v>
      </c>
      <c r="G3" t="s">
        <v>33</v>
      </c>
      <c r="H3">
        <v>1</v>
      </c>
      <c r="I3">
        <v>70.69</v>
      </c>
      <c r="J3">
        <v>70.69</v>
      </c>
      <c r="K3" t="s">
        <v>35</v>
      </c>
    </row>
    <row r="4" spans="1:11" x14ac:dyDescent="0.25">
      <c r="A4" s="1">
        <v>44633</v>
      </c>
      <c r="B4" t="s">
        <v>37</v>
      </c>
      <c r="C4" t="s">
        <v>29</v>
      </c>
      <c r="D4" t="s">
        <v>38</v>
      </c>
      <c r="E4" t="s">
        <v>26</v>
      </c>
      <c r="F4" t="s">
        <v>32</v>
      </c>
      <c r="G4" t="s">
        <v>34</v>
      </c>
      <c r="H4">
        <v>1</v>
      </c>
      <c r="I4">
        <v>89.14</v>
      </c>
      <c r="J4">
        <v>89.14</v>
      </c>
      <c r="K4" t="s">
        <v>23</v>
      </c>
    </row>
    <row r="5" spans="1:11" hidden="1" x14ac:dyDescent="0.25">
      <c r="A5" s="1">
        <v>44766</v>
      </c>
      <c r="B5" t="s">
        <v>45</v>
      </c>
      <c r="C5" t="s">
        <v>46</v>
      </c>
      <c r="D5" t="s">
        <v>47</v>
      </c>
      <c r="E5" t="s">
        <v>14</v>
      </c>
      <c r="F5" t="s">
        <v>15</v>
      </c>
      <c r="G5" t="s">
        <v>43</v>
      </c>
      <c r="H5">
        <v>4</v>
      </c>
      <c r="I5">
        <v>135.07</v>
      </c>
      <c r="J5">
        <v>540.28</v>
      </c>
      <c r="K5" t="s">
        <v>23</v>
      </c>
    </row>
    <row r="6" spans="1:11" x14ac:dyDescent="0.25">
      <c r="A6" s="1">
        <v>44723</v>
      </c>
      <c r="B6" t="s">
        <v>44</v>
      </c>
      <c r="C6" t="s">
        <v>19</v>
      </c>
      <c r="D6" t="s">
        <v>20</v>
      </c>
      <c r="E6" t="s">
        <v>30</v>
      </c>
      <c r="F6" t="s">
        <v>21</v>
      </c>
      <c r="G6" t="s">
        <v>27</v>
      </c>
      <c r="H6">
        <v>2</v>
      </c>
      <c r="I6">
        <v>223</v>
      </c>
      <c r="J6">
        <v>446</v>
      </c>
      <c r="K6" t="s">
        <v>23</v>
      </c>
    </row>
    <row r="7" spans="1:11" x14ac:dyDescent="0.25">
      <c r="A7" s="1">
        <v>44740</v>
      </c>
      <c r="B7" t="s">
        <v>11</v>
      </c>
      <c r="C7" t="s">
        <v>12</v>
      </c>
      <c r="D7" t="s">
        <v>13</v>
      </c>
      <c r="E7" t="s">
        <v>14</v>
      </c>
      <c r="F7" t="s">
        <v>15</v>
      </c>
      <c r="G7" t="s">
        <v>34</v>
      </c>
      <c r="H7">
        <v>4</v>
      </c>
      <c r="I7">
        <v>238.52</v>
      </c>
      <c r="J7">
        <v>954.08</v>
      </c>
      <c r="K7" t="s">
        <v>23</v>
      </c>
    </row>
    <row r="8" spans="1:11" x14ac:dyDescent="0.25">
      <c r="A8" s="1">
        <v>44754</v>
      </c>
      <c r="B8" t="s">
        <v>28</v>
      </c>
      <c r="C8" t="s">
        <v>29</v>
      </c>
      <c r="D8" t="s">
        <v>25</v>
      </c>
      <c r="E8" t="s">
        <v>26</v>
      </c>
      <c r="F8" t="s">
        <v>32</v>
      </c>
      <c r="G8" t="s">
        <v>33</v>
      </c>
      <c r="H8">
        <v>5</v>
      </c>
      <c r="I8">
        <v>120.55</v>
      </c>
      <c r="J8">
        <v>602.75</v>
      </c>
      <c r="K8" t="s">
        <v>35</v>
      </c>
    </row>
    <row r="9" spans="1:11" hidden="1" x14ac:dyDescent="0.25">
      <c r="A9" s="1">
        <v>44605</v>
      </c>
      <c r="B9" t="s">
        <v>45</v>
      </c>
      <c r="C9" t="s">
        <v>46</v>
      </c>
      <c r="D9" t="s">
        <v>47</v>
      </c>
      <c r="E9" t="s">
        <v>26</v>
      </c>
      <c r="F9" t="s">
        <v>21</v>
      </c>
      <c r="G9" t="s">
        <v>27</v>
      </c>
      <c r="H9">
        <v>4</v>
      </c>
      <c r="I9">
        <v>212.66</v>
      </c>
      <c r="J9">
        <v>850.64</v>
      </c>
      <c r="K9" t="s">
        <v>36</v>
      </c>
    </row>
    <row r="10" spans="1:11" x14ac:dyDescent="0.25">
      <c r="A10" s="1">
        <v>44752</v>
      </c>
      <c r="B10" t="s">
        <v>37</v>
      </c>
      <c r="C10" t="s">
        <v>29</v>
      </c>
      <c r="D10" t="s">
        <v>38</v>
      </c>
      <c r="E10" t="s">
        <v>26</v>
      </c>
      <c r="F10" t="s">
        <v>21</v>
      </c>
      <c r="G10" t="s">
        <v>39</v>
      </c>
      <c r="H10">
        <v>5</v>
      </c>
      <c r="I10">
        <v>256.22000000000003</v>
      </c>
      <c r="J10">
        <v>1281.0999999999999</v>
      </c>
      <c r="K10" t="s">
        <v>36</v>
      </c>
    </row>
    <row r="11" spans="1:11" x14ac:dyDescent="0.25">
      <c r="A11" s="1">
        <v>44583</v>
      </c>
      <c r="B11" t="s">
        <v>31</v>
      </c>
      <c r="C11" t="s">
        <v>19</v>
      </c>
      <c r="D11" t="s">
        <v>25</v>
      </c>
      <c r="E11" t="s">
        <v>14</v>
      </c>
      <c r="F11" t="s">
        <v>32</v>
      </c>
      <c r="G11" t="s">
        <v>39</v>
      </c>
      <c r="H11">
        <v>4</v>
      </c>
      <c r="I11">
        <v>124.4</v>
      </c>
      <c r="J11">
        <v>497.6</v>
      </c>
      <c r="K11" t="s">
        <v>36</v>
      </c>
    </row>
    <row r="12" spans="1:11" x14ac:dyDescent="0.25">
      <c r="A12" s="1">
        <v>44730</v>
      </c>
      <c r="B12" t="s">
        <v>31</v>
      </c>
      <c r="C12" t="s">
        <v>19</v>
      </c>
      <c r="D12" t="s">
        <v>25</v>
      </c>
      <c r="E12" t="s">
        <v>26</v>
      </c>
      <c r="F12" t="s">
        <v>32</v>
      </c>
      <c r="G12" t="s">
        <v>27</v>
      </c>
      <c r="H12">
        <v>2</v>
      </c>
      <c r="I12">
        <v>80.33</v>
      </c>
      <c r="J12">
        <v>160.66</v>
      </c>
      <c r="K12" t="s">
        <v>17</v>
      </c>
    </row>
    <row r="13" spans="1:11" x14ac:dyDescent="0.25">
      <c r="A13" s="1">
        <v>44638</v>
      </c>
      <c r="B13" t="s">
        <v>41</v>
      </c>
      <c r="C13" t="s">
        <v>29</v>
      </c>
      <c r="D13" t="s">
        <v>42</v>
      </c>
      <c r="E13" t="s">
        <v>14</v>
      </c>
      <c r="F13" t="s">
        <v>40</v>
      </c>
      <c r="G13" t="s">
        <v>39</v>
      </c>
      <c r="H13">
        <v>5</v>
      </c>
      <c r="I13">
        <v>58.65</v>
      </c>
      <c r="J13">
        <v>293.25</v>
      </c>
      <c r="K13" t="s">
        <v>35</v>
      </c>
    </row>
    <row r="14" spans="1:11" x14ac:dyDescent="0.25">
      <c r="A14" s="1">
        <v>44794</v>
      </c>
      <c r="B14" t="s">
        <v>24</v>
      </c>
      <c r="C14" t="s">
        <v>19</v>
      </c>
      <c r="D14" t="s">
        <v>25</v>
      </c>
      <c r="E14" t="s">
        <v>26</v>
      </c>
      <c r="F14" t="s">
        <v>21</v>
      </c>
      <c r="G14" t="s">
        <v>22</v>
      </c>
      <c r="H14">
        <v>5</v>
      </c>
      <c r="I14">
        <v>183.55</v>
      </c>
      <c r="J14">
        <v>917.75</v>
      </c>
      <c r="K14" t="s">
        <v>23</v>
      </c>
    </row>
    <row r="15" spans="1:11" hidden="1" x14ac:dyDescent="0.25">
      <c r="A15" s="1">
        <v>44749</v>
      </c>
      <c r="B15" t="s">
        <v>48</v>
      </c>
      <c r="C15" t="s">
        <v>49</v>
      </c>
      <c r="D15" t="s">
        <v>50</v>
      </c>
      <c r="E15" t="s">
        <v>14</v>
      </c>
      <c r="F15" t="s">
        <v>21</v>
      </c>
      <c r="G15" t="s">
        <v>39</v>
      </c>
      <c r="H15">
        <v>2</v>
      </c>
      <c r="I15">
        <v>210.77</v>
      </c>
      <c r="J15">
        <v>421.54</v>
      </c>
      <c r="K15" t="s">
        <v>17</v>
      </c>
    </row>
    <row r="16" spans="1:11" x14ac:dyDescent="0.25">
      <c r="A16" s="1">
        <v>44692</v>
      </c>
      <c r="B16" t="s">
        <v>18</v>
      </c>
      <c r="C16" t="s">
        <v>19</v>
      </c>
      <c r="D16" t="s">
        <v>20</v>
      </c>
      <c r="E16" t="s">
        <v>14</v>
      </c>
      <c r="F16" t="s">
        <v>32</v>
      </c>
      <c r="G16" t="s">
        <v>27</v>
      </c>
      <c r="H16">
        <v>4</v>
      </c>
      <c r="I16">
        <v>218.82</v>
      </c>
      <c r="J16">
        <v>875.28</v>
      </c>
      <c r="K16" t="s">
        <v>36</v>
      </c>
    </row>
    <row r="17" spans="1:11" x14ac:dyDescent="0.25">
      <c r="A17" s="1">
        <v>44729</v>
      </c>
      <c r="B17" t="s">
        <v>11</v>
      </c>
      <c r="C17" t="s">
        <v>12</v>
      </c>
      <c r="D17" t="s">
        <v>13</v>
      </c>
      <c r="E17" t="s">
        <v>26</v>
      </c>
      <c r="F17" t="s">
        <v>40</v>
      </c>
      <c r="G17" t="s">
        <v>34</v>
      </c>
      <c r="H17">
        <v>5</v>
      </c>
      <c r="I17">
        <v>133.74</v>
      </c>
      <c r="J17">
        <v>668.7</v>
      </c>
      <c r="K17" t="s">
        <v>17</v>
      </c>
    </row>
    <row r="18" spans="1:11" x14ac:dyDescent="0.25">
      <c r="A18" s="1">
        <v>44705</v>
      </c>
      <c r="B18" t="s">
        <v>44</v>
      </c>
      <c r="C18" t="s">
        <v>19</v>
      </c>
      <c r="D18" t="s">
        <v>20</v>
      </c>
      <c r="E18" t="s">
        <v>26</v>
      </c>
      <c r="F18" t="s">
        <v>32</v>
      </c>
      <c r="G18" t="s">
        <v>34</v>
      </c>
      <c r="H18">
        <v>1</v>
      </c>
      <c r="I18">
        <v>208.47</v>
      </c>
      <c r="J18">
        <v>208.47</v>
      </c>
      <c r="K18" t="s">
        <v>23</v>
      </c>
    </row>
    <row r="19" spans="1:11" x14ac:dyDescent="0.25">
      <c r="A19" s="1">
        <v>44709</v>
      </c>
      <c r="B19" t="s">
        <v>37</v>
      </c>
      <c r="C19" t="s">
        <v>29</v>
      </c>
      <c r="D19" t="s">
        <v>38</v>
      </c>
      <c r="E19" t="s">
        <v>14</v>
      </c>
      <c r="F19" t="s">
        <v>15</v>
      </c>
      <c r="G19" t="s">
        <v>39</v>
      </c>
      <c r="H19">
        <v>1</v>
      </c>
      <c r="I19">
        <v>180.42</v>
      </c>
      <c r="J19">
        <v>180.42</v>
      </c>
      <c r="K19" t="s">
        <v>23</v>
      </c>
    </row>
    <row r="20" spans="1:11" hidden="1" x14ac:dyDescent="0.25">
      <c r="A20" s="1">
        <v>44741</v>
      </c>
      <c r="B20" t="s">
        <v>48</v>
      </c>
      <c r="C20" t="s">
        <v>49</v>
      </c>
      <c r="D20" t="s">
        <v>50</v>
      </c>
      <c r="E20" t="s">
        <v>30</v>
      </c>
      <c r="F20" t="s">
        <v>32</v>
      </c>
      <c r="G20" t="s">
        <v>16</v>
      </c>
      <c r="H20">
        <v>3</v>
      </c>
      <c r="I20">
        <v>127.36</v>
      </c>
      <c r="J20">
        <v>382.08</v>
      </c>
      <c r="K20" t="s">
        <v>17</v>
      </c>
    </row>
    <row r="21" spans="1:11" x14ac:dyDescent="0.25">
      <c r="A21" s="1">
        <v>44706</v>
      </c>
      <c r="B21" t="s">
        <v>41</v>
      </c>
      <c r="C21" t="s">
        <v>29</v>
      </c>
      <c r="D21" t="s">
        <v>42</v>
      </c>
      <c r="E21" t="s">
        <v>30</v>
      </c>
      <c r="F21" t="s">
        <v>21</v>
      </c>
      <c r="G21" t="s">
        <v>16</v>
      </c>
      <c r="H21">
        <v>3</v>
      </c>
      <c r="I21">
        <v>149.51</v>
      </c>
      <c r="J21">
        <v>448.53</v>
      </c>
      <c r="K21" t="s">
        <v>23</v>
      </c>
    </row>
    <row r="22" spans="1:11" hidden="1" x14ac:dyDescent="0.25">
      <c r="A22" s="1">
        <v>44629</v>
      </c>
      <c r="B22" t="s">
        <v>45</v>
      </c>
      <c r="C22" t="s">
        <v>46</v>
      </c>
      <c r="D22" t="s">
        <v>47</v>
      </c>
      <c r="E22" t="s">
        <v>30</v>
      </c>
      <c r="F22" t="s">
        <v>32</v>
      </c>
      <c r="G22" t="s">
        <v>43</v>
      </c>
      <c r="H22">
        <v>3</v>
      </c>
      <c r="I22">
        <v>136.36000000000001</v>
      </c>
      <c r="J22">
        <v>409.08</v>
      </c>
      <c r="K22" t="s">
        <v>17</v>
      </c>
    </row>
    <row r="23" spans="1:11" x14ac:dyDescent="0.25">
      <c r="A23" s="1">
        <v>44794</v>
      </c>
      <c r="B23" t="s">
        <v>28</v>
      </c>
      <c r="C23" t="s">
        <v>29</v>
      </c>
      <c r="D23" t="s">
        <v>25</v>
      </c>
      <c r="E23" t="s">
        <v>14</v>
      </c>
      <c r="F23" t="s">
        <v>32</v>
      </c>
      <c r="G23" t="s">
        <v>34</v>
      </c>
      <c r="H23">
        <v>5</v>
      </c>
      <c r="I23">
        <v>162.38</v>
      </c>
      <c r="J23">
        <v>811.9</v>
      </c>
      <c r="K23" t="s">
        <v>17</v>
      </c>
    </row>
    <row r="24" spans="1:11" hidden="1" x14ac:dyDescent="0.25">
      <c r="A24" s="1">
        <v>44708</v>
      </c>
      <c r="B24" t="s">
        <v>48</v>
      </c>
      <c r="C24" t="s">
        <v>49</v>
      </c>
      <c r="D24" t="s">
        <v>50</v>
      </c>
      <c r="E24" t="s">
        <v>26</v>
      </c>
      <c r="F24" t="s">
        <v>40</v>
      </c>
      <c r="G24" t="s">
        <v>33</v>
      </c>
      <c r="H24">
        <v>2</v>
      </c>
      <c r="I24">
        <v>259.66000000000003</v>
      </c>
      <c r="J24">
        <v>519.32000000000005</v>
      </c>
      <c r="K24" t="s">
        <v>36</v>
      </c>
    </row>
    <row r="25" spans="1:11" x14ac:dyDescent="0.25">
      <c r="A25" s="1">
        <v>44703</v>
      </c>
      <c r="B25" t="s">
        <v>37</v>
      </c>
      <c r="C25" t="s">
        <v>29</v>
      </c>
      <c r="D25" t="s">
        <v>38</v>
      </c>
      <c r="E25" t="s">
        <v>30</v>
      </c>
      <c r="F25" t="s">
        <v>21</v>
      </c>
      <c r="G25" t="s">
        <v>39</v>
      </c>
      <c r="H25">
        <v>1</v>
      </c>
      <c r="I25">
        <v>180.39</v>
      </c>
      <c r="J25">
        <v>180.39</v>
      </c>
      <c r="K25" t="s">
        <v>17</v>
      </c>
    </row>
    <row r="26" spans="1:11" x14ac:dyDescent="0.25">
      <c r="A26" s="1">
        <v>44714</v>
      </c>
      <c r="B26" t="s">
        <v>37</v>
      </c>
      <c r="C26" t="s">
        <v>29</v>
      </c>
      <c r="D26" t="s">
        <v>38</v>
      </c>
      <c r="E26" t="s">
        <v>30</v>
      </c>
      <c r="F26" t="s">
        <v>15</v>
      </c>
      <c r="G26" t="s">
        <v>39</v>
      </c>
      <c r="H26">
        <v>3</v>
      </c>
      <c r="I26">
        <v>80.349999999999994</v>
      </c>
      <c r="J26">
        <v>241.05</v>
      </c>
      <c r="K26" t="s">
        <v>17</v>
      </c>
    </row>
    <row r="27" spans="1:11" x14ac:dyDescent="0.25">
      <c r="A27" s="1">
        <v>44626</v>
      </c>
      <c r="B27" t="s">
        <v>11</v>
      </c>
      <c r="C27" t="s">
        <v>12</v>
      </c>
      <c r="D27" t="s">
        <v>13</v>
      </c>
      <c r="E27" t="s">
        <v>30</v>
      </c>
      <c r="F27" t="s">
        <v>21</v>
      </c>
      <c r="G27" t="s">
        <v>16</v>
      </c>
      <c r="H27">
        <v>2</v>
      </c>
      <c r="I27">
        <v>222.08</v>
      </c>
      <c r="J27">
        <v>444.16</v>
      </c>
      <c r="K27" t="s">
        <v>35</v>
      </c>
    </row>
    <row r="28" spans="1:11" hidden="1" x14ac:dyDescent="0.25">
      <c r="A28" s="1">
        <v>44641</v>
      </c>
      <c r="B28" t="s">
        <v>48</v>
      </c>
      <c r="C28" t="s">
        <v>49</v>
      </c>
      <c r="D28" t="s">
        <v>50</v>
      </c>
      <c r="E28" t="s">
        <v>26</v>
      </c>
      <c r="F28" t="s">
        <v>40</v>
      </c>
      <c r="G28" t="s">
        <v>27</v>
      </c>
      <c r="H28">
        <v>1</v>
      </c>
      <c r="I28">
        <v>287.44</v>
      </c>
      <c r="J28">
        <v>287.44</v>
      </c>
      <c r="K28" t="s">
        <v>35</v>
      </c>
    </row>
    <row r="29" spans="1:11" x14ac:dyDescent="0.25">
      <c r="A29" s="1">
        <v>44758</v>
      </c>
      <c r="B29" t="s">
        <v>11</v>
      </c>
      <c r="C29" t="s">
        <v>12</v>
      </c>
      <c r="D29" t="s">
        <v>13</v>
      </c>
      <c r="E29" t="s">
        <v>14</v>
      </c>
      <c r="F29" t="s">
        <v>15</v>
      </c>
      <c r="G29" t="s">
        <v>34</v>
      </c>
      <c r="H29">
        <v>5</v>
      </c>
      <c r="I29">
        <v>137.9</v>
      </c>
      <c r="J29">
        <v>689.5</v>
      </c>
      <c r="K29" t="s">
        <v>35</v>
      </c>
    </row>
    <row r="30" spans="1:11" x14ac:dyDescent="0.25">
      <c r="A30" s="1">
        <v>44639</v>
      </c>
      <c r="B30" t="s">
        <v>37</v>
      </c>
      <c r="C30" t="s">
        <v>29</v>
      </c>
      <c r="D30" t="s">
        <v>38</v>
      </c>
      <c r="E30" t="s">
        <v>14</v>
      </c>
      <c r="F30" t="s">
        <v>21</v>
      </c>
      <c r="G30" t="s">
        <v>39</v>
      </c>
      <c r="H30">
        <v>3</v>
      </c>
      <c r="I30">
        <v>214.68</v>
      </c>
      <c r="J30">
        <v>644.04</v>
      </c>
      <c r="K30" t="s">
        <v>35</v>
      </c>
    </row>
    <row r="31" spans="1:11" x14ac:dyDescent="0.25">
      <c r="A31" s="1">
        <v>44777</v>
      </c>
      <c r="B31" t="s">
        <v>28</v>
      </c>
      <c r="C31" t="s">
        <v>29</v>
      </c>
      <c r="D31" t="s">
        <v>25</v>
      </c>
      <c r="E31" t="s">
        <v>26</v>
      </c>
      <c r="F31" t="s">
        <v>15</v>
      </c>
      <c r="G31" t="s">
        <v>22</v>
      </c>
      <c r="H31">
        <v>2</v>
      </c>
      <c r="I31">
        <v>269.88</v>
      </c>
      <c r="J31">
        <v>539.76</v>
      </c>
      <c r="K31" t="s">
        <v>23</v>
      </c>
    </row>
    <row r="32" spans="1:11" x14ac:dyDescent="0.25">
      <c r="A32" s="1">
        <v>44684</v>
      </c>
      <c r="B32" t="s">
        <v>31</v>
      </c>
      <c r="C32" t="s">
        <v>19</v>
      </c>
      <c r="D32" t="s">
        <v>25</v>
      </c>
      <c r="E32" t="s">
        <v>14</v>
      </c>
      <c r="F32" t="s">
        <v>40</v>
      </c>
      <c r="G32" t="s">
        <v>43</v>
      </c>
      <c r="H32">
        <v>1</v>
      </c>
      <c r="I32">
        <v>96.97</v>
      </c>
      <c r="J32">
        <v>96.97</v>
      </c>
      <c r="K32" t="s">
        <v>36</v>
      </c>
    </row>
    <row r="33" spans="1:11" hidden="1" x14ac:dyDescent="0.25">
      <c r="A33" s="1">
        <v>44743</v>
      </c>
      <c r="B33" t="s">
        <v>45</v>
      </c>
      <c r="C33" t="s">
        <v>46</v>
      </c>
      <c r="D33" t="s">
        <v>47</v>
      </c>
      <c r="E33" t="s">
        <v>26</v>
      </c>
      <c r="F33" t="s">
        <v>15</v>
      </c>
      <c r="G33" t="s">
        <v>33</v>
      </c>
      <c r="H33">
        <v>4</v>
      </c>
      <c r="I33">
        <v>270.55</v>
      </c>
      <c r="J33">
        <v>1082.2</v>
      </c>
      <c r="K33" t="s">
        <v>23</v>
      </c>
    </row>
    <row r="34" spans="1:11" x14ac:dyDescent="0.25">
      <c r="A34" s="1">
        <v>44728</v>
      </c>
      <c r="B34" t="s">
        <v>44</v>
      </c>
      <c r="C34" t="s">
        <v>19</v>
      </c>
      <c r="D34" t="s">
        <v>20</v>
      </c>
      <c r="E34" t="s">
        <v>14</v>
      </c>
      <c r="F34" t="s">
        <v>40</v>
      </c>
      <c r="G34" t="s">
        <v>33</v>
      </c>
      <c r="H34">
        <v>3</v>
      </c>
      <c r="I34">
        <v>261.31</v>
      </c>
      <c r="J34">
        <v>783.93</v>
      </c>
      <c r="K34" t="s">
        <v>17</v>
      </c>
    </row>
    <row r="35" spans="1:11" hidden="1" x14ac:dyDescent="0.25">
      <c r="A35" s="1">
        <v>44571</v>
      </c>
      <c r="B35" t="s">
        <v>45</v>
      </c>
      <c r="C35" t="s">
        <v>46</v>
      </c>
      <c r="D35" t="s">
        <v>47</v>
      </c>
      <c r="E35" t="s">
        <v>14</v>
      </c>
      <c r="F35" t="s">
        <v>40</v>
      </c>
      <c r="G35" t="s">
        <v>22</v>
      </c>
      <c r="H35">
        <v>4</v>
      </c>
      <c r="I35">
        <v>56.4</v>
      </c>
      <c r="J35">
        <v>225.6</v>
      </c>
      <c r="K35" t="s">
        <v>17</v>
      </c>
    </row>
    <row r="36" spans="1:11" x14ac:dyDescent="0.25">
      <c r="A36" s="1">
        <v>44750</v>
      </c>
      <c r="B36" t="s">
        <v>18</v>
      </c>
      <c r="C36" t="s">
        <v>19</v>
      </c>
      <c r="D36" t="s">
        <v>20</v>
      </c>
      <c r="E36" t="s">
        <v>30</v>
      </c>
      <c r="F36" t="s">
        <v>40</v>
      </c>
      <c r="G36" t="s">
        <v>27</v>
      </c>
      <c r="H36">
        <v>3</v>
      </c>
      <c r="I36">
        <v>239.55</v>
      </c>
      <c r="J36">
        <v>718.65</v>
      </c>
      <c r="K36" t="s">
        <v>17</v>
      </c>
    </row>
    <row r="37" spans="1:11" x14ac:dyDescent="0.25">
      <c r="A37" s="1">
        <v>44793</v>
      </c>
      <c r="B37" t="s">
        <v>31</v>
      </c>
      <c r="C37" t="s">
        <v>19</v>
      </c>
      <c r="D37" t="s">
        <v>25</v>
      </c>
      <c r="E37" t="s">
        <v>14</v>
      </c>
      <c r="F37" t="s">
        <v>15</v>
      </c>
      <c r="G37" t="s">
        <v>27</v>
      </c>
      <c r="H37">
        <v>2</v>
      </c>
      <c r="I37">
        <v>94.62</v>
      </c>
      <c r="J37">
        <v>189.24</v>
      </c>
      <c r="K37" t="s">
        <v>23</v>
      </c>
    </row>
    <row r="38" spans="1:11" x14ac:dyDescent="0.25">
      <c r="A38" s="1">
        <v>44766</v>
      </c>
      <c r="B38" t="s">
        <v>11</v>
      </c>
      <c r="C38" t="s">
        <v>12</v>
      </c>
      <c r="D38" t="s">
        <v>13</v>
      </c>
      <c r="E38" t="s">
        <v>14</v>
      </c>
      <c r="F38" t="s">
        <v>15</v>
      </c>
      <c r="G38" t="s">
        <v>27</v>
      </c>
      <c r="H38">
        <v>4</v>
      </c>
      <c r="I38">
        <v>57.22</v>
      </c>
      <c r="J38">
        <v>228.88</v>
      </c>
      <c r="K38" t="s">
        <v>23</v>
      </c>
    </row>
    <row r="39" spans="1:11" x14ac:dyDescent="0.25">
      <c r="A39" s="1">
        <v>44756</v>
      </c>
      <c r="B39" t="s">
        <v>24</v>
      </c>
      <c r="C39" t="s">
        <v>19</v>
      </c>
      <c r="D39" t="s">
        <v>25</v>
      </c>
      <c r="E39" t="s">
        <v>30</v>
      </c>
      <c r="F39" t="s">
        <v>15</v>
      </c>
      <c r="G39" t="s">
        <v>27</v>
      </c>
      <c r="H39">
        <v>1</v>
      </c>
      <c r="I39">
        <v>170.86</v>
      </c>
      <c r="J39">
        <v>170.86</v>
      </c>
      <c r="K39" t="s">
        <v>36</v>
      </c>
    </row>
    <row r="40" spans="1:11" x14ac:dyDescent="0.25">
      <c r="A40" s="1">
        <v>44603</v>
      </c>
      <c r="B40" t="s">
        <v>44</v>
      </c>
      <c r="C40" t="s">
        <v>19</v>
      </c>
      <c r="D40" t="s">
        <v>20</v>
      </c>
      <c r="E40" t="s">
        <v>30</v>
      </c>
      <c r="F40" t="s">
        <v>21</v>
      </c>
      <c r="G40" t="s">
        <v>33</v>
      </c>
      <c r="H40">
        <v>3</v>
      </c>
      <c r="I40">
        <v>105.79</v>
      </c>
      <c r="J40">
        <v>317.37</v>
      </c>
      <c r="K40" t="s">
        <v>36</v>
      </c>
    </row>
    <row r="41" spans="1:11" x14ac:dyDescent="0.25">
      <c r="A41" s="1">
        <v>44707</v>
      </c>
      <c r="B41" t="s">
        <v>44</v>
      </c>
      <c r="C41" t="s">
        <v>19</v>
      </c>
      <c r="D41" t="s">
        <v>20</v>
      </c>
      <c r="E41" t="s">
        <v>30</v>
      </c>
      <c r="F41" t="s">
        <v>21</v>
      </c>
      <c r="G41" t="s">
        <v>33</v>
      </c>
      <c r="H41">
        <v>5</v>
      </c>
      <c r="I41">
        <v>112.95</v>
      </c>
      <c r="J41">
        <v>564.75</v>
      </c>
      <c r="K41" t="s">
        <v>17</v>
      </c>
    </row>
    <row r="42" spans="1:11" x14ac:dyDescent="0.25">
      <c r="A42" s="1">
        <v>44793</v>
      </c>
      <c r="B42" t="s">
        <v>37</v>
      </c>
      <c r="C42" t="s">
        <v>29</v>
      </c>
      <c r="D42" t="s">
        <v>38</v>
      </c>
      <c r="E42" t="s">
        <v>14</v>
      </c>
      <c r="F42" t="s">
        <v>15</v>
      </c>
      <c r="G42" t="s">
        <v>22</v>
      </c>
      <c r="H42">
        <v>5</v>
      </c>
      <c r="I42">
        <v>55.8</v>
      </c>
      <c r="J42">
        <v>279</v>
      </c>
      <c r="K42" t="s">
        <v>17</v>
      </c>
    </row>
    <row r="43" spans="1:11" x14ac:dyDescent="0.25">
      <c r="A43" s="1">
        <v>44686</v>
      </c>
      <c r="B43" t="s">
        <v>41</v>
      </c>
      <c r="C43" t="s">
        <v>29</v>
      </c>
      <c r="D43" t="s">
        <v>42</v>
      </c>
      <c r="E43" t="s">
        <v>30</v>
      </c>
      <c r="F43" t="s">
        <v>40</v>
      </c>
      <c r="G43" t="s">
        <v>43</v>
      </c>
      <c r="H43">
        <v>1</v>
      </c>
      <c r="I43">
        <v>50.1</v>
      </c>
      <c r="J43">
        <v>50.1</v>
      </c>
      <c r="K43" t="s">
        <v>17</v>
      </c>
    </row>
    <row r="44" spans="1:11" x14ac:dyDescent="0.25">
      <c r="A44" s="1">
        <v>44804</v>
      </c>
      <c r="B44" t="s">
        <v>18</v>
      </c>
      <c r="C44" t="s">
        <v>19</v>
      </c>
      <c r="D44" t="s">
        <v>20</v>
      </c>
      <c r="E44" t="s">
        <v>30</v>
      </c>
      <c r="F44" t="s">
        <v>15</v>
      </c>
      <c r="G44" t="s">
        <v>22</v>
      </c>
      <c r="H44">
        <v>1</v>
      </c>
      <c r="I44">
        <v>56.49</v>
      </c>
      <c r="J44">
        <v>56.49</v>
      </c>
      <c r="K44" t="s">
        <v>35</v>
      </c>
    </row>
    <row r="45" spans="1:11" x14ac:dyDescent="0.25">
      <c r="A45" s="1">
        <v>44672</v>
      </c>
      <c r="B45" t="s">
        <v>37</v>
      </c>
      <c r="C45" t="s">
        <v>29</v>
      </c>
      <c r="D45" t="s">
        <v>38</v>
      </c>
      <c r="E45" t="s">
        <v>30</v>
      </c>
      <c r="F45" t="s">
        <v>40</v>
      </c>
      <c r="G45" t="s">
        <v>33</v>
      </c>
      <c r="H45">
        <v>5</v>
      </c>
      <c r="I45">
        <v>100.65</v>
      </c>
      <c r="J45">
        <v>503.25</v>
      </c>
      <c r="K45" t="s">
        <v>36</v>
      </c>
    </row>
    <row r="46" spans="1:11" x14ac:dyDescent="0.25">
      <c r="A46" s="1">
        <v>44794</v>
      </c>
      <c r="B46" t="s">
        <v>44</v>
      </c>
      <c r="C46" t="s">
        <v>19</v>
      </c>
      <c r="D46" t="s">
        <v>20</v>
      </c>
      <c r="E46" t="s">
        <v>30</v>
      </c>
      <c r="F46" t="s">
        <v>32</v>
      </c>
      <c r="G46" t="s">
        <v>16</v>
      </c>
      <c r="H46">
        <v>2</v>
      </c>
      <c r="I46">
        <v>160.44</v>
      </c>
      <c r="J46">
        <v>320.88</v>
      </c>
      <c r="K46" t="s">
        <v>35</v>
      </c>
    </row>
    <row r="47" spans="1:11" hidden="1" x14ac:dyDescent="0.25">
      <c r="A47" s="1">
        <v>44666</v>
      </c>
      <c r="B47" t="s">
        <v>48</v>
      </c>
      <c r="C47" t="s">
        <v>49</v>
      </c>
      <c r="D47" t="s">
        <v>50</v>
      </c>
      <c r="E47" t="s">
        <v>26</v>
      </c>
      <c r="F47" t="s">
        <v>21</v>
      </c>
      <c r="G47" t="s">
        <v>16</v>
      </c>
      <c r="H47">
        <v>4</v>
      </c>
      <c r="I47">
        <v>242.44</v>
      </c>
      <c r="J47">
        <v>969.76</v>
      </c>
      <c r="K47" t="s">
        <v>23</v>
      </c>
    </row>
    <row r="48" spans="1:11" x14ac:dyDescent="0.25">
      <c r="A48" s="1">
        <v>44688</v>
      </c>
      <c r="B48" t="s">
        <v>18</v>
      </c>
      <c r="C48" t="s">
        <v>19</v>
      </c>
      <c r="D48" t="s">
        <v>20</v>
      </c>
      <c r="E48" t="s">
        <v>14</v>
      </c>
      <c r="F48" t="s">
        <v>21</v>
      </c>
      <c r="G48" t="s">
        <v>33</v>
      </c>
      <c r="H48">
        <v>2</v>
      </c>
      <c r="I48">
        <v>209.81</v>
      </c>
      <c r="J48">
        <v>419.62</v>
      </c>
      <c r="K48" t="s">
        <v>17</v>
      </c>
    </row>
    <row r="49" spans="1:11" x14ac:dyDescent="0.25">
      <c r="A49" s="1">
        <v>44634</v>
      </c>
      <c r="B49" t="s">
        <v>44</v>
      </c>
      <c r="C49" t="s">
        <v>19</v>
      </c>
      <c r="D49" t="s">
        <v>20</v>
      </c>
      <c r="E49" t="s">
        <v>30</v>
      </c>
      <c r="F49" t="s">
        <v>32</v>
      </c>
      <c r="G49" t="s">
        <v>43</v>
      </c>
      <c r="H49">
        <v>4</v>
      </c>
      <c r="I49">
        <v>261.95999999999998</v>
      </c>
      <c r="J49">
        <v>1047.8399999999999</v>
      </c>
      <c r="K49" t="s">
        <v>23</v>
      </c>
    </row>
    <row r="50" spans="1:11" x14ac:dyDescent="0.25">
      <c r="A50" s="1">
        <v>44803</v>
      </c>
      <c r="B50" t="s">
        <v>41</v>
      </c>
      <c r="C50" t="s">
        <v>29</v>
      </c>
      <c r="D50" t="s">
        <v>42</v>
      </c>
      <c r="E50" t="s">
        <v>30</v>
      </c>
      <c r="F50" t="s">
        <v>32</v>
      </c>
      <c r="G50" t="s">
        <v>22</v>
      </c>
      <c r="H50">
        <v>3</v>
      </c>
      <c r="I50">
        <v>242.71</v>
      </c>
      <c r="J50">
        <v>728.13</v>
      </c>
      <c r="K50" t="s">
        <v>23</v>
      </c>
    </row>
    <row r="51" spans="1:11" x14ac:dyDescent="0.25">
      <c r="A51" s="1">
        <v>44718</v>
      </c>
      <c r="B51" t="s">
        <v>31</v>
      </c>
      <c r="C51" t="s">
        <v>19</v>
      </c>
      <c r="D51" t="s">
        <v>25</v>
      </c>
      <c r="E51" t="s">
        <v>26</v>
      </c>
      <c r="F51" t="s">
        <v>15</v>
      </c>
      <c r="G51" t="s">
        <v>22</v>
      </c>
      <c r="H51">
        <v>5</v>
      </c>
      <c r="I51">
        <v>299.3</v>
      </c>
      <c r="J51">
        <v>1496.5</v>
      </c>
      <c r="K51" t="s">
        <v>17</v>
      </c>
    </row>
    <row r="52" spans="1:11" x14ac:dyDescent="0.25">
      <c r="A52" s="1">
        <v>44802</v>
      </c>
      <c r="B52" t="s">
        <v>18</v>
      </c>
      <c r="C52" t="s">
        <v>19</v>
      </c>
      <c r="D52" t="s">
        <v>20</v>
      </c>
      <c r="E52" t="s">
        <v>14</v>
      </c>
      <c r="F52" t="s">
        <v>21</v>
      </c>
      <c r="G52" t="s">
        <v>22</v>
      </c>
      <c r="H52">
        <v>4</v>
      </c>
      <c r="I52">
        <v>162.85</v>
      </c>
      <c r="J52">
        <v>651.4</v>
      </c>
      <c r="K52" t="s">
        <v>35</v>
      </c>
    </row>
    <row r="53" spans="1:11" hidden="1" x14ac:dyDescent="0.25">
      <c r="A53" s="1">
        <v>44775</v>
      </c>
      <c r="B53" t="s">
        <v>48</v>
      </c>
      <c r="C53" t="s">
        <v>49</v>
      </c>
      <c r="D53" t="s">
        <v>50</v>
      </c>
      <c r="E53" t="s">
        <v>14</v>
      </c>
      <c r="F53" t="s">
        <v>21</v>
      </c>
      <c r="G53" t="s">
        <v>16</v>
      </c>
      <c r="H53">
        <v>5</v>
      </c>
      <c r="I53">
        <v>215.63</v>
      </c>
      <c r="J53">
        <v>1078.1500000000001</v>
      </c>
      <c r="K53" t="s">
        <v>17</v>
      </c>
    </row>
    <row r="54" spans="1:11" x14ac:dyDescent="0.25">
      <c r="A54" s="1">
        <v>44712</v>
      </c>
      <c r="B54" t="s">
        <v>31</v>
      </c>
      <c r="C54" t="s">
        <v>19</v>
      </c>
      <c r="D54" t="s">
        <v>25</v>
      </c>
      <c r="E54" t="s">
        <v>26</v>
      </c>
      <c r="F54" t="s">
        <v>15</v>
      </c>
      <c r="G54" t="s">
        <v>27</v>
      </c>
      <c r="H54">
        <v>1</v>
      </c>
      <c r="I54">
        <v>54.99</v>
      </c>
      <c r="J54">
        <v>54.99</v>
      </c>
      <c r="K54" t="s">
        <v>23</v>
      </c>
    </row>
    <row r="55" spans="1:11" x14ac:dyDescent="0.25">
      <c r="A55" s="1">
        <v>44593</v>
      </c>
      <c r="B55" t="s">
        <v>18</v>
      </c>
      <c r="C55" t="s">
        <v>19</v>
      </c>
      <c r="D55" t="s">
        <v>20</v>
      </c>
      <c r="E55" t="s">
        <v>30</v>
      </c>
      <c r="F55" t="s">
        <v>40</v>
      </c>
      <c r="G55" t="s">
        <v>34</v>
      </c>
      <c r="H55">
        <v>4</v>
      </c>
      <c r="I55">
        <v>185.7</v>
      </c>
      <c r="J55">
        <v>742.8</v>
      </c>
      <c r="K55" t="s">
        <v>36</v>
      </c>
    </row>
    <row r="56" spans="1:11" x14ac:dyDescent="0.25">
      <c r="A56" s="1">
        <v>44660</v>
      </c>
      <c r="B56" t="s">
        <v>28</v>
      </c>
      <c r="C56" t="s">
        <v>29</v>
      </c>
      <c r="D56" t="s">
        <v>25</v>
      </c>
      <c r="E56" t="s">
        <v>14</v>
      </c>
      <c r="F56" t="s">
        <v>21</v>
      </c>
      <c r="G56" t="s">
        <v>39</v>
      </c>
      <c r="H56">
        <v>2</v>
      </c>
      <c r="I56">
        <v>153.75</v>
      </c>
      <c r="J56">
        <v>307.5</v>
      </c>
      <c r="K56" t="s">
        <v>23</v>
      </c>
    </row>
    <row r="57" spans="1:11" x14ac:dyDescent="0.25">
      <c r="A57" s="1">
        <v>44641</v>
      </c>
      <c r="B57" t="s">
        <v>41</v>
      </c>
      <c r="C57" t="s">
        <v>29</v>
      </c>
      <c r="D57" t="s">
        <v>42</v>
      </c>
      <c r="E57" t="s">
        <v>30</v>
      </c>
      <c r="F57" t="s">
        <v>15</v>
      </c>
      <c r="G57" t="s">
        <v>33</v>
      </c>
      <c r="H57">
        <v>5</v>
      </c>
      <c r="I57">
        <v>235.5</v>
      </c>
      <c r="J57">
        <v>1177.5</v>
      </c>
      <c r="K57" t="s">
        <v>36</v>
      </c>
    </row>
    <row r="58" spans="1:11" x14ac:dyDescent="0.25">
      <c r="A58" s="1">
        <v>44765</v>
      </c>
      <c r="B58" t="s">
        <v>41</v>
      </c>
      <c r="C58" t="s">
        <v>29</v>
      </c>
      <c r="D58" t="s">
        <v>42</v>
      </c>
      <c r="E58" t="s">
        <v>26</v>
      </c>
      <c r="F58" t="s">
        <v>32</v>
      </c>
      <c r="G58" t="s">
        <v>39</v>
      </c>
      <c r="H58">
        <v>3</v>
      </c>
      <c r="I58">
        <v>239.76</v>
      </c>
      <c r="J58">
        <v>719.28</v>
      </c>
      <c r="K58" t="s">
        <v>17</v>
      </c>
    </row>
    <row r="59" spans="1:11" x14ac:dyDescent="0.25">
      <c r="A59" s="1">
        <v>44599</v>
      </c>
      <c r="B59" t="s">
        <v>37</v>
      </c>
      <c r="C59" t="s">
        <v>29</v>
      </c>
      <c r="D59" t="s">
        <v>38</v>
      </c>
      <c r="E59" t="s">
        <v>30</v>
      </c>
      <c r="F59" t="s">
        <v>32</v>
      </c>
      <c r="G59" t="s">
        <v>22</v>
      </c>
      <c r="H59">
        <v>4</v>
      </c>
      <c r="I59">
        <v>213.82</v>
      </c>
      <c r="J59">
        <v>855.28</v>
      </c>
      <c r="K59" t="s">
        <v>17</v>
      </c>
    </row>
    <row r="60" spans="1:11" x14ac:dyDescent="0.25">
      <c r="A60" s="1">
        <v>44678</v>
      </c>
      <c r="B60" t="s">
        <v>18</v>
      </c>
      <c r="C60" t="s">
        <v>19</v>
      </c>
      <c r="D60" t="s">
        <v>20</v>
      </c>
      <c r="E60" t="s">
        <v>26</v>
      </c>
      <c r="F60" t="s">
        <v>32</v>
      </c>
      <c r="G60" t="s">
        <v>16</v>
      </c>
      <c r="H60">
        <v>1</v>
      </c>
      <c r="I60">
        <v>67.2</v>
      </c>
      <c r="J60">
        <v>67.2</v>
      </c>
      <c r="K60" t="s">
        <v>36</v>
      </c>
    </row>
    <row r="61" spans="1:11" hidden="1" x14ac:dyDescent="0.25">
      <c r="A61" s="1">
        <v>44627</v>
      </c>
      <c r="B61" t="s">
        <v>45</v>
      </c>
      <c r="C61" t="s">
        <v>46</v>
      </c>
      <c r="D61" t="s">
        <v>47</v>
      </c>
      <c r="E61" t="s">
        <v>30</v>
      </c>
      <c r="F61" t="s">
        <v>40</v>
      </c>
      <c r="G61" t="s">
        <v>16</v>
      </c>
      <c r="H61">
        <v>4</v>
      </c>
      <c r="I61">
        <v>207.05</v>
      </c>
      <c r="J61">
        <v>828.2</v>
      </c>
      <c r="K61" t="s">
        <v>35</v>
      </c>
    </row>
    <row r="62" spans="1:11" x14ac:dyDescent="0.25">
      <c r="A62" s="1">
        <v>44686</v>
      </c>
      <c r="B62" t="s">
        <v>28</v>
      </c>
      <c r="C62" t="s">
        <v>29</v>
      </c>
      <c r="D62" t="s">
        <v>25</v>
      </c>
      <c r="E62" t="s">
        <v>14</v>
      </c>
      <c r="F62" t="s">
        <v>40</v>
      </c>
      <c r="G62" t="s">
        <v>16</v>
      </c>
      <c r="H62">
        <v>3</v>
      </c>
      <c r="I62">
        <v>257.92</v>
      </c>
      <c r="J62">
        <v>773.76</v>
      </c>
      <c r="K62" t="s">
        <v>36</v>
      </c>
    </row>
    <row r="63" spans="1:11" x14ac:dyDescent="0.25">
      <c r="A63" s="1">
        <v>44730</v>
      </c>
      <c r="B63" t="s">
        <v>18</v>
      </c>
      <c r="C63" t="s">
        <v>19</v>
      </c>
      <c r="D63" t="s">
        <v>20</v>
      </c>
      <c r="E63" t="s">
        <v>26</v>
      </c>
      <c r="F63" t="s">
        <v>15</v>
      </c>
      <c r="G63" t="s">
        <v>39</v>
      </c>
      <c r="H63">
        <v>1</v>
      </c>
      <c r="I63">
        <v>122.32</v>
      </c>
      <c r="J63">
        <v>122.32</v>
      </c>
      <c r="K63" t="s">
        <v>23</v>
      </c>
    </row>
    <row r="64" spans="1:11" x14ac:dyDescent="0.25">
      <c r="A64" s="1">
        <v>44707</v>
      </c>
      <c r="B64" t="s">
        <v>11</v>
      </c>
      <c r="C64" t="s">
        <v>12</v>
      </c>
      <c r="D64" t="s">
        <v>13</v>
      </c>
      <c r="E64" t="s">
        <v>14</v>
      </c>
      <c r="F64" t="s">
        <v>32</v>
      </c>
      <c r="G64" t="s">
        <v>22</v>
      </c>
      <c r="H64">
        <v>1</v>
      </c>
      <c r="I64">
        <v>203.63</v>
      </c>
      <c r="J64">
        <v>203.63</v>
      </c>
      <c r="K64" t="s">
        <v>23</v>
      </c>
    </row>
    <row r="65" spans="1:11" x14ac:dyDescent="0.25">
      <c r="A65" s="1">
        <v>44709</v>
      </c>
      <c r="B65" t="s">
        <v>31</v>
      </c>
      <c r="C65" t="s">
        <v>19</v>
      </c>
      <c r="D65" t="s">
        <v>25</v>
      </c>
      <c r="E65" t="s">
        <v>30</v>
      </c>
      <c r="F65" t="s">
        <v>40</v>
      </c>
      <c r="G65" t="s">
        <v>39</v>
      </c>
      <c r="H65">
        <v>3</v>
      </c>
      <c r="I65">
        <v>278.14999999999998</v>
      </c>
      <c r="J65">
        <v>834.45</v>
      </c>
      <c r="K65" t="s">
        <v>36</v>
      </c>
    </row>
    <row r="66" spans="1:11" x14ac:dyDescent="0.25">
      <c r="A66" s="1">
        <v>44745</v>
      </c>
      <c r="B66" t="s">
        <v>28</v>
      </c>
      <c r="C66" t="s">
        <v>29</v>
      </c>
      <c r="D66" t="s">
        <v>25</v>
      </c>
      <c r="E66" t="s">
        <v>30</v>
      </c>
      <c r="F66" t="s">
        <v>40</v>
      </c>
      <c r="G66" t="s">
        <v>27</v>
      </c>
      <c r="H66">
        <v>3</v>
      </c>
      <c r="I66">
        <v>129.78</v>
      </c>
      <c r="J66">
        <v>389.34</v>
      </c>
      <c r="K66" t="s">
        <v>17</v>
      </c>
    </row>
    <row r="67" spans="1:11" x14ac:dyDescent="0.25">
      <c r="A67" s="1">
        <v>44717</v>
      </c>
      <c r="B67" t="s">
        <v>31</v>
      </c>
      <c r="C67" t="s">
        <v>19</v>
      </c>
      <c r="D67" t="s">
        <v>25</v>
      </c>
      <c r="E67" t="s">
        <v>30</v>
      </c>
      <c r="F67" t="s">
        <v>32</v>
      </c>
      <c r="G67" t="s">
        <v>33</v>
      </c>
      <c r="H67">
        <v>5</v>
      </c>
      <c r="I67">
        <v>199.42</v>
      </c>
      <c r="J67">
        <v>997.1</v>
      </c>
      <c r="K67" t="s">
        <v>23</v>
      </c>
    </row>
    <row r="68" spans="1:11" x14ac:dyDescent="0.25">
      <c r="A68" s="1">
        <v>44738</v>
      </c>
      <c r="B68" t="s">
        <v>44</v>
      </c>
      <c r="C68" t="s">
        <v>19</v>
      </c>
      <c r="D68" t="s">
        <v>20</v>
      </c>
      <c r="E68" t="s">
        <v>30</v>
      </c>
      <c r="F68" t="s">
        <v>15</v>
      </c>
      <c r="G68" t="s">
        <v>16</v>
      </c>
      <c r="H68">
        <v>5</v>
      </c>
      <c r="I68">
        <v>98.23</v>
      </c>
      <c r="J68">
        <v>491.15</v>
      </c>
      <c r="K68" t="s">
        <v>23</v>
      </c>
    </row>
    <row r="69" spans="1:11" x14ac:dyDescent="0.25">
      <c r="A69" s="1">
        <v>44688</v>
      </c>
      <c r="B69" t="s">
        <v>24</v>
      </c>
      <c r="C69" t="s">
        <v>19</v>
      </c>
      <c r="D69" t="s">
        <v>25</v>
      </c>
      <c r="E69" t="s">
        <v>14</v>
      </c>
      <c r="F69" t="s">
        <v>21</v>
      </c>
      <c r="G69" t="s">
        <v>33</v>
      </c>
      <c r="H69">
        <v>1</v>
      </c>
      <c r="I69">
        <v>114.47</v>
      </c>
      <c r="J69">
        <v>114.47</v>
      </c>
      <c r="K69" t="s">
        <v>36</v>
      </c>
    </row>
    <row r="70" spans="1:11" hidden="1" x14ac:dyDescent="0.25">
      <c r="A70" s="1">
        <v>44624</v>
      </c>
      <c r="B70" t="s">
        <v>48</v>
      </c>
      <c r="C70" t="s">
        <v>49</v>
      </c>
      <c r="D70" t="s">
        <v>50</v>
      </c>
      <c r="E70" t="s">
        <v>26</v>
      </c>
      <c r="F70" t="s">
        <v>21</v>
      </c>
      <c r="G70" t="s">
        <v>16</v>
      </c>
      <c r="H70">
        <v>5</v>
      </c>
      <c r="I70">
        <v>224.71</v>
      </c>
      <c r="J70">
        <v>1123.55</v>
      </c>
      <c r="K70" t="s">
        <v>35</v>
      </c>
    </row>
    <row r="71" spans="1:11" x14ac:dyDescent="0.25">
      <c r="A71" s="1">
        <v>44590</v>
      </c>
      <c r="B71" t="s">
        <v>31</v>
      </c>
      <c r="C71" t="s">
        <v>19</v>
      </c>
      <c r="D71" t="s">
        <v>25</v>
      </c>
      <c r="E71" t="s">
        <v>14</v>
      </c>
      <c r="F71" t="s">
        <v>15</v>
      </c>
      <c r="G71" t="s">
        <v>43</v>
      </c>
      <c r="H71">
        <v>3</v>
      </c>
      <c r="I71">
        <v>104.04</v>
      </c>
      <c r="J71">
        <v>312.12</v>
      </c>
      <c r="K71" t="s">
        <v>23</v>
      </c>
    </row>
    <row r="72" spans="1:11" hidden="1" x14ac:dyDescent="0.25">
      <c r="A72" s="1">
        <v>44622</v>
      </c>
      <c r="B72" t="s">
        <v>48</v>
      </c>
      <c r="C72" t="s">
        <v>49</v>
      </c>
      <c r="D72" t="s">
        <v>50</v>
      </c>
      <c r="E72" t="s">
        <v>30</v>
      </c>
      <c r="F72" t="s">
        <v>40</v>
      </c>
      <c r="G72" t="s">
        <v>34</v>
      </c>
      <c r="H72">
        <v>5</v>
      </c>
      <c r="I72">
        <v>140.26</v>
      </c>
      <c r="J72">
        <v>701.3</v>
      </c>
      <c r="K72" t="s">
        <v>17</v>
      </c>
    </row>
    <row r="73" spans="1:11" x14ac:dyDescent="0.25">
      <c r="A73" s="1">
        <v>44713</v>
      </c>
      <c r="B73" t="s">
        <v>44</v>
      </c>
      <c r="C73" t="s">
        <v>19</v>
      </c>
      <c r="D73" t="s">
        <v>20</v>
      </c>
      <c r="E73" t="s">
        <v>30</v>
      </c>
      <c r="F73" t="s">
        <v>21</v>
      </c>
      <c r="G73" t="s">
        <v>34</v>
      </c>
      <c r="H73">
        <v>5</v>
      </c>
      <c r="I73">
        <v>215.38</v>
      </c>
      <c r="J73">
        <v>1076.9000000000001</v>
      </c>
      <c r="K73" t="s">
        <v>17</v>
      </c>
    </row>
    <row r="74" spans="1:11" x14ac:dyDescent="0.25">
      <c r="A74" s="1">
        <v>44696</v>
      </c>
      <c r="B74" t="s">
        <v>18</v>
      </c>
      <c r="C74" t="s">
        <v>19</v>
      </c>
      <c r="D74" t="s">
        <v>20</v>
      </c>
      <c r="E74" t="s">
        <v>26</v>
      </c>
      <c r="F74" t="s">
        <v>15</v>
      </c>
      <c r="G74" t="s">
        <v>33</v>
      </c>
      <c r="H74">
        <v>4</v>
      </c>
      <c r="I74">
        <v>127.55</v>
      </c>
      <c r="J74">
        <v>510.2</v>
      </c>
      <c r="K74" t="s">
        <v>23</v>
      </c>
    </row>
    <row r="75" spans="1:11" x14ac:dyDescent="0.25">
      <c r="A75" s="1">
        <v>44803</v>
      </c>
      <c r="B75" t="s">
        <v>31</v>
      </c>
      <c r="C75" t="s">
        <v>19</v>
      </c>
      <c r="D75" t="s">
        <v>25</v>
      </c>
      <c r="E75" t="s">
        <v>26</v>
      </c>
      <c r="F75" t="s">
        <v>15</v>
      </c>
      <c r="G75" t="s">
        <v>34</v>
      </c>
      <c r="H75">
        <v>3</v>
      </c>
      <c r="I75">
        <v>182.2</v>
      </c>
      <c r="J75">
        <v>546.6</v>
      </c>
      <c r="K75" t="s">
        <v>17</v>
      </c>
    </row>
    <row r="76" spans="1:11" x14ac:dyDescent="0.25">
      <c r="A76" s="1">
        <v>44655</v>
      </c>
      <c r="B76" t="s">
        <v>28</v>
      </c>
      <c r="C76" t="s">
        <v>29</v>
      </c>
      <c r="D76" t="s">
        <v>25</v>
      </c>
      <c r="E76" t="s">
        <v>30</v>
      </c>
      <c r="F76" t="s">
        <v>32</v>
      </c>
      <c r="G76" t="s">
        <v>27</v>
      </c>
      <c r="H76">
        <v>4</v>
      </c>
      <c r="I76">
        <v>246.66</v>
      </c>
      <c r="J76">
        <v>986.64</v>
      </c>
      <c r="K76" t="s">
        <v>23</v>
      </c>
    </row>
    <row r="77" spans="1:11" x14ac:dyDescent="0.25">
      <c r="A77" s="1">
        <v>44728</v>
      </c>
      <c r="B77" t="s">
        <v>18</v>
      </c>
      <c r="C77" t="s">
        <v>19</v>
      </c>
      <c r="D77" t="s">
        <v>20</v>
      </c>
      <c r="E77" t="s">
        <v>26</v>
      </c>
      <c r="F77" t="s">
        <v>32</v>
      </c>
      <c r="G77" t="s">
        <v>16</v>
      </c>
      <c r="H77">
        <v>5</v>
      </c>
      <c r="I77">
        <v>262.68</v>
      </c>
      <c r="J77">
        <v>1313.4</v>
      </c>
      <c r="K77" t="s">
        <v>36</v>
      </c>
    </row>
    <row r="78" spans="1:11" x14ac:dyDescent="0.25">
      <c r="A78" s="1">
        <v>44585</v>
      </c>
      <c r="B78" t="s">
        <v>44</v>
      </c>
      <c r="C78" t="s">
        <v>19</v>
      </c>
      <c r="D78" t="s">
        <v>20</v>
      </c>
      <c r="E78" t="s">
        <v>30</v>
      </c>
      <c r="F78" t="s">
        <v>15</v>
      </c>
      <c r="G78" t="s">
        <v>22</v>
      </c>
      <c r="H78">
        <v>3</v>
      </c>
      <c r="I78">
        <v>101.39</v>
      </c>
      <c r="J78">
        <v>304.17</v>
      </c>
      <c r="K78" t="s">
        <v>23</v>
      </c>
    </row>
    <row r="79" spans="1:11" x14ac:dyDescent="0.25">
      <c r="A79" s="1">
        <v>44606</v>
      </c>
      <c r="B79" t="s">
        <v>37</v>
      </c>
      <c r="C79" t="s">
        <v>29</v>
      </c>
      <c r="D79" t="s">
        <v>38</v>
      </c>
      <c r="E79" t="s">
        <v>26</v>
      </c>
      <c r="F79" t="s">
        <v>32</v>
      </c>
      <c r="G79" t="s">
        <v>16</v>
      </c>
      <c r="H79">
        <v>1</v>
      </c>
      <c r="I79">
        <v>59.05</v>
      </c>
      <c r="J79">
        <v>59.05</v>
      </c>
      <c r="K79" t="s">
        <v>23</v>
      </c>
    </row>
    <row r="80" spans="1:11" x14ac:dyDescent="0.25">
      <c r="A80" s="1">
        <v>44629</v>
      </c>
      <c r="B80" t="s">
        <v>37</v>
      </c>
      <c r="C80" t="s">
        <v>29</v>
      </c>
      <c r="D80" t="s">
        <v>38</v>
      </c>
      <c r="E80" t="s">
        <v>14</v>
      </c>
      <c r="F80" t="s">
        <v>21</v>
      </c>
      <c r="G80" t="s">
        <v>39</v>
      </c>
      <c r="H80">
        <v>1</v>
      </c>
      <c r="I80">
        <v>101.32</v>
      </c>
      <c r="J80">
        <v>101.32</v>
      </c>
      <c r="K80" t="s">
        <v>35</v>
      </c>
    </row>
    <row r="81" spans="1:11" x14ac:dyDescent="0.25">
      <c r="A81" s="1">
        <v>44758</v>
      </c>
      <c r="B81" t="s">
        <v>24</v>
      </c>
      <c r="C81" t="s">
        <v>19</v>
      </c>
      <c r="D81" t="s">
        <v>25</v>
      </c>
      <c r="E81" t="s">
        <v>30</v>
      </c>
      <c r="F81" t="s">
        <v>40</v>
      </c>
      <c r="G81" t="s">
        <v>33</v>
      </c>
      <c r="H81">
        <v>4</v>
      </c>
      <c r="I81">
        <v>228.88</v>
      </c>
      <c r="J81">
        <v>915.52</v>
      </c>
      <c r="K81" t="s">
        <v>17</v>
      </c>
    </row>
    <row r="82" spans="1:11" x14ac:dyDescent="0.25">
      <c r="A82" s="1">
        <v>44727</v>
      </c>
      <c r="B82" t="s">
        <v>24</v>
      </c>
      <c r="C82" t="s">
        <v>19</v>
      </c>
      <c r="D82" t="s">
        <v>25</v>
      </c>
      <c r="E82" t="s">
        <v>26</v>
      </c>
      <c r="F82" t="s">
        <v>15</v>
      </c>
      <c r="G82" t="s">
        <v>16</v>
      </c>
      <c r="H82">
        <v>4</v>
      </c>
      <c r="I82">
        <v>258.60000000000002</v>
      </c>
      <c r="J82">
        <v>1034.4000000000001</v>
      </c>
      <c r="K82" t="s">
        <v>17</v>
      </c>
    </row>
    <row r="83" spans="1:11" x14ac:dyDescent="0.25">
      <c r="A83" s="1">
        <v>44611</v>
      </c>
      <c r="B83" t="s">
        <v>44</v>
      </c>
      <c r="C83" t="s">
        <v>19</v>
      </c>
      <c r="D83" t="s">
        <v>20</v>
      </c>
      <c r="E83" t="s">
        <v>14</v>
      </c>
      <c r="F83" t="s">
        <v>21</v>
      </c>
      <c r="G83" t="s">
        <v>33</v>
      </c>
      <c r="H83">
        <v>4</v>
      </c>
      <c r="I83">
        <v>129.94999999999999</v>
      </c>
      <c r="J83">
        <v>519.79999999999995</v>
      </c>
      <c r="K83" t="s">
        <v>23</v>
      </c>
    </row>
    <row r="84" spans="1:11" x14ac:dyDescent="0.25">
      <c r="A84" s="1">
        <v>44748</v>
      </c>
      <c r="B84" t="s">
        <v>44</v>
      </c>
      <c r="C84" t="s">
        <v>19</v>
      </c>
      <c r="D84" t="s">
        <v>20</v>
      </c>
      <c r="E84" t="s">
        <v>26</v>
      </c>
      <c r="F84" t="s">
        <v>32</v>
      </c>
      <c r="G84" t="s">
        <v>27</v>
      </c>
      <c r="H84">
        <v>5</v>
      </c>
      <c r="I84">
        <v>190.03</v>
      </c>
      <c r="J84">
        <v>950.15</v>
      </c>
      <c r="K84" t="s">
        <v>23</v>
      </c>
    </row>
    <row r="85" spans="1:11" hidden="1" x14ac:dyDescent="0.25">
      <c r="A85" s="1">
        <v>44593</v>
      </c>
      <c r="B85" t="s">
        <v>45</v>
      </c>
      <c r="C85" t="s">
        <v>46</v>
      </c>
      <c r="D85" t="s">
        <v>47</v>
      </c>
      <c r="E85" t="s">
        <v>14</v>
      </c>
      <c r="F85" t="s">
        <v>32</v>
      </c>
      <c r="G85" t="s">
        <v>39</v>
      </c>
      <c r="H85">
        <v>1</v>
      </c>
      <c r="I85">
        <v>239.21</v>
      </c>
      <c r="J85">
        <v>239.21</v>
      </c>
      <c r="K85" t="s">
        <v>36</v>
      </c>
    </row>
    <row r="86" spans="1:11" x14ac:dyDescent="0.25">
      <c r="A86" s="1">
        <v>44645</v>
      </c>
      <c r="B86" t="s">
        <v>11</v>
      </c>
      <c r="C86" t="s">
        <v>12</v>
      </c>
      <c r="D86" t="s">
        <v>13</v>
      </c>
      <c r="E86" t="s">
        <v>14</v>
      </c>
      <c r="F86" t="s">
        <v>21</v>
      </c>
      <c r="G86" t="s">
        <v>33</v>
      </c>
      <c r="H86">
        <v>1</v>
      </c>
      <c r="I86">
        <v>271.18</v>
      </c>
      <c r="J86">
        <v>271.18</v>
      </c>
      <c r="K86" t="s">
        <v>23</v>
      </c>
    </row>
    <row r="87" spans="1:11" hidden="1" x14ac:dyDescent="0.25">
      <c r="A87" s="1">
        <v>44595</v>
      </c>
      <c r="B87" t="s">
        <v>48</v>
      </c>
      <c r="C87" t="s">
        <v>49</v>
      </c>
      <c r="D87" t="s">
        <v>50</v>
      </c>
      <c r="E87" t="s">
        <v>26</v>
      </c>
      <c r="F87" t="s">
        <v>21</v>
      </c>
      <c r="G87" t="s">
        <v>16</v>
      </c>
      <c r="H87">
        <v>5</v>
      </c>
      <c r="I87">
        <v>140.65</v>
      </c>
      <c r="J87">
        <v>703.25</v>
      </c>
      <c r="K87" t="s">
        <v>36</v>
      </c>
    </row>
    <row r="88" spans="1:11" x14ac:dyDescent="0.25">
      <c r="A88" s="1">
        <v>44742</v>
      </c>
      <c r="B88" t="s">
        <v>11</v>
      </c>
      <c r="C88" t="s">
        <v>12</v>
      </c>
      <c r="D88" t="s">
        <v>13</v>
      </c>
      <c r="E88" t="s">
        <v>14</v>
      </c>
      <c r="F88" t="s">
        <v>21</v>
      </c>
      <c r="G88" t="s">
        <v>34</v>
      </c>
      <c r="H88">
        <v>3</v>
      </c>
      <c r="I88">
        <v>97.21</v>
      </c>
      <c r="J88">
        <v>291.63</v>
      </c>
      <c r="K88" t="s">
        <v>23</v>
      </c>
    </row>
    <row r="89" spans="1:11" x14ac:dyDescent="0.25">
      <c r="A89" s="1">
        <v>44604</v>
      </c>
      <c r="B89" t="s">
        <v>41</v>
      </c>
      <c r="C89" t="s">
        <v>29</v>
      </c>
      <c r="D89" t="s">
        <v>42</v>
      </c>
      <c r="E89" t="s">
        <v>30</v>
      </c>
      <c r="F89" t="s">
        <v>40</v>
      </c>
      <c r="G89" t="s">
        <v>34</v>
      </c>
      <c r="H89">
        <v>5</v>
      </c>
      <c r="I89">
        <v>110.05</v>
      </c>
      <c r="J89">
        <v>550.25</v>
      </c>
      <c r="K89" t="s">
        <v>17</v>
      </c>
    </row>
    <row r="90" spans="1:11" x14ac:dyDescent="0.25">
      <c r="A90" s="1">
        <v>44757</v>
      </c>
      <c r="B90" t="s">
        <v>44</v>
      </c>
      <c r="C90" t="s">
        <v>19</v>
      </c>
      <c r="D90" t="s">
        <v>20</v>
      </c>
      <c r="E90" t="s">
        <v>14</v>
      </c>
      <c r="F90" t="s">
        <v>32</v>
      </c>
      <c r="G90" t="s">
        <v>27</v>
      </c>
      <c r="H90">
        <v>1</v>
      </c>
      <c r="I90">
        <v>209.13</v>
      </c>
      <c r="J90">
        <v>209.13</v>
      </c>
      <c r="K90" t="s">
        <v>23</v>
      </c>
    </row>
    <row r="91" spans="1:11" x14ac:dyDescent="0.25">
      <c r="A91" s="1">
        <v>44598</v>
      </c>
      <c r="B91" t="s">
        <v>24</v>
      </c>
      <c r="C91" t="s">
        <v>19</v>
      </c>
      <c r="D91" t="s">
        <v>25</v>
      </c>
      <c r="E91" t="s">
        <v>26</v>
      </c>
      <c r="F91" t="s">
        <v>40</v>
      </c>
      <c r="G91" t="s">
        <v>33</v>
      </c>
      <c r="H91">
        <v>1</v>
      </c>
      <c r="I91">
        <v>256.81</v>
      </c>
      <c r="J91">
        <v>256.81</v>
      </c>
      <c r="K91" t="s">
        <v>17</v>
      </c>
    </row>
    <row r="92" spans="1:11" x14ac:dyDescent="0.25">
      <c r="A92" s="1">
        <v>44581</v>
      </c>
      <c r="B92" t="s">
        <v>41</v>
      </c>
      <c r="C92" t="s">
        <v>29</v>
      </c>
      <c r="D92" t="s">
        <v>42</v>
      </c>
      <c r="E92" t="s">
        <v>26</v>
      </c>
      <c r="F92" t="s">
        <v>15</v>
      </c>
      <c r="G92" t="s">
        <v>27</v>
      </c>
      <c r="H92">
        <v>2</v>
      </c>
      <c r="I92">
        <v>53.05</v>
      </c>
      <c r="J92">
        <v>106.1</v>
      </c>
      <c r="K92" t="s">
        <v>23</v>
      </c>
    </row>
    <row r="93" spans="1:11" x14ac:dyDescent="0.25">
      <c r="A93" s="1">
        <v>44654</v>
      </c>
      <c r="B93" t="s">
        <v>18</v>
      </c>
      <c r="C93" t="s">
        <v>19</v>
      </c>
      <c r="D93" t="s">
        <v>20</v>
      </c>
      <c r="E93" t="s">
        <v>30</v>
      </c>
      <c r="F93" t="s">
        <v>40</v>
      </c>
      <c r="G93" t="s">
        <v>34</v>
      </c>
      <c r="H93">
        <v>4</v>
      </c>
      <c r="I93">
        <v>127.11</v>
      </c>
      <c r="J93">
        <v>508.44</v>
      </c>
      <c r="K93" t="s">
        <v>23</v>
      </c>
    </row>
    <row r="94" spans="1:11" x14ac:dyDescent="0.25">
      <c r="A94" s="1">
        <v>44744</v>
      </c>
      <c r="B94" t="s">
        <v>28</v>
      </c>
      <c r="C94" t="s">
        <v>29</v>
      </c>
      <c r="D94" t="s">
        <v>25</v>
      </c>
      <c r="E94" t="s">
        <v>26</v>
      </c>
      <c r="F94" t="s">
        <v>40</v>
      </c>
      <c r="G94" t="s">
        <v>16</v>
      </c>
      <c r="H94">
        <v>2</v>
      </c>
      <c r="I94">
        <v>259.45999999999998</v>
      </c>
      <c r="J94">
        <v>518.91999999999996</v>
      </c>
      <c r="K94" t="s">
        <v>36</v>
      </c>
    </row>
    <row r="95" spans="1:11" x14ac:dyDescent="0.25">
      <c r="A95" s="1">
        <v>44632</v>
      </c>
      <c r="B95" t="s">
        <v>37</v>
      </c>
      <c r="C95" t="s">
        <v>29</v>
      </c>
      <c r="D95" t="s">
        <v>38</v>
      </c>
      <c r="E95" t="s">
        <v>14</v>
      </c>
      <c r="F95" t="s">
        <v>32</v>
      </c>
      <c r="G95" t="s">
        <v>34</v>
      </c>
      <c r="H95">
        <v>2</v>
      </c>
      <c r="I95">
        <v>183.29</v>
      </c>
      <c r="J95">
        <v>366.58</v>
      </c>
      <c r="K95" t="s">
        <v>36</v>
      </c>
    </row>
    <row r="96" spans="1:11" x14ac:dyDescent="0.25">
      <c r="A96" s="1">
        <v>44577</v>
      </c>
      <c r="B96" t="s">
        <v>37</v>
      </c>
      <c r="C96" t="s">
        <v>29</v>
      </c>
      <c r="D96" t="s">
        <v>38</v>
      </c>
      <c r="E96" t="s">
        <v>26</v>
      </c>
      <c r="F96" t="s">
        <v>40</v>
      </c>
      <c r="G96" t="s">
        <v>39</v>
      </c>
      <c r="H96">
        <v>2</v>
      </c>
      <c r="I96">
        <v>130.4</v>
      </c>
      <c r="J96">
        <v>260.8</v>
      </c>
      <c r="K96" t="s">
        <v>23</v>
      </c>
    </row>
    <row r="97" spans="1:11" x14ac:dyDescent="0.25">
      <c r="A97" s="1">
        <v>44621</v>
      </c>
      <c r="B97" t="s">
        <v>18</v>
      </c>
      <c r="C97" t="s">
        <v>19</v>
      </c>
      <c r="D97" t="s">
        <v>20</v>
      </c>
      <c r="E97" t="s">
        <v>30</v>
      </c>
      <c r="F97" t="s">
        <v>21</v>
      </c>
      <c r="G97" t="s">
        <v>39</v>
      </c>
      <c r="H97">
        <v>5</v>
      </c>
      <c r="I97">
        <v>112.04</v>
      </c>
      <c r="J97">
        <v>560.20000000000005</v>
      </c>
      <c r="K97" t="s">
        <v>36</v>
      </c>
    </row>
    <row r="98" spans="1:11" hidden="1" x14ac:dyDescent="0.25">
      <c r="A98" s="1">
        <v>44619</v>
      </c>
      <c r="B98" t="s">
        <v>48</v>
      </c>
      <c r="C98" t="s">
        <v>49</v>
      </c>
      <c r="D98" t="s">
        <v>50</v>
      </c>
      <c r="E98" t="s">
        <v>26</v>
      </c>
      <c r="F98" t="s">
        <v>32</v>
      </c>
      <c r="G98" t="s">
        <v>16</v>
      </c>
      <c r="H98">
        <v>5</v>
      </c>
      <c r="I98">
        <v>85.1</v>
      </c>
      <c r="J98">
        <v>425.5</v>
      </c>
      <c r="K98" t="s">
        <v>23</v>
      </c>
    </row>
    <row r="99" spans="1:11" hidden="1" x14ac:dyDescent="0.25">
      <c r="A99" s="1">
        <v>44744</v>
      </c>
      <c r="B99" t="s">
        <v>48</v>
      </c>
      <c r="C99" t="s">
        <v>49</v>
      </c>
      <c r="D99" t="s">
        <v>50</v>
      </c>
      <c r="E99" t="s">
        <v>14</v>
      </c>
      <c r="F99" t="s">
        <v>21</v>
      </c>
      <c r="G99" t="s">
        <v>33</v>
      </c>
      <c r="H99">
        <v>1</v>
      </c>
      <c r="I99">
        <v>180.65</v>
      </c>
      <c r="J99">
        <v>180.65</v>
      </c>
      <c r="K99" t="s">
        <v>23</v>
      </c>
    </row>
    <row r="100" spans="1:11" hidden="1" x14ac:dyDescent="0.25">
      <c r="A100" s="1">
        <v>44600</v>
      </c>
      <c r="B100" t="s">
        <v>45</v>
      </c>
      <c r="C100" t="s">
        <v>46</v>
      </c>
      <c r="D100" t="s">
        <v>47</v>
      </c>
      <c r="E100" t="s">
        <v>26</v>
      </c>
      <c r="F100" t="s">
        <v>32</v>
      </c>
      <c r="G100" t="s">
        <v>34</v>
      </c>
      <c r="H100">
        <v>5</v>
      </c>
      <c r="I100">
        <v>147.13</v>
      </c>
      <c r="J100">
        <v>735.65</v>
      </c>
      <c r="K100" t="s">
        <v>36</v>
      </c>
    </row>
    <row r="101" spans="1:11" hidden="1" x14ac:dyDescent="0.25">
      <c r="A101" s="1">
        <v>44583</v>
      </c>
      <c r="B101" t="s">
        <v>48</v>
      </c>
      <c r="C101" t="s">
        <v>49</v>
      </c>
      <c r="D101" t="s">
        <v>50</v>
      </c>
      <c r="E101" t="s">
        <v>26</v>
      </c>
      <c r="F101" t="s">
        <v>15</v>
      </c>
      <c r="G101" t="s">
        <v>33</v>
      </c>
      <c r="H101">
        <v>3</v>
      </c>
      <c r="I101">
        <v>110.78</v>
      </c>
      <c r="J101">
        <v>332.34</v>
      </c>
      <c r="K101" t="s">
        <v>23</v>
      </c>
    </row>
    <row r="102" spans="1:11" x14ac:dyDescent="0.25">
      <c r="A102" s="1">
        <v>44736</v>
      </c>
      <c r="B102" t="s">
        <v>28</v>
      </c>
      <c r="C102" t="s">
        <v>29</v>
      </c>
      <c r="D102" t="s">
        <v>25</v>
      </c>
      <c r="E102" t="s">
        <v>26</v>
      </c>
      <c r="F102" t="s">
        <v>21</v>
      </c>
      <c r="G102" t="s">
        <v>43</v>
      </c>
      <c r="H102">
        <v>5</v>
      </c>
      <c r="I102">
        <v>58.37</v>
      </c>
      <c r="J102">
        <v>291.85000000000002</v>
      </c>
      <c r="K102" t="s">
        <v>35</v>
      </c>
    </row>
    <row r="103" spans="1:11" x14ac:dyDescent="0.25">
      <c r="A103" s="1">
        <v>44765</v>
      </c>
      <c r="B103" t="s">
        <v>41</v>
      </c>
      <c r="C103" t="s">
        <v>29</v>
      </c>
      <c r="D103" t="s">
        <v>42</v>
      </c>
      <c r="E103" t="s">
        <v>26</v>
      </c>
      <c r="F103" t="s">
        <v>32</v>
      </c>
      <c r="G103" t="s">
        <v>27</v>
      </c>
      <c r="H103">
        <v>5</v>
      </c>
      <c r="I103">
        <v>241.67</v>
      </c>
      <c r="J103">
        <v>1208.3499999999999</v>
      </c>
      <c r="K103" t="s">
        <v>17</v>
      </c>
    </row>
    <row r="104" spans="1:11" x14ac:dyDescent="0.25">
      <c r="A104" s="1">
        <v>44767</v>
      </c>
      <c r="B104" t="s">
        <v>37</v>
      </c>
      <c r="C104" t="s">
        <v>29</v>
      </c>
      <c r="D104" t="s">
        <v>38</v>
      </c>
      <c r="E104" t="s">
        <v>26</v>
      </c>
      <c r="F104" t="s">
        <v>15</v>
      </c>
      <c r="G104" t="s">
        <v>22</v>
      </c>
      <c r="H104">
        <v>2</v>
      </c>
      <c r="I104">
        <v>89.67</v>
      </c>
      <c r="J104">
        <v>179.34</v>
      </c>
      <c r="K104" t="s">
        <v>35</v>
      </c>
    </row>
    <row r="105" spans="1:11" x14ac:dyDescent="0.25">
      <c r="A105" s="1">
        <v>44710</v>
      </c>
      <c r="B105" t="s">
        <v>24</v>
      </c>
      <c r="C105" t="s">
        <v>19</v>
      </c>
      <c r="D105" t="s">
        <v>25</v>
      </c>
      <c r="E105" t="s">
        <v>26</v>
      </c>
      <c r="F105" t="s">
        <v>21</v>
      </c>
      <c r="G105" t="s">
        <v>39</v>
      </c>
      <c r="H105">
        <v>1</v>
      </c>
      <c r="I105">
        <v>132.09</v>
      </c>
      <c r="J105">
        <v>132.09</v>
      </c>
      <c r="K105" t="s">
        <v>35</v>
      </c>
    </row>
    <row r="106" spans="1:11" hidden="1" x14ac:dyDescent="0.25">
      <c r="A106" s="1">
        <v>44777</v>
      </c>
      <c r="B106" t="s">
        <v>45</v>
      </c>
      <c r="C106" t="s">
        <v>46</v>
      </c>
      <c r="D106" t="s">
        <v>47</v>
      </c>
      <c r="E106" t="s">
        <v>26</v>
      </c>
      <c r="F106" t="s">
        <v>32</v>
      </c>
      <c r="G106" t="s">
        <v>16</v>
      </c>
      <c r="H106">
        <v>2</v>
      </c>
      <c r="I106">
        <v>202.18</v>
      </c>
      <c r="J106">
        <v>404.36</v>
      </c>
      <c r="K106" t="s">
        <v>35</v>
      </c>
    </row>
    <row r="107" spans="1:11" x14ac:dyDescent="0.25">
      <c r="A107" s="1">
        <v>44604</v>
      </c>
      <c r="B107" t="s">
        <v>18</v>
      </c>
      <c r="C107" t="s">
        <v>19</v>
      </c>
      <c r="D107" t="s">
        <v>20</v>
      </c>
      <c r="E107" t="s">
        <v>30</v>
      </c>
      <c r="F107" t="s">
        <v>32</v>
      </c>
      <c r="G107" t="s">
        <v>34</v>
      </c>
      <c r="H107">
        <v>3</v>
      </c>
      <c r="I107">
        <v>90.19</v>
      </c>
      <c r="J107">
        <v>270.57</v>
      </c>
      <c r="K107" t="s">
        <v>23</v>
      </c>
    </row>
    <row r="108" spans="1:11" x14ac:dyDescent="0.25">
      <c r="A108" s="1">
        <v>44621</v>
      </c>
      <c r="B108" t="s">
        <v>28</v>
      </c>
      <c r="C108" t="s">
        <v>29</v>
      </c>
      <c r="D108" t="s">
        <v>25</v>
      </c>
      <c r="E108" t="s">
        <v>14</v>
      </c>
      <c r="F108" t="s">
        <v>21</v>
      </c>
      <c r="G108" t="s">
        <v>22</v>
      </c>
      <c r="H108">
        <v>2</v>
      </c>
      <c r="I108">
        <v>179.28</v>
      </c>
      <c r="J108">
        <v>358.56</v>
      </c>
      <c r="K108" t="s">
        <v>23</v>
      </c>
    </row>
    <row r="109" spans="1:11" x14ac:dyDescent="0.25">
      <c r="A109" s="1">
        <v>44643</v>
      </c>
      <c r="B109" t="s">
        <v>28</v>
      </c>
      <c r="C109" t="s">
        <v>29</v>
      </c>
      <c r="D109" t="s">
        <v>25</v>
      </c>
      <c r="E109" t="s">
        <v>30</v>
      </c>
      <c r="F109" t="s">
        <v>40</v>
      </c>
      <c r="G109" t="s">
        <v>22</v>
      </c>
      <c r="H109">
        <v>5</v>
      </c>
      <c r="I109">
        <v>188.61</v>
      </c>
      <c r="J109">
        <v>943.05</v>
      </c>
      <c r="K109" t="s">
        <v>36</v>
      </c>
    </row>
    <row r="110" spans="1:11" x14ac:dyDescent="0.25">
      <c r="A110" s="1">
        <v>44803</v>
      </c>
      <c r="B110" t="s">
        <v>11</v>
      </c>
      <c r="C110" t="s">
        <v>12</v>
      </c>
      <c r="D110" t="s">
        <v>13</v>
      </c>
      <c r="E110" t="s">
        <v>30</v>
      </c>
      <c r="F110" t="s">
        <v>40</v>
      </c>
      <c r="G110" t="s">
        <v>34</v>
      </c>
      <c r="H110">
        <v>2</v>
      </c>
      <c r="I110">
        <v>111.36</v>
      </c>
      <c r="J110">
        <v>222.72</v>
      </c>
      <c r="K110" t="s">
        <v>17</v>
      </c>
    </row>
    <row r="111" spans="1:11" hidden="1" x14ac:dyDescent="0.25">
      <c r="A111" s="1">
        <v>44610</v>
      </c>
      <c r="B111" t="s">
        <v>45</v>
      </c>
      <c r="C111" t="s">
        <v>46</v>
      </c>
      <c r="D111" t="s">
        <v>47</v>
      </c>
      <c r="E111" t="s">
        <v>26</v>
      </c>
      <c r="F111" t="s">
        <v>40</v>
      </c>
      <c r="G111" t="s">
        <v>34</v>
      </c>
      <c r="H111">
        <v>3</v>
      </c>
      <c r="I111">
        <v>53.98</v>
      </c>
      <c r="J111">
        <v>161.94</v>
      </c>
      <c r="K111" t="s">
        <v>23</v>
      </c>
    </row>
    <row r="112" spans="1:11" x14ac:dyDescent="0.25">
      <c r="A112" s="1">
        <v>44709</v>
      </c>
      <c r="B112" t="s">
        <v>37</v>
      </c>
      <c r="C112" t="s">
        <v>29</v>
      </c>
      <c r="D112" t="s">
        <v>38</v>
      </c>
      <c r="E112" t="s">
        <v>14</v>
      </c>
      <c r="F112" t="s">
        <v>21</v>
      </c>
      <c r="G112" t="s">
        <v>39</v>
      </c>
      <c r="H112">
        <v>4</v>
      </c>
      <c r="I112">
        <v>240.64</v>
      </c>
      <c r="J112">
        <v>962.56</v>
      </c>
      <c r="K112" t="s">
        <v>23</v>
      </c>
    </row>
    <row r="113" spans="1:11" x14ac:dyDescent="0.25">
      <c r="A113" s="1">
        <v>44620</v>
      </c>
      <c r="B113" t="s">
        <v>37</v>
      </c>
      <c r="C113" t="s">
        <v>29</v>
      </c>
      <c r="D113" t="s">
        <v>38</v>
      </c>
      <c r="E113" t="s">
        <v>26</v>
      </c>
      <c r="F113" t="s">
        <v>32</v>
      </c>
      <c r="G113" t="s">
        <v>22</v>
      </c>
      <c r="H113">
        <v>5</v>
      </c>
      <c r="I113">
        <v>195.57</v>
      </c>
      <c r="J113">
        <v>977.85</v>
      </c>
      <c r="K113" t="s">
        <v>23</v>
      </c>
    </row>
    <row r="114" spans="1:11" x14ac:dyDescent="0.25">
      <c r="A114" s="1">
        <v>44629</v>
      </c>
      <c r="B114" t="s">
        <v>28</v>
      </c>
      <c r="C114" t="s">
        <v>29</v>
      </c>
      <c r="D114" t="s">
        <v>25</v>
      </c>
      <c r="E114" t="s">
        <v>14</v>
      </c>
      <c r="F114" t="s">
        <v>21</v>
      </c>
      <c r="G114" t="s">
        <v>39</v>
      </c>
      <c r="H114">
        <v>3</v>
      </c>
      <c r="I114">
        <v>224.66</v>
      </c>
      <c r="J114">
        <v>673.98</v>
      </c>
      <c r="K114" t="s">
        <v>23</v>
      </c>
    </row>
    <row r="115" spans="1:11" hidden="1" x14ac:dyDescent="0.25">
      <c r="A115" s="1">
        <v>44679</v>
      </c>
      <c r="B115" t="s">
        <v>48</v>
      </c>
      <c r="C115" t="s">
        <v>49</v>
      </c>
      <c r="D115" t="s">
        <v>50</v>
      </c>
      <c r="E115" t="s">
        <v>26</v>
      </c>
      <c r="F115" t="s">
        <v>40</v>
      </c>
      <c r="G115" t="s">
        <v>39</v>
      </c>
      <c r="H115">
        <v>3</v>
      </c>
      <c r="I115">
        <v>65.2</v>
      </c>
      <c r="J115">
        <v>195.6</v>
      </c>
      <c r="K115" t="s">
        <v>36</v>
      </c>
    </row>
    <row r="116" spans="1:11" x14ac:dyDescent="0.25">
      <c r="A116" s="1">
        <v>44755</v>
      </c>
      <c r="B116" t="s">
        <v>44</v>
      </c>
      <c r="C116" t="s">
        <v>19</v>
      </c>
      <c r="D116" t="s">
        <v>20</v>
      </c>
      <c r="E116" t="s">
        <v>26</v>
      </c>
      <c r="F116" t="s">
        <v>15</v>
      </c>
      <c r="G116" t="s">
        <v>39</v>
      </c>
      <c r="H116">
        <v>4</v>
      </c>
      <c r="I116">
        <v>117.78</v>
      </c>
      <c r="J116">
        <v>471.12</v>
      </c>
      <c r="K116" t="s">
        <v>35</v>
      </c>
    </row>
    <row r="117" spans="1:11" x14ac:dyDescent="0.25">
      <c r="A117" s="1">
        <v>44601</v>
      </c>
      <c r="B117" t="s">
        <v>31</v>
      </c>
      <c r="C117" t="s">
        <v>19</v>
      </c>
      <c r="D117" t="s">
        <v>25</v>
      </c>
      <c r="E117" t="s">
        <v>26</v>
      </c>
      <c r="F117" t="s">
        <v>21</v>
      </c>
      <c r="G117" t="s">
        <v>43</v>
      </c>
      <c r="H117">
        <v>4</v>
      </c>
      <c r="I117">
        <v>214.93</v>
      </c>
      <c r="J117">
        <v>859.72</v>
      </c>
      <c r="K117" t="s">
        <v>17</v>
      </c>
    </row>
    <row r="118" spans="1:11" hidden="1" x14ac:dyDescent="0.25">
      <c r="A118" s="1">
        <v>44789</v>
      </c>
      <c r="B118" t="s">
        <v>48</v>
      </c>
      <c r="C118" t="s">
        <v>49</v>
      </c>
      <c r="D118" t="s">
        <v>50</v>
      </c>
      <c r="E118" t="s">
        <v>14</v>
      </c>
      <c r="F118" t="s">
        <v>15</v>
      </c>
      <c r="G118" t="s">
        <v>16</v>
      </c>
      <c r="H118">
        <v>2</v>
      </c>
      <c r="I118">
        <v>249.49</v>
      </c>
      <c r="J118">
        <v>498.98</v>
      </c>
      <c r="K118" t="s">
        <v>23</v>
      </c>
    </row>
    <row r="119" spans="1:11" x14ac:dyDescent="0.25">
      <c r="A119" s="1">
        <v>44725</v>
      </c>
      <c r="B119" t="s">
        <v>18</v>
      </c>
      <c r="C119" t="s">
        <v>19</v>
      </c>
      <c r="D119" t="s">
        <v>20</v>
      </c>
      <c r="E119" t="s">
        <v>30</v>
      </c>
      <c r="F119" t="s">
        <v>32</v>
      </c>
      <c r="G119" t="s">
        <v>43</v>
      </c>
      <c r="H119">
        <v>4</v>
      </c>
      <c r="I119">
        <v>141.35</v>
      </c>
      <c r="J119">
        <v>565.4</v>
      </c>
      <c r="K119" t="s">
        <v>35</v>
      </c>
    </row>
    <row r="120" spans="1:11" hidden="1" x14ac:dyDescent="0.25">
      <c r="A120" s="1">
        <v>44623</v>
      </c>
      <c r="B120" t="s">
        <v>48</v>
      </c>
      <c r="C120" t="s">
        <v>49</v>
      </c>
      <c r="D120" t="s">
        <v>50</v>
      </c>
      <c r="E120" t="s">
        <v>14</v>
      </c>
      <c r="F120" t="s">
        <v>15</v>
      </c>
      <c r="G120" t="s">
        <v>16</v>
      </c>
      <c r="H120">
        <v>3</v>
      </c>
      <c r="I120">
        <v>264.14</v>
      </c>
      <c r="J120">
        <v>792.42</v>
      </c>
      <c r="K120" t="s">
        <v>17</v>
      </c>
    </row>
    <row r="121" spans="1:11" x14ac:dyDescent="0.25">
      <c r="A121" s="1">
        <v>44564</v>
      </c>
      <c r="B121" t="s">
        <v>11</v>
      </c>
      <c r="C121" t="s">
        <v>12</v>
      </c>
      <c r="D121" t="s">
        <v>13</v>
      </c>
      <c r="E121" t="s">
        <v>14</v>
      </c>
      <c r="F121" t="s">
        <v>32</v>
      </c>
      <c r="G121" t="s">
        <v>34</v>
      </c>
      <c r="H121">
        <v>5</v>
      </c>
      <c r="I121">
        <v>73.58</v>
      </c>
      <c r="J121">
        <v>367.9</v>
      </c>
      <c r="K121" t="s">
        <v>35</v>
      </c>
    </row>
    <row r="122" spans="1:11" x14ac:dyDescent="0.25">
      <c r="A122" s="1">
        <v>44768</v>
      </c>
      <c r="B122" t="s">
        <v>11</v>
      </c>
      <c r="C122" t="s">
        <v>12</v>
      </c>
      <c r="D122" t="s">
        <v>13</v>
      </c>
      <c r="E122" t="s">
        <v>14</v>
      </c>
      <c r="F122" t="s">
        <v>21</v>
      </c>
      <c r="G122" t="s">
        <v>22</v>
      </c>
      <c r="H122">
        <v>1</v>
      </c>
      <c r="I122">
        <v>106.59</v>
      </c>
      <c r="J122">
        <v>106.59</v>
      </c>
      <c r="K122" t="s">
        <v>17</v>
      </c>
    </row>
    <row r="123" spans="1:11" x14ac:dyDescent="0.25">
      <c r="A123" s="1">
        <v>44604</v>
      </c>
      <c r="B123" t="s">
        <v>28</v>
      </c>
      <c r="C123" t="s">
        <v>29</v>
      </c>
      <c r="D123" t="s">
        <v>25</v>
      </c>
      <c r="E123" t="s">
        <v>30</v>
      </c>
      <c r="F123" t="s">
        <v>21</v>
      </c>
      <c r="G123" t="s">
        <v>39</v>
      </c>
      <c r="H123">
        <v>3</v>
      </c>
      <c r="I123">
        <v>59.98</v>
      </c>
      <c r="J123">
        <v>179.94</v>
      </c>
      <c r="K123" t="s">
        <v>35</v>
      </c>
    </row>
    <row r="124" spans="1:11" hidden="1" x14ac:dyDescent="0.25">
      <c r="A124" s="1">
        <v>44622</v>
      </c>
      <c r="B124" t="s">
        <v>48</v>
      </c>
      <c r="C124" t="s">
        <v>49</v>
      </c>
      <c r="D124" t="s">
        <v>50</v>
      </c>
      <c r="E124" t="s">
        <v>26</v>
      </c>
      <c r="F124" t="s">
        <v>32</v>
      </c>
      <c r="G124" t="s">
        <v>16</v>
      </c>
      <c r="H124">
        <v>3</v>
      </c>
      <c r="I124">
        <v>87.81</v>
      </c>
      <c r="J124">
        <v>263.43</v>
      </c>
      <c r="K124" t="s">
        <v>17</v>
      </c>
    </row>
    <row r="125" spans="1:11" x14ac:dyDescent="0.25">
      <c r="A125" s="1">
        <v>44657</v>
      </c>
      <c r="B125" t="s">
        <v>28</v>
      </c>
      <c r="C125" t="s">
        <v>29</v>
      </c>
      <c r="D125" t="s">
        <v>25</v>
      </c>
      <c r="E125" t="s">
        <v>30</v>
      </c>
      <c r="F125" t="s">
        <v>40</v>
      </c>
      <c r="G125" t="s">
        <v>16</v>
      </c>
      <c r="H125">
        <v>2</v>
      </c>
      <c r="I125">
        <v>283.60000000000002</v>
      </c>
      <c r="J125">
        <v>567.20000000000005</v>
      </c>
      <c r="K125" t="s">
        <v>35</v>
      </c>
    </row>
    <row r="126" spans="1:11" hidden="1" x14ac:dyDescent="0.25">
      <c r="A126" s="1">
        <v>44784</v>
      </c>
      <c r="B126" t="s">
        <v>48</v>
      </c>
      <c r="C126" t="s">
        <v>49</v>
      </c>
      <c r="D126" t="s">
        <v>50</v>
      </c>
      <c r="E126" t="s">
        <v>30</v>
      </c>
      <c r="F126" t="s">
        <v>15</v>
      </c>
      <c r="G126" t="s">
        <v>16</v>
      </c>
      <c r="H126">
        <v>2</v>
      </c>
      <c r="I126">
        <v>194.31</v>
      </c>
      <c r="J126">
        <v>388.62</v>
      </c>
      <c r="K126" t="s">
        <v>35</v>
      </c>
    </row>
    <row r="127" spans="1:11" x14ac:dyDescent="0.25">
      <c r="A127" s="1">
        <v>44735</v>
      </c>
      <c r="B127" t="s">
        <v>41</v>
      </c>
      <c r="C127" t="s">
        <v>29</v>
      </c>
      <c r="D127" t="s">
        <v>42</v>
      </c>
      <c r="E127" t="s">
        <v>14</v>
      </c>
      <c r="F127" t="s">
        <v>15</v>
      </c>
      <c r="G127" t="s">
        <v>16</v>
      </c>
      <c r="H127">
        <v>4</v>
      </c>
      <c r="I127">
        <v>199.68</v>
      </c>
      <c r="J127">
        <v>798.72</v>
      </c>
      <c r="K127" t="s">
        <v>36</v>
      </c>
    </row>
    <row r="128" spans="1:11" x14ac:dyDescent="0.25">
      <c r="A128" s="1">
        <v>44659</v>
      </c>
      <c r="B128" t="s">
        <v>11</v>
      </c>
      <c r="C128" t="s">
        <v>12</v>
      </c>
      <c r="D128" t="s">
        <v>13</v>
      </c>
      <c r="E128" t="s">
        <v>26</v>
      </c>
      <c r="F128" t="s">
        <v>40</v>
      </c>
      <c r="G128" t="s">
        <v>16</v>
      </c>
      <c r="H128">
        <v>5</v>
      </c>
      <c r="I128">
        <v>145.47</v>
      </c>
      <c r="J128">
        <v>727.35</v>
      </c>
      <c r="K128" t="s">
        <v>17</v>
      </c>
    </row>
    <row r="129" spans="1:11" x14ac:dyDescent="0.25">
      <c r="A129" s="1">
        <v>44592</v>
      </c>
      <c r="B129" t="s">
        <v>41</v>
      </c>
      <c r="C129" t="s">
        <v>29</v>
      </c>
      <c r="D129" t="s">
        <v>42</v>
      </c>
      <c r="E129" t="s">
        <v>26</v>
      </c>
      <c r="F129" t="s">
        <v>15</v>
      </c>
      <c r="G129" t="s">
        <v>33</v>
      </c>
      <c r="H129">
        <v>1</v>
      </c>
      <c r="I129">
        <v>141.11000000000001</v>
      </c>
      <c r="J129">
        <v>141.11000000000001</v>
      </c>
      <c r="K129" t="s">
        <v>35</v>
      </c>
    </row>
    <row r="130" spans="1:11" x14ac:dyDescent="0.25">
      <c r="A130" s="1">
        <v>44667</v>
      </c>
      <c r="B130" t="s">
        <v>31</v>
      </c>
      <c r="C130" t="s">
        <v>19</v>
      </c>
      <c r="D130" t="s">
        <v>25</v>
      </c>
      <c r="E130" t="s">
        <v>26</v>
      </c>
      <c r="F130" t="s">
        <v>32</v>
      </c>
      <c r="G130" t="s">
        <v>34</v>
      </c>
      <c r="H130">
        <v>2</v>
      </c>
      <c r="I130">
        <v>188.4</v>
      </c>
      <c r="J130">
        <v>376.8</v>
      </c>
      <c r="K130" t="s">
        <v>17</v>
      </c>
    </row>
    <row r="131" spans="1:11" x14ac:dyDescent="0.25">
      <c r="A131" s="1">
        <v>44650</v>
      </c>
      <c r="B131" t="s">
        <v>41</v>
      </c>
      <c r="C131" t="s">
        <v>29</v>
      </c>
      <c r="D131" t="s">
        <v>42</v>
      </c>
      <c r="E131" t="s">
        <v>30</v>
      </c>
      <c r="F131" t="s">
        <v>15</v>
      </c>
      <c r="G131" t="s">
        <v>27</v>
      </c>
      <c r="H131">
        <v>4</v>
      </c>
      <c r="I131">
        <v>145.28</v>
      </c>
      <c r="J131">
        <v>581.12</v>
      </c>
      <c r="K131" t="s">
        <v>17</v>
      </c>
    </row>
    <row r="132" spans="1:11" x14ac:dyDescent="0.25">
      <c r="A132" s="1">
        <v>44757</v>
      </c>
      <c r="B132" t="s">
        <v>44</v>
      </c>
      <c r="C132" t="s">
        <v>19</v>
      </c>
      <c r="D132" t="s">
        <v>20</v>
      </c>
      <c r="E132" t="s">
        <v>30</v>
      </c>
      <c r="F132" t="s">
        <v>21</v>
      </c>
      <c r="G132" t="s">
        <v>33</v>
      </c>
      <c r="H132">
        <v>2</v>
      </c>
      <c r="I132">
        <v>277.48</v>
      </c>
      <c r="J132">
        <v>554.96</v>
      </c>
      <c r="K132" t="s">
        <v>17</v>
      </c>
    </row>
    <row r="133" spans="1:11" x14ac:dyDescent="0.25">
      <c r="A133" s="1">
        <v>44789</v>
      </c>
      <c r="B133" t="s">
        <v>28</v>
      </c>
      <c r="C133" t="s">
        <v>29</v>
      </c>
      <c r="D133" t="s">
        <v>25</v>
      </c>
      <c r="E133" t="s">
        <v>26</v>
      </c>
      <c r="F133" t="s">
        <v>15</v>
      </c>
      <c r="G133" t="s">
        <v>16</v>
      </c>
      <c r="H133">
        <v>4</v>
      </c>
      <c r="I133">
        <v>153.56</v>
      </c>
      <c r="J133">
        <v>614.24</v>
      </c>
      <c r="K133" t="s">
        <v>36</v>
      </c>
    </row>
    <row r="134" spans="1:11" x14ac:dyDescent="0.25">
      <c r="A134" s="1">
        <v>44635</v>
      </c>
      <c r="B134" t="s">
        <v>11</v>
      </c>
      <c r="C134" t="s">
        <v>12</v>
      </c>
      <c r="D134" t="s">
        <v>13</v>
      </c>
      <c r="E134" t="s">
        <v>30</v>
      </c>
      <c r="F134" t="s">
        <v>32</v>
      </c>
      <c r="G134" t="s">
        <v>16</v>
      </c>
      <c r="H134">
        <v>2</v>
      </c>
      <c r="I134">
        <v>74.83</v>
      </c>
      <c r="J134">
        <v>149.66</v>
      </c>
      <c r="K134" t="s">
        <v>17</v>
      </c>
    </row>
    <row r="135" spans="1:11" x14ac:dyDescent="0.25">
      <c r="A135" s="1">
        <v>44748</v>
      </c>
      <c r="B135" t="s">
        <v>41</v>
      </c>
      <c r="C135" t="s">
        <v>29</v>
      </c>
      <c r="D135" t="s">
        <v>42</v>
      </c>
      <c r="E135" t="s">
        <v>26</v>
      </c>
      <c r="F135" t="s">
        <v>15</v>
      </c>
      <c r="G135" t="s">
        <v>27</v>
      </c>
      <c r="H135">
        <v>1</v>
      </c>
      <c r="I135">
        <v>136.80000000000001</v>
      </c>
      <c r="J135">
        <v>136.80000000000001</v>
      </c>
      <c r="K135" t="s">
        <v>35</v>
      </c>
    </row>
    <row r="136" spans="1:11" x14ac:dyDescent="0.25">
      <c r="A136" s="1">
        <v>44738</v>
      </c>
      <c r="B136" t="s">
        <v>18</v>
      </c>
      <c r="C136" t="s">
        <v>19</v>
      </c>
      <c r="D136" t="s">
        <v>20</v>
      </c>
      <c r="E136" t="s">
        <v>14</v>
      </c>
      <c r="F136" t="s">
        <v>32</v>
      </c>
      <c r="G136" t="s">
        <v>22</v>
      </c>
      <c r="H136">
        <v>3</v>
      </c>
      <c r="I136">
        <v>209.69</v>
      </c>
      <c r="J136">
        <v>629.07000000000005</v>
      </c>
      <c r="K136" t="s">
        <v>36</v>
      </c>
    </row>
    <row r="137" spans="1:11" x14ac:dyDescent="0.25">
      <c r="A137" s="1">
        <v>44638</v>
      </c>
      <c r="B137" t="s">
        <v>41</v>
      </c>
      <c r="C137" t="s">
        <v>29</v>
      </c>
      <c r="D137" t="s">
        <v>42</v>
      </c>
      <c r="E137" t="s">
        <v>30</v>
      </c>
      <c r="F137" t="s">
        <v>32</v>
      </c>
      <c r="G137" t="s">
        <v>43</v>
      </c>
      <c r="H137">
        <v>3</v>
      </c>
      <c r="I137">
        <v>200.87</v>
      </c>
      <c r="J137">
        <v>602.61</v>
      </c>
      <c r="K137" t="s">
        <v>23</v>
      </c>
    </row>
    <row r="138" spans="1:11" hidden="1" x14ac:dyDescent="0.25">
      <c r="A138" s="1">
        <v>44596</v>
      </c>
      <c r="B138" t="s">
        <v>48</v>
      </c>
      <c r="C138" t="s">
        <v>49</v>
      </c>
      <c r="D138" t="s">
        <v>50</v>
      </c>
      <c r="E138" t="s">
        <v>30</v>
      </c>
      <c r="F138" t="s">
        <v>21</v>
      </c>
      <c r="G138" t="s">
        <v>16</v>
      </c>
      <c r="H138">
        <v>1</v>
      </c>
      <c r="I138">
        <v>221.26</v>
      </c>
      <c r="J138">
        <v>221.26</v>
      </c>
      <c r="K138" t="s">
        <v>17</v>
      </c>
    </row>
    <row r="139" spans="1:11" x14ac:dyDescent="0.25">
      <c r="A139" s="1">
        <v>44564</v>
      </c>
      <c r="B139" t="s">
        <v>24</v>
      </c>
      <c r="C139" t="s">
        <v>19</v>
      </c>
      <c r="D139" t="s">
        <v>25</v>
      </c>
      <c r="E139" t="s">
        <v>26</v>
      </c>
      <c r="F139" t="s">
        <v>21</v>
      </c>
      <c r="G139" t="s">
        <v>22</v>
      </c>
      <c r="H139">
        <v>5</v>
      </c>
      <c r="I139">
        <v>176.98</v>
      </c>
      <c r="J139">
        <v>884.9</v>
      </c>
      <c r="K139" t="s">
        <v>17</v>
      </c>
    </row>
    <row r="140" spans="1:11" hidden="1" x14ac:dyDescent="0.25">
      <c r="A140" s="1">
        <v>44779</v>
      </c>
      <c r="B140" t="s">
        <v>45</v>
      </c>
      <c r="C140" t="s">
        <v>46</v>
      </c>
      <c r="D140" t="s">
        <v>47</v>
      </c>
      <c r="E140" t="s">
        <v>30</v>
      </c>
      <c r="F140" t="s">
        <v>32</v>
      </c>
      <c r="G140" t="s">
        <v>34</v>
      </c>
      <c r="H140">
        <v>5</v>
      </c>
      <c r="I140">
        <v>77.08</v>
      </c>
      <c r="J140">
        <v>385.4</v>
      </c>
      <c r="K140" t="s">
        <v>36</v>
      </c>
    </row>
    <row r="141" spans="1:11" x14ac:dyDescent="0.25">
      <c r="A141" s="1">
        <v>44626</v>
      </c>
      <c r="B141" t="s">
        <v>31</v>
      </c>
      <c r="C141" t="s">
        <v>19</v>
      </c>
      <c r="D141" t="s">
        <v>25</v>
      </c>
      <c r="E141" t="s">
        <v>30</v>
      </c>
      <c r="F141" t="s">
        <v>32</v>
      </c>
      <c r="G141" t="s">
        <v>39</v>
      </c>
      <c r="H141">
        <v>4</v>
      </c>
      <c r="I141">
        <v>239.54</v>
      </c>
      <c r="J141">
        <v>958.16</v>
      </c>
      <c r="K141" t="s">
        <v>36</v>
      </c>
    </row>
    <row r="142" spans="1:11" x14ac:dyDescent="0.25">
      <c r="A142" s="1">
        <v>44639</v>
      </c>
      <c r="B142" t="s">
        <v>41</v>
      </c>
      <c r="C142" t="s">
        <v>29</v>
      </c>
      <c r="D142" t="s">
        <v>42</v>
      </c>
      <c r="E142" t="s">
        <v>30</v>
      </c>
      <c r="F142" t="s">
        <v>21</v>
      </c>
      <c r="G142" t="s">
        <v>43</v>
      </c>
      <c r="H142">
        <v>5</v>
      </c>
      <c r="I142">
        <v>179.54</v>
      </c>
      <c r="J142">
        <v>897.7</v>
      </c>
      <c r="K142" t="s">
        <v>35</v>
      </c>
    </row>
    <row r="143" spans="1:11" x14ac:dyDescent="0.25">
      <c r="A143" s="1">
        <v>44656</v>
      </c>
      <c r="B143" t="s">
        <v>37</v>
      </c>
      <c r="C143" t="s">
        <v>29</v>
      </c>
      <c r="D143" t="s">
        <v>38</v>
      </c>
      <c r="E143" t="s">
        <v>26</v>
      </c>
      <c r="F143" t="s">
        <v>21</v>
      </c>
      <c r="G143" t="s">
        <v>39</v>
      </c>
      <c r="H143">
        <v>3</v>
      </c>
      <c r="I143">
        <v>274.23</v>
      </c>
      <c r="J143">
        <v>822.69</v>
      </c>
      <c r="K143" t="s">
        <v>23</v>
      </c>
    </row>
    <row r="144" spans="1:11" x14ac:dyDescent="0.25">
      <c r="A144" s="1">
        <v>44631</v>
      </c>
      <c r="B144" t="s">
        <v>28</v>
      </c>
      <c r="C144" t="s">
        <v>29</v>
      </c>
      <c r="D144" t="s">
        <v>25</v>
      </c>
      <c r="E144" t="s">
        <v>26</v>
      </c>
      <c r="F144" t="s">
        <v>15</v>
      </c>
      <c r="G144" t="s">
        <v>43</v>
      </c>
      <c r="H144">
        <v>5</v>
      </c>
      <c r="I144">
        <v>99.89</v>
      </c>
      <c r="J144">
        <v>499.45</v>
      </c>
      <c r="K144" t="s">
        <v>23</v>
      </c>
    </row>
    <row r="145" spans="1:11" x14ac:dyDescent="0.25">
      <c r="A145" s="1">
        <v>44654</v>
      </c>
      <c r="B145" t="s">
        <v>18</v>
      </c>
      <c r="C145" t="s">
        <v>19</v>
      </c>
      <c r="D145" t="s">
        <v>20</v>
      </c>
      <c r="E145" t="s">
        <v>26</v>
      </c>
      <c r="F145" t="s">
        <v>40</v>
      </c>
      <c r="G145" t="s">
        <v>34</v>
      </c>
      <c r="H145">
        <v>4</v>
      </c>
      <c r="I145">
        <v>148.11000000000001</v>
      </c>
      <c r="J145">
        <v>592.44000000000005</v>
      </c>
      <c r="K145" t="s">
        <v>23</v>
      </c>
    </row>
    <row r="146" spans="1:11" x14ac:dyDescent="0.25">
      <c r="A146" s="1">
        <v>44742</v>
      </c>
      <c r="B146" t="s">
        <v>31</v>
      </c>
      <c r="C146" t="s">
        <v>19</v>
      </c>
      <c r="D146" t="s">
        <v>25</v>
      </c>
      <c r="E146" t="s">
        <v>14</v>
      </c>
      <c r="F146" t="s">
        <v>40</v>
      </c>
      <c r="G146" t="s">
        <v>43</v>
      </c>
      <c r="H146">
        <v>5</v>
      </c>
      <c r="I146">
        <v>81.97</v>
      </c>
      <c r="J146">
        <v>409.85</v>
      </c>
      <c r="K146" t="s">
        <v>23</v>
      </c>
    </row>
    <row r="147" spans="1:11" x14ac:dyDescent="0.25">
      <c r="A147" s="1">
        <v>44570</v>
      </c>
      <c r="B147" t="s">
        <v>18</v>
      </c>
      <c r="C147" t="s">
        <v>19</v>
      </c>
      <c r="D147" t="s">
        <v>20</v>
      </c>
      <c r="E147" t="s">
        <v>26</v>
      </c>
      <c r="F147" t="s">
        <v>15</v>
      </c>
      <c r="G147" t="s">
        <v>43</v>
      </c>
      <c r="H147">
        <v>3</v>
      </c>
      <c r="I147">
        <v>291.29000000000002</v>
      </c>
      <c r="J147">
        <v>873.87</v>
      </c>
      <c r="K147" t="s">
        <v>36</v>
      </c>
    </row>
    <row r="148" spans="1:11" x14ac:dyDescent="0.25">
      <c r="A148" s="1">
        <v>44683</v>
      </c>
      <c r="B148" t="s">
        <v>44</v>
      </c>
      <c r="C148" t="s">
        <v>19</v>
      </c>
      <c r="D148" t="s">
        <v>20</v>
      </c>
      <c r="E148" t="s">
        <v>30</v>
      </c>
      <c r="F148" t="s">
        <v>21</v>
      </c>
      <c r="G148" t="s">
        <v>39</v>
      </c>
      <c r="H148">
        <v>5</v>
      </c>
      <c r="I148">
        <v>138.94999999999999</v>
      </c>
      <c r="J148">
        <v>694.75</v>
      </c>
      <c r="K148" t="s">
        <v>35</v>
      </c>
    </row>
    <row r="149" spans="1:11" x14ac:dyDescent="0.25">
      <c r="A149" s="1">
        <v>44588</v>
      </c>
      <c r="B149" t="s">
        <v>44</v>
      </c>
      <c r="C149" t="s">
        <v>19</v>
      </c>
      <c r="D149" t="s">
        <v>20</v>
      </c>
      <c r="E149" t="s">
        <v>30</v>
      </c>
      <c r="F149" t="s">
        <v>21</v>
      </c>
      <c r="G149" t="s">
        <v>16</v>
      </c>
      <c r="H149">
        <v>4</v>
      </c>
      <c r="I149">
        <v>208.19</v>
      </c>
      <c r="J149">
        <v>832.76</v>
      </c>
      <c r="K149" t="s">
        <v>36</v>
      </c>
    </row>
    <row r="150" spans="1:11" x14ac:dyDescent="0.25">
      <c r="A150" s="1">
        <v>44769</v>
      </c>
      <c r="B150" t="s">
        <v>31</v>
      </c>
      <c r="C150" t="s">
        <v>19</v>
      </c>
      <c r="D150" t="s">
        <v>25</v>
      </c>
      <c r="E150" t="s">
        <v>30</v>
      </c>
      <c r="F150" t="s">
        <v>15</v>
      </c>
      <c r="G150" t="s">
        <v>43</v>
      </c>
      <c r="H150">
        <v>5</v>
      </c>
      <c r="I150">
        <v>291.7</v>
      </c>
      <c r="J150">
        <v>1458.5</v>
      </c>
      <c r="K150" t="s">
        <v>36</v>
      </c>
    </row>
    <row r="151" spans="1:11" x14ac:dyDescent="0.25">
      <c r="A151" s="1">
        <v>44722</v>
      </c>
      <c r="B151" t="s">
        <v>11</v>
      </c>
      <c r="C151" t="s">
        <v>12</v>
      </c>
      <c r="D151" t="s">
        <v>13</v>
      </c>
      <c r="E151" t="s">
        <v>26</v>
      </c>
      <c r="F151" t="s">
        <v>40</v>
      </c>
      <c r="G151" t="s">
        <v>33</v>
      </c>
      <c r="H151">
        <v>3</v>
      </c>
      <c r="I151">
        <v>209.89</v>
      </c>
      <c r="J151">
        <v>629.66999999999996</v>
      </c>
      <c r="K151" t="s">
        <v>35</v>
      </c>
    </row>
    <row r="152" spans="1:11" x14ac:dyDescent="0.25">
      <c r="A152" s="1">
        <v>44685</v>
      </c>
      <c r="B152" t="s">
        <v>31</v>
      </c>
      <c r="C152" t="s">
        <v>19</v>
      </c>
      <c r="D152" t="s">
        <v>25</v>
      </c>
      <c r="E152" t="s">
        <v>14</v>
      </c>
      <c r="F152" t="s">
        <v>32</v>
      </c>
      <c r="G152" t="s">
        <v>16</v>
      </c>
      <c r="H152">
        <v>4</v>
      </c>
      <c r="I152">
        <v>171.49</v>
      </c>
      <c r="J152">
        <v>685.96</v>
      </c>
      <c r="K152" t="s">
        <v>23</v>
      </c>
    </row>
    <row r="153" spans="1:11" x14ac:dyDescent="0.25">
      <c r="A153" s="1">
        <v>44578</v>
      </c>
      <c r="B153" t="s">
        <v>28</v>
      </c>
      <c r="C153" t="s">
        <v>29</v>
      </c>
      <c r="D153" t="s">
        <v>25</v>
      </c>
      <c r="E153" t="s">
        <v>30</v>
      </c>
      <c r="F153" t="s">
        <v>32</v>
      </c>
      <c r="G153" t="s">
        <v>27</v>
      </c>
      <c r="H153">
        <v>3</v>
      </c>
      <c r="I153">
        <v>156.22</v>
      </c>
      <c r="J153">
        <v>468.66</v>
      </c>
      <c r="K153" t="s">
        <v>36</v>
      </c>
    </row>
    <row r="154" spans="1:11" x14ac:dyDescent="0.25">
      <c r="A154" s="1">
        <v>44719</v>
      </c>
      <c r="B154" t="s">
        <v>18</v>
      </c>
      <c r="C154" t="s">
        <v>19</v>
      </c>
      <c r="D154" t="s">
        <v>20</v>
      </c>
      <c r="E154" t="s">
        <v>30</v>
      </c>
      <c r="F154" t="s">
        <v>21</v>
      </c>
      <c r="G154" t="s">
        <v>16</v>
      </c>
      <c r="H154">
        <v>4</v>
      </c>
      <c r="I154">
        <v>158.82</v>
      </c>
      <c r="J154">
        <v>635.28</v>
      </c>
      <c r="K154" t="s">
        <v>35</v>
      </c>
    </row>
    <row r="155" spans="1:11" x14ac:dyDescent="0.25">
      <c r="A155" s="1">
        <v>44754</v>
      </c>
      <c r="B155" t="s">
        <v>37</v>
      </c>
      <c r="C155" t="s">
        <v>29</v>
      </c>
      <c r="D155" t="s">
        <v>38</v>
      </c>
      <c r="E155" t="s">
        <v>30</v>
      </c>
      <c r="F155" t="s">
        <v>40</v>
      </c>
      <c r="G155" t="s">
        <v>34</v>
      </c>
      <c r="H155">
        <v>3</v>
      </c>
      <c r="I155">
        <v>218.91</v>
      </c>
      <c r="J155">
        <v>656.73</v>
      </c>
      <c r="K155" t="s">
        <v>36</v>
      </c>
    </row>
    <row r="156" spans="1:11" x14ac:dyDescent="0.25">
      <c r="A156" s="1">
        <v>44769</v>
      </c>
      <c r="B156" t="s">
        <v>41</v>
      </c>
      <c r="C156" t="s">
        <v>29</v>
      </c>
      <c r="D156" t="s">
        <v>42</v>
      </c>
      <c r="E156" t="s">
        <v>26</v>
      </c>
      <c r="F156" t="s">
        <v>15</v>
      </c>
      <c r="G156" t="s">
        <v>33</v>
      </c>
      <c r="H156">
        <v>5</v>
      </c>
      <c r="I156">
        <v>54.88</v>
      </c>
      <c r="J156">
        <v>274.39999999999998</v>
      </c>
      <c r="K156" t="s">
        <v>36</v>
      </c>
    </row>
    <row r="157" spans="1:11" hidden="1" x14ac:dyDescent="0.25">
      <c r="A157" s="1">
        <v>44689</v>
      </c>
      <c r="B157" t="s">
        <v>45</v>
      </c>
      <c r="C157" t="s">
        <v>46</v>
      </c>
      <c r="D157" t="s">
        <v>47</v>
      </c>
      <c r="E157" t="s">
        <v>26</v>
      </c>
      <c r="F157" t="s">
        <v>40</v>
      </c>
      <c r="G157" t="s">
        <v>39</v>
      </c>
      <c r="H157">
        <v>1</v>
      </c>
      <c r="I157">
        <v>75.27</v>
      </c>
      <c r="J157">
        <v>75.27</v>
      </c>
      <c r="K157" t="s">
        <v>17</v>
      </c>
    </row>
    <row r="158" spans="1:11" hidden="1" x14ac:dyDescent="0.25">
      <c r="A158" s="1">
        <v>44724</v>
      </c>
      <c r="B158" t="s">
        <v>48</v>
      </c>
      <c r="C158" t="s">
        <v>49</v>
      </c>
      <c r="D158" t="s">
        <v>50</v>
      </c>
      <c r="E158" t="s">
        <v>30</v>
      </c>
      <c r="F158" t="s">
        <v>15</v>
      </c>
      <c r="G158" t="s">
        <v>43</v>
      </c>
      <c r="H158">
        <v>1</v>
      </c>
      <c r="I158">
        <v>144.04</v>
      </c>
      <c r="J158">
        <v>144.04</v>
      </c>
      <c r="K158" t="s">
        <v>23</v>
      </c>
    </row>
    <row r="159" spans="1:11" x14ac:dyDescent="0.25">
      <c r="A159" s="1">
        <v>44768</v>
      </c>
      <c r="B159" t="s">
        <v>31</v>
      </c>
      <c r="C159" t="s">
        <v>19</v>
      </c>
      <c r="D159" t="s">
        <v>25</v>
      </c>
      <c r="E159" t="s">
        <v>30</v>
      </c>
      <c r="F159" t="s">
        <v>21</v>
      </c>
      <c r="G159" t="s">
        <v>27</v>
      </c>
      <c r="H159">
        <v>4</v>
      </c>
      <c r="I159">
        <v>196.45</v>
      </c>
      <c r="J159">
        <v>785.8</v>
      </c>
      <c r="K159" t="s">
        <v>35</v>
      </c>
    </row>
    <row r="160" spans="1:11" x14ac:dyDescent="0.25">
      <c r="A160" s="1">
        <v>44578</v>
      </c>
      <c r="B160" t="s">
        <v>24</v>
      </c>
      <c r="C160" t="s">
        <v>19</v>
      </c>
      <c r="D160" t="s">
        <v>25</v>
      </c>
      <c r="E160" t="s">
        <v>30</v>
      </c>
      <c r="F160" t="s">
        <v>15</v>
      </c>
      <c r="G160" t="s">
        <v>22</v>
      </c>
      <c r="H160">
        <v>3</v>
      </c>
      <c r="I160">
        <v>213.66</v>
      </c>
      <c r="J160">
        <v>640.98</v>
      </c>
      <c r="K160" t="s">
        <v>17</v>
      </c>
    </row>
    <row r="161" spans="1:11" x14ac:dyDescent="0.25">
      <c r="A161" s="1">
        <v>44789</v>
      </c>
      <c r="B161" t="s">
        <v>18</v>
      </c>
      <c r="C161" t="s">
        <v>19</v>
      </c>
      <c r="D161" t="s">
        <v>20</v>
      </c>
      <c r="E161" t="s">
        <v>30</v>
      </c>
      <c r="F161" t="s">
        <v>21</v>
      </c>
      <c r="G161" t="s">
        <v>34</v>
      </c>
      <c r="H161">
        <v>1</v>
      </c>
      <c r="I161">
        <v>164.57</v>
      </c>
      <c r="J161">
        <v>164.57</v>
      </c>
      <c r="K161" t="s">
        <v>23</v>
      </c>
    </row>
    <row r="162" spans="1:11" x14ac:dyDescent="0.25">
      <c r="A162" s="1">
        <v>44664</v>
      </c>
      <c r="B162" t="s">
        <v>31</v>
      </c>
      <c r="C162" t="s">
        <v>19</v>
      </c>
      <c r="D162" t="s">
        <v>25</v>
      </c>
      <c r="E162" t="s">
        <v>30</v>
      </c>
      <c r="F162" t="s">
        <v>32</v>
      </c>
      <c r="G162" t="s">
        <v>39</v>
      </c>
      <c r="H162">
        <v>4</v>
      </c>
      <c r="I162">
        <v>203.25</v>
      </c>
      <c r="J162">
        <v>813</v>
      </c>
      <c r="K162" t="s">
        <v>36</v>
      </c>
    </row>
    <row r="163" spans="1:11" x14ac:dyDescent="0.25">
      <c r="A163" s="1">
        <v>44694</v>
      </c>
      <c r="B163" t="s">
        <v>37</v>
      </c>
      <c r="C163" t="s">
        <v>29</v>
      </c>
      <c r="D163" t="s">
        <v>38</v>
      </c>
      <c r="E163" t="s">
        <v>26</v>
      </c>
      <c r="F163" t="s">
        <v>40</v>
      </c>
      <c r="G163" t="s">
        <v>34</v>
      </c>
      <c r="H163">
        <v>5</v>
      </c>
      <c r="I163">
        <v>91.11</v>
      </c>
      <c r="J163">
        <v>455.55</v>
      </c>
      <c r="K163" t="s">
        <v>23</v>
      </c>
    </row>
    <row r="164" spans="1:11" x14ac:dyDescent="0.25">
      <c r="A164" s="1">
        <v>44609</v>
      </c>
      <c r="B164" t="s">
        <v>37</v>
      </c>
      <c r="C164" t="s">
        <v>29</v>
      </c>
      <c r="D164" t="s">
        <v>38</v>
      </c>
      <c r="E164" t="s">
        <v>14</v>
      </c>
      <c r="F164" t="s">
        <v>21</v>
      </c>
      <c r="G164" t="s">
        <v>22</v>
      </c>
      <c r="H164">
        <v>3</v>
      </c>
      <c r="I164">
        <v>57.92</v>
      </c>
      <c r="J164">
        <v>173.76</v>
      </c>
      <c r="K164" t="s">
        <v>23</v>
      </c>
    </row>
    <row r="165" spans="1:11" x14ac:dyDescent="0.25">
      <c r="A165" s="1">
        <v>44773</v>
      </c>
      <c r="B165" t="s">
        <v>31</v>
      </c>
      <c r="C165" t="s">
        <v>19</v>
      </c>
      <c r="D165" t="s">
        <v>25</v>
      </c>
      <c r="E165" t="s">
        <v>26</v>
      </c>
      <c r="F165" t="s">
        <v>15</v>
      </c>
      <c r="G165" t="s">
        <v>16</v>
      </c>
      <c r="H165">
        <v>3</v>
      </c>
      <c r="I165">
        <v>209.3</v>
      </c>
      <c r="J165">
        <v>627.9</v>
      </c>
      <c r="K165" t="s">
        <v>36</v>
      </c>
    </row>
    <row r="166" spans="1:11" x14ac:dyDescent="0.25">
      <c r="A166" s="1">
        <v>44798</v>
      </c>
      <c r="B166" t="s">
        <v>44</v>
      </c>
      <c r="C166" t="s">
        <v>19</v>
      </c>
      <c r="D166" t="s">
        <v>20</v>
      </c>
      <c r="E166" t="s">
        <v>14</v>
      </c>
      <c r="F166" t="s">
        <v>32</v>
      </c>
      <c r="G166" t="s">
        <v>27</v>
      </c>
      <c r="H166">
        <v>1</v>
      </c>
      <c r="I166">
        <v>112.26</v>
      </c>
      <c r="J166">
        <v>112.26</v>
      </c>
      <c r="K166" t="s">
        <v>35</v>
      </c>
    </row>
    <row r="167" spans="1:11" x14ac:dyDescent="0.25">
      <c r="A167" s="1">
        <v>44803</v>
      </c>
      <c r="B167" t="s">
        <v>24</v>
      </c>
      <c r="C167" t="s">
        <v>19</v>
      </c>
      <c r="D167" t="s">
        <v>25</v>
      </c>
      <c r="E167" t="s">
        <v>26</v>
      </c>
      <c r="F167" t="s">
        <v>15</v>
      </c>
      <c r="G167" t="s">
        <v>39</v>
      </c>
      <c r="H167">
        <v>2</v>
      </c>
      <c r="I167">
        <v>216.83</v>
      </c>
      <c r="J167">
        <v>433.66</v>
      </c>
      <c r="K167" t="s">
        <v>35</v>
      </c>
    </row>
    <row r="168" spans="1:11" hidden="1" x14ac:dyDescent="0.25">
      <c r="A168" s="1">
        <v>44763</v>
      </c>
      <c r="B168" t="s">
        <v>48</v>
      </c>
      <c r="C168" t="s">
        <v>49</v>
      </c>
      <c r="D168" t="s">
        <v>50</v>
      </c>
      <c r="E168" t="s">
        <v>14</v>
      </c>
      <c r="F168" t="s">
        <v>15</v>
      </c>
      <c r="G168" t="s">
        <v>39</v>
      </c>
      <c r="H168">
        <v>5</v>
      </c>
      <c r="I168">
        <v>68.52</v>
      </c>
      <c r="J168">
        <v>342.6</v>
      </c>
      <c r="K168" t="s">
        <v>35</v>
      </c>
    </row>
    <row r="169" spans="1:11" x14ac:dyDescent="0.25">
      <c r="A169" s="1">
        <v>44775</v>
      </c>
      <c r="B169" t="s">
        <v>41</v>
      </c>
      <c r="C169" t="s">
        <v>29</v>
      </c>
      <c r="D169" t="s">
        <v>42</v>
      </c>
      <c r="E169" t="s">
        <v>30</v>
      </c>
      <c r="F169" t="s">
        <v>32</v>
      </c>
      <c r="G169" t="s">
        <v>39</v>
      </c>
      <c r="H169">
        <v>1</v>
      </c>
      <c r="I169">
        <v>98.04</v>
      </c>
      <c r="J169">
        <v>98.04</v>
      </c>
      <c r="K169" t="s">
        <v>23</v>
      </c>
    </row>
    <row r="170" spans="1:11" x14ac:dyDescent="0.25">
      <c r="A170" s="1">
        <v>44742</v>
      </c>
      <c r="B170" t="s">
        <v>11</v>
      </c>
      <c r="C170" t="s">
        <v>12</v>
      </c>
      <c r="D170" t="s">
        <v>13</v>
      </c>
      <c r="E170" t="s">
        <v>30</v>
      </c>
      <c r="F170" t="s">
        <v>32</v>
      </c>
      <c r="G170" t="s">
        <v>43</v>
      </c>
      <c r="H170">
        <v>5</v>
      </c>
      <c r="I170">
        <v>204.35</v>
      </c>
      <c r="J170">
        <v>1021.75</v>
      </c>
      <c r="K170" t="s">
        <v>36</v>
      </c>
    </row>
    <row r="171" spans="1:11" x14ac:dyDescent="0.25">
      <c r="A171" s="1">
        <v>44661</v>
      </c>
      <c r="B171" t="s">
        <v>24</v>
      </c>
      <c r="C171" t="s">
        <v>19</v>
      </c>
      <c r="D171" t="s">
        <v>25</v>
      </c>
      <c r="E171" t="s">
        <v>26</v>
      </c>
      <c r="F171" t="s">
        <v>21</v>
      </c>
      <c r="G171" t="s">
        <v>27</v>
      </c>
      <c r="H171">
        <v>4</v>
      </c>
      <c r="I171">
        <v>283.7</v>
      </c>
      <c r="J171">
        <v>1134.8</v>
      </c>
      <c r="K171" t="s">
        <v>17</v>
      </c>
    </row>
    <row r="172" spans="1:11" x14ac:dyDescent="0.25">
      <c r="A172" s="1">
        <v>44745</v>
      </c>
      <c r="B172" t="s">
        <v>37</v>
      </c>
      <c r="C172" t="s">
        <v>29</v>
      </c>
      <c r="D172" t="s">
        <v>38</v>
      </c>
      <c r="E172" t="s">
        <v>26</v>
      </c>
      <c r="F172" t="s">
        <v>15</v>
      </c>
      <c r="G172" t="s">
        <v>43</v>
      </c>
      <c r="H172">
        <v>4</v>
      </c>
      <c r="I172">
        <v>172.52</v>
      </c>
      <c r="J172">
        <v>690.08</v>
      </c>
      <c r="K172" t="s">
        <v>35</v>
      </c>
    </row>
    <row r="173" spans="1:11" x14ac:dyDescent="0.25">
      <c r="A173" s="1">
        <v>44618</v>
      </c>
      <c r="B173" t="s">
        <v>31</v>
      </c>
      <c r="C173" t="s">
        <v>19</v>
      </c>
      <c r="D173" t="s">
        <v>25</v>
      </c>
      <c r="E173" t="s">
        <v>30</v>
      </c>
      <c r="F173" t="s">
        <v>15</v>
      </c>
      <c r="G173" t="s">
        <v>22</v>
      </c>
      <c r="H173">
        <v>3</v>
      </c>
      <c r="I173">
        <v>51.81</v>
      </c>
      <c r="J173">
        <v>155.43</v>
      </c>
      <c r="K173" t="s">
        <v>36</v>
      </c>
    </row>
    <row r="174" spans="1:11" x14ac:dyDescent="0.25">
      <c r="A174" s="1">
        <v>44680</v>
      </c>
      <c r="B174" t="s">
        <v>28</v>
      </c>
      <c r="C174" t="s">
        <v>29</v>
      </c>
      <c r="D174" t="s">
        <v>25</v>
      </c>
      <c r="E174" t="s">
        <v>30</v>
      </c>
      <c r="F174" t="s">
        <v>40</v>
      </c>
      <c r="G174" t="s">
        <v>16</v>
      </c>
      <c r="H174">
        <v>5</v>
      </c>
      <c r="I174">
        <v>71.28</v>
      </c>
      <c r="J174">
        <v>356.4</v>
      </c>
      <c r="K174" t="s">
        <v>23</v>
      </c>
    </row>
    <row r="175" spans="1:11" x14ac:dyDescent="0.25">
      <c r="A175" s="1">
        <v>44616</v>
      </c>
      <c r="B175" t="s">
        <v>18</v>
      </c>
      <c r="C175" t="s">
        <v>19</v>
      </c>
      <c r="D175" t="s">
        <v>20</v>
      </c>
      <c r="E175" t="s">
        <v>14</v>
      </c>
      <c r="F175" t="s">
        <v>40</v>
      </c>
      <c r="G175" t="s">
        <v>39</v>
      </c>
      <c r="H175">
        <v>2</v>
      </c>
      <c r="I175">
        <v>248.44</v>
      </c>
      <c r="J175">
        <v>496.88</v>
      </c>
      <c r="K175" t="s">
        <v>23</v>
      </c>
    </row>
    <row r="176" spans="1:11" x14ac:dyDescent="0.25">
      <c r="A176" s="1">
        <v>44745</v>
      </c>
      <c r="B176" t="s">
        <v>18</v>
      </c>
      <c r="C176" t="s">
        <v>19</v>
      </c>
      <c r="D176" t="s">
        <v>20</v>
      </c>
      <c r="E176" t="s">
        <v>26</v>
      </c>
      <c r="F176" t="s">
        <v>40</v>
      </c>
      <c r="G176" t="s">
        <v>43</v>
      </c>
      <c r="H176">
        <v>2</v>
      </c>
      <c r="I176">
        <v>107.04</v>
      </c>
      <c r="J176">
        <v>214.08</v>
      </c>
      <c r="K176" t="s">
        <v>17</v>
      </c>
    </row>
    <row r="177" spans="1:11" hidden="1" x14ac:dyDescent="0.25">
      <c r="A177" s="1">
        <v>44803</v>
      </c>
      <c r="B177" t="s">
        <v>48</v>
      </c>
      <c r="C177" t="s">
        <v>49</v>
      </c>
      <c r="D177" t="s">
        <v>50</v>
      </c>
      <c r="E177" t="s">
        <v>26</v>
      </c>
      <c r="F177" t="s">
        <v>40</v>
      </c>
      <c r="G177" t="s">
        <v>33</v>
      </c>
      <c r="H177">
        <v>1</v>
      </c>
      <c r="I177">
        <v>132.07</v>
      </c>
      <c r="J177">
        <v>132.07</v>
      </c>
      <c r="K177" t="s">
        <v>36</v>
      </c>
    </row>
    <row r="178" spans="1:11" x14ac:dyDescent="0.25">
      <c r="A178" s="1">
        <v>44751</v>
      </c>
      <c r="B178" t="s">
        <v>24</v>
      </c>
      <c r="C178" t="s">
        <v>19</v>
      </c>
      <c r="D178" t="s">
        <v>25</v>
      </c>
      <c r="E178" t="s">
        <v>30</v>
      </c>
      <c r="F178" t="s">
        <v>32</v>
      </c>
      <c r="G178" t="s">
        <v>16</v>
      </c>
      <c r="H178">
        <v>3</v>
      </c>
      <c r="I178">
        <v>118.37</v>
      </c>
      <c r="J178">
        <v>355.11</v>
      </c>
      <c r="K178" t="s">
        <v>17</v>
      </c>
    </row>
    <row r="179" spans="1:11" x14ac:dyDescent="0.25">
      <c r="A179" s="1">
        <v>44669</v>
      </c>
      <c r="B179" t="s">
        <v>28</v>
      </c>
      <c r="C179" t="s">
        <v>29</v>
      </c>
      <c r="D179" t="s">
        <v>25</v>
      </c>
      <c r="E179" t="s">
        <v>26</v>
      </c>
      <c r="F179" t="s">
        <v>21</v>
      </c>
      <c r="G179" t="s">
        <v>27</v>
      </c>
      <c r="H179">
        <v>5</v>
      </c>
      <c r="I179">
        <v>243.74</v>
      </c>
      <c r="J179">
        <v>1218.7</v>
      </c>
      <c r="K179" t="s">
        <v>36</v>
      </c>
    </row>
    <row r="180" spans="1:11" x14ac:dyDescent="0.25">
      <c r="A180" s="1">
        <v>44577</v>
      </c>
      <c r="B180" t="s">
        <v>24</v>
      </c>
      <c r="C180" t="s">
        <v>19</v>
      </c>
      <c r="D180" t="s">
        <v>25</v>
      </c>
      <c r="E180" t="s">
        <v>14</v>
      </c>
      <c r="F180" t="s">
        <v>15</v>
      </c>
      <c r="G180" t="s">
        <v>16</v>
      </c>
      <c r="H180">
        <v>5</v>
      </c>
      <c r="I180">
        <v>150.02000000000001</v>
      </c>
      <c r="J180">
        <v>750.1</v>
      </c>
      <c r="K180" t="s">
        <v>23</v>
      </c>
    </row>
    <row r="181" spans="1:11" x14ac:dyDescent="0.25">
      <c r="A181" s="1">
        <v>44653</v>
      </c>
      <c r="B181" t="s">
        <v>28</v>
      </c>
      <c r="C181" t="s">
        <v>29</v>
      </c>
      <c r="D181" t="s">
        <v>25</v>
      </c>
      <c r="E181" t="s">
        <v>26</v>
      </c>
      <c r="F181" t="s">
        <v>21</v>
      </c>
      <c r="G181" t="s">
        <v>33</v>
      </c>
      <c r="H181">
        <v>3</v>
      </c>
      <c r="I181">
        <v>73.31</v>
      </c>
      <c r="J181">
        <v>219.93</v>
      </c>
      <c r="K181" t="s">
        <v>36</v>
      </c>
    </row>
    <row r="182" spans="1:11" hidden="1" x14ac:dyDescent="0.25">
      <c r="A182" s="1">
        <v>44798</v>
      </c>
      <c r="B182" t="s">
        <v>48</v>
      </c>
      <c r="C182" t="s">
        <v>49</v>
      </c>
      <c r="D182" t="s">
        <v>50</v>
      </c>
      <c r="E182" t="s">
        <v>30</v>
      </c>
      <c r="F182" t="s">
        <v>32</v>
      </c>
      <c r="G182" t="s">
        <v>33</v>
      </c>
      <c r="H182">
        <v>2</v>
      </c>
      <c r="I182">
        <v>176.24</v>
      </c>
      <c r="J182">
        <v>352.48</v>
      </c>
      <c r="K182" t="s">
        <v>23</v>
      </c>
    </row>
    <row r="183" spans="1:11" x14ac:dyDescent="0.25">
      <c r="A183" s="1">
        <v>44708</v>
      </c>
      <c r="B183" t="s">
        <v>44</v>
      </c>
      <c r="C183" t="s">
        <v>19</v>
      </c>
      <c r="D183" t="s">
        <v>20</v>
      </c>
      <c r="E183" t="s">
        <v>26</v>
      </c>
      <c r="F183" t="s">
        <v>40</v>
      </c>
      <c r="G183" t="s">
        <v>34</v>
      </c>
      <c r="H183">
        <v>5</v>
      </c>
      <c r="I183">
        <v>135.5</v>
      </c>
      <c r="J183">
        <v>677.5</v>
      </c>
      <c r="K183" t="s">
        <v>35</v>
      </c>
    </row>
    <row r="184" spans="1:11" x14ac:dyDescent="0.25">
      <c r="A184" s="1">
        <v>44791</v>
      </c>
      <c r="B184" t="s">
        <v>11</v>
      </c>
      <c r="C184" t="s">
        <v>12</v>
      </c>
      <c r="D184" t="s">
        <v>13</v>
      </c>
      <c r="E184" t="s">
        <v>30</v>
      </c>
      <c r="F184" t="s">
        <v>40</v>
      </c>
      <c r="G184" t="s">
        <v>39</v>
      </c>
      <c r="H184">
        <v>4</v>
      </c>
      <c r="I184">
        <v>250.12</v>
      </c>
      <c r="J184">
        <v>1000.48</v>
      </c>
      <c r="K184" t="s">
        <v>17</v>
      </c>
    </row>
    <row r="185" spans="1:11" x14ac:dyDescent="0.25">
      <c r="A185" s="1">
        <v>44745</v>
      </c>
      <c r="B185" t="s">
        <v>18</v>
      </c>
      <c r="C185" t="s">
        <v>19</v>
      </c>
      <c r="D185" t="s">
        <v>20</v>
      </c>
      <c r="E185" t="s">
        <v>26</v>
      </c>
      <c r="F185" t="s">
        <v>32</v>
      </c>
      <c r="G185" t="s">
        <v>33</v>
      </c>
      <c r="H185">
        <v>4</v>
      </c>
      <c r="I185">
        <v>145.88999999999999</v>
      </c>
      <c r="J185">
        <v>583.55999999999995</v>
      </c>
      <c r="K185" t="s">
        <v>17</v>
      </c>
    </row>
    <row r="186" spans="1:11" x14ac:dyDescent="0.25">
      <c r="A186" s="1">
        <v>44688</v>
      </c>
      <c r="B186" t="s">
        <v>28</v>
      </c>
      <c r="C186" t="s">
        <v>29</v>
      </c>
      <c r="D186" t="s">
        <v>25</v>
      </c>
      <c r="E186" t="s">
        <v>14</v>
      </c>
      <c r="F186" t="s">
        <v>32</v>
      </c>
      <c r="G186" t="s">
        <v>22</v>
      </c>
      <c r="H186">
        <v>4</v>
      </c>
      <c r="I186">
        <v>281.54000000000002</v>
      </c>
      <c r="J186">
        <v>1126.1600000000001</v>
      </c>
      <c r="K186" t="s">
        <v>36</v>
      </c>
    </row>
    <row r="187" spans="1:11" x14ac:dyDescent="0.25">
      <c r="A187" s="1">
        <v>44737</v>
      </c>
      <c r="B187" t="s">
        <v>31</v>
      </c>
      <c r="C187" t="s">
        <v>19</v>
      </c>
      <c r="D187" t="s">
        <v>25</v>
      </c>
      <c r="E187" t="s">
        <v>14</v>
      </c>
      <c r="F187" t="s">
        <v>32</v>
      </c>
      <c r="G187" t="s">
        <v>33</v>
      </c>
      <c r="H187">
        <v>4</v>
      </c>
      <c r="I187">
        <v>121.42</v>
      </c>
      <c r="J187">
        <v>485.68</v>
      </c>
      <c r="K187" t="s">
        <v>17</v>
      </c>
    </row>
    <row r="188" spans="1:11" x14ac:dyDescent="0.25">
      <c r="A188" s="1">
        <v>44715</v>
      </c>
      <c r="B188" t="s">
        <v>31</v>
      </c>
      <c r="C188" t="s">
        <v>19</v>
      </c>
      <c r="D188" t="s">
        <v>25</v>
      </c>
      <c r="E188" t="s">
        <v>26</v>
      </c>
      <c r="F188" t="s">
        <v>21</v>
      </c>
      <c r="G188" t="s">
        <v>43</v>
      </c>
      <c r="H188">
        <v>4</v>
      </c>
      <c r="I188">
        <v>265.91000000000003</v>
      </c>
      <c r="J188">
        <v>1063.6400000000001</v>
      </c>
      <c r="K188" t="s">
        <v>35</v>
      </c>
    </row>
    <row r="189" spans="1:11" x14ac:dyDescent="0.25">
      <c r="A189" s="1">
        <v>44586</v>
      </c>
      <c r="B189" t="s">
        <v>11</v>
      </c>
      <c r="C189" t="s">
        <v>12</v>
      </c>
      <c r="D189" t="s">
        <v>13</v>
      </c>
      <c r="E189" t="s">
        <v>26</v>
      </c>
      <c r="F189" t="s">
        <v>15</v>
      </c>
      <c r="G189" t="s">
        <v>27</v>
      </c>
      <c r="H189">
        <v>1</v>
      </c>
      <c r="I189">
        <v>240.42</v>
      </c>
      <c r="J189">
        <v>240.42</v>
      </c>
      <c r="K189" t="s">
        <v>17</v>
      </c>
    </row>
    <row r="190" spans="1:11" x14ac:dyDescent="0.25">
      <c r="A190" s="1">
        <v>44569</v>
      </c>
      <c r="B190" t="s">
        <v>44</v>
      </c>
      <c r="C190" t="s">
        <v>19</v>
      </c>
      <c r="D190" t="s">
        <v>20</v>
      </c>
      <c r="E190" t="s">
        <v>26</v>
      </c>
      <c r="F190" t="s">
        <v>40</v>
      </c>
      <c r="G190" t="s">
        <v>22</v>
      </c>
      <c r="H190">
        <v>5</v>
      </c>
      <c r="I190">
        <v>275.27</v>
      </c>
      <c r="J190">
        <v>1376.35</v>
      </c>
      <c r="K190" t="s">
        <v>17</v>
      </c>
    </row>
    <row r="191" spans="1:11" x14ac:dyDescent="0.25">
      <c r="A191" s="1">
        <v>44782</v>
      </c>
      <c r="B191" t="s">
        <v>41</v>
      </c>
      <c r="C191" t="s">
        <v>29</v>
      </c>
      <c r="D191" t="s">
        <v>42</v>
      </c>
      <c r="E191" t="s">
        <v>26</v>
      </c>
      <c r="F191" t="s">
        <v>21</v>
      </c>
      <c r="G191" t="s">
        <v>43</v>
      </c>
      <c r="H191">
        <v>3</v>
      </c>
      <c r="I191">
        <v>154.79</v>
      </c>
      <c r="J191">
        <v>464.37</v>
      </c>
      <c r="K191" t="s">
        <v>17</v>
      </c>
    </row>
    <row r="192" spans="1:11" x14ac:dyDescent="0.25">
      <c r="A192" s="1">
        <v>44786</v>
      </c>
      <c r="B192" t="s">
        <v>41</v>
      </c>
      <c r="C192" t="s">
        <v>29</v>
      </c>
      <c r="D192" t="s">
        <v>42</v>
      </c>
      <c r="E192" t="s">
        <v>14</v>
      </c>
      <c r="F192" t="s">
        <v>40</v>
      </c>
      <c r="G192" t="s">
        <v>43</v>
      </c>
      <c r="H192">
        <v>5</v>
      </c>
      <c r="I192">
        <v>139</v>
      </c>
      <c r="J192">
        <v>695</v>
      </c>
      <c r="K192" t="s">
        <v>35</v>
      </c>
    </row>
    <row r="193" spans="1:11" x14ac:dyDescent="0.25">
      <c r="A193" s="1">
        <v>44733</v>
      </c>
      <c r="B193" t="s">
        <v>28</v>
      </c>
      <c r="C193" t="s">
        <v>29</v>
      </c>
      <c r="D193" t="s">
        <v>25</v>
      </c>
      <c r="E193" t="s">
        <v>14</v>
      </c>
      <c r="F193" t="s">
        <v>21</v>
      </c>
      <c r="G193" t="s">
        <v>33</v>
      </c>
      <c r="H193">
        <v>3</v>
      </c>
      <c r="I193">
        <v>79.27</v>
      </c>
      <c r="J193">
        <v>237.81</v>
      </c>
      <c r="K193" t="s">
        <v>17</v>
      </c>
    </row>
    <row r="194" spans="1:11" x14ac:dyDescent="0.25">
      <c r="A194" s="1">
        <v>44796</v>
      </c>
      <c r="B194" t="s">
        <v>37</v>
      </c>
      <c r="C194" t="s">
        <v>29</v>
      </c>
      <c r="D194" t="s">
        <v>38</v>
      </c>
      <c r="E194" t="s">
        <v>30</v>
      </c>
      <c r="F194" t="s">
        <v>32</v>
      </c>
      <c r="G194" t="s">
        <v>39</v>
      </c>
      <c r="H194">
        <v>2</v>
      </c>
      <c r="I194">
        <v>237.1</v>
      </c>
      <c r="J194">
        <v>474.2</v>
      </c>
      <c r="K194" t="s">
        <v>23</v>
      </c>
    </row>
    <row r="195" spans="1:11" x14ac:dyDescent="0.25">
      <c r="A195" s="1">
        <v>44590</v>
      </c>
      <c r="B195" t="s">
        <v>37</v>
      </c>
      <c r="C195" t="s">
        <v>29</v>
      </c>
      <c r="D195" t="s">
        <v>38</v>
      </c>
      <c r="E195" t="s">
        <v>30</v>
      </c>
      <c r="F195" t="s">
        <v>32</v>
      </c>
      <c r="G195" t="s">
        <v>34</v>
      </c>
      <c r="H195">
        <v>4</v>
      </c>
      <c r="I195">
        <v>228.46</v>
      </c>
      <c r="J195">
        <v>913.84</v>
      </c>
      <c r="K195" t="s">
        <v>23</v>
      </c>
    </row>
    <row r="196" spans="1:11" x14ac:dyDescent="0.25">
      <c r="A196" s="1">
        <v>44724</v>
      </c>
      <c r="B196" t="s">
        <v>41</v>
      </c>
      <c r="C196" t="s">
        <v>29</v>
      </c>
      <c r="D196" t="s">
        <v>42</v>
      </c>
      <c r="E196" t="s">
        <v>30</v>
      </c>
      <c r="F196" t="s">
        <v>40</v>
      </c>
      <c r="G196" t="s">
        <v>39</v>
      </c>
      <c r="H196">
        <v>4</v>
      </c>
      <c r="I196">
        <v>52.42</v>
      </c>
      <c r="J196">
        <v>209.68</v>
      </c>
      <c r="K196" t="s">
        <v>36</v>
      </c>
    </row>
    <row r="197" spans="1:11" x14ac:dyDescent="0.25">
      <c r="A197" s="1">
        <v>44799</v>
      </c>
      <c r="B197" t="s">
        <v>24</v>
      </c>
      <c r="C197" t="s">
        <v>19</v>
      </c>
      <c r="D197" t="s">
        <v>25</v>
      </c>
      <c r="E197" t="s">
        <v>30</v>
      </c>
      <c r="F197" t="s">
        <v>15</v>
      </c>
      <c r="G197" t="s">
        <v>16</v>
      </c>
      <c r="H197">
        <v>3</v>
      </c>
      <c r="I197">
        <v>270.52</v>
      </c>
      <c r="J197">
        <v>811.56</v>
      </c>
      <c r="K197" t="s">
        <v>35</v>
      </c>
    </row>
    <row r="198" spans="1:11" x14ac:dyDescent="0.25">
      <c r="A198" s="1">
        <v>44569</v>
      </c>
      <c r="B198" t="s">
        <v>31</v>
      </c>
      <c r="C198" t="s">
        <v>19</v>
      </c>
      <c r="D198" t="s">
        <v>25</v>
      </c>
      <c r="E198" t="s">
        <v>14</v>
      </c>
      <c r="F198" t="s">
        <v>15</v>
      </c>
      <c r="G198" t="s">
        <v>34</v>
      </c>
      <c r="H198">
        <v>4</v>
      </c>
      <c r="I198">
        <v>119.36</v>
      </c>
      <c r="J198">
        <v>477.44</v>
      </c>
      <c r="K198" t="s">
        <v>23</v>
      </c>
    </row>
    <row r="199" spans="1:11" hidden="1" x14ac:dyDescent="0.25">
      <c r="A199" s="1">
        <v>44584</v>
      </c>
      <c r="B199" t="s">
        <v>45</v>
      </c>
      <c r="C199" t="s">
        <v>46</v>
      </c>
      <c r="D199" t="s">
        <v>47</v>
      </c>
      <c r="E199" t="s">
        <v>26</v>
      </c>
      <c r="F199" t="s">
        <v>15</v>
      </c>
      <c r="G199" t="s">
        <v>34</v>
      </c>
      <c r="H199">
        <v>3</v>
      </c>
      <c r="I199">
        <v>125.26</v>
      </c>
      <c r="J199">
        <v>375.78</v>
      </c>
      <c r="K199" t="s">
        <v>36</v>
      </c>
    </row>
    <row r="200" spans="1:11" x14ac:dyDescent="0.25">
      <c r="A200" s="1">
        <v>44714</v>
      </c>
      <c r="B200" t="s">
        <v>37</v>
      </c>
      <c r="C200" t="s">
        <v>29</v>
      </c>
      <c r="D200" t="s">
        <v>38</v>
      </c>
      <c r="E200" t="s">
        <v>26</v>
      </c>
      <c r="F200" t="s">
        <v>32</v>
      </c>
      <c r="G200" t="s">
        <v>39</v>
      </c>
      <c r="H200">
        <v>3</v>
      </c>
      <c r="I200">
        <v>296.55</v>
      </c>
      <c r="J200">
        <v>889.65</v>
      </c>
      <c r="K200" t="s">
        <v>17</v>
      </c>
    </row>
    <row r="201" spans="1:11" hidden="1" x14ac:dyDescent="0.25">
      <c r="A201" s="1">
        <v>44725</v>
      </c>
      <c r="B201" t="s">
        <v>48</v>
      </c>
      <c r="C201" t="s">
        <v>49</v>
      </c>
      <c r="D201" t="s">
        <v>50</v>
      </c>
      <c r="E201" t="s">
        <v>26</v>
      </c>
      <c r="F201" t="s">
        <v>32</v>
      </c>
      <c r="G201" t="s">
        <v>34</v>
      </c>
      <c r="H201">
        <v>1</v>
      </c>
      <c r="I201">
        <v>56.73</v>
      </c>
      <c r="J201">
        <v>56.73</v>
      </c>
      <c r="K201" t="s">
        <v>36</v>
      </c>
    </row>
    <row r="202" spans="1:11" x14ac:dyDescent="0.25">
      <c r="A202" s="1">
        <v>44579</v>
      </c>
      <c r="B202" t="s">
        <v>41</v>
      </c>
      <c r="C202" t="s">
        <v>29</v>
      </c>
      <c r="D202" t="s">
        <v>42</v>
      </c>
      <c r="E202" t="s">
        <v>14</v>
      </c>
      <c r="F202" t="s">
        <v>32</v>
      </c>
      <c r="G202" t="s">
        <v>34</v>
      </c>
      <c r="H202">
        <v>1</v>
      </c>
      <c r="I202">
        <v>91.56</v>
      </c>
      <c r="J202">
        <v>91.56</v>
      </c>
      <c r="K202" t="s">
        <v>35</v>
      </c>
    </row>
    <row r="203" spans="1:11" hidden="1" x14ac:dyDescent="0.25">
      <c r="A203" s="1">
        <v>44662</v>
      </c>
      <c r="B203" t="s">
        <v>45</v>
      </c>
      <c r="C203" t="s">
        <v>46</v>
      </c>
      <c r="D203" t="s">
        <v>47</v>
      </c>
      <c r="E203" t="s">
        <v>26</v>
      </c>
      <c r="F203" t="s">
        <v>21</v>
      </c>
      <c r="G203" t="s">
        <v>22</v>
      </c>
      <c r="H203">
        <v>2</v>
      </c>
      <c r="I203">
        <v>152.54</v>
      </c>
      <c r="J203">
        <v>305.08</v>
      </c>
      <c r="K203" t="s">
        <v>17</v>
      </c>
    </row>
    <row r="204" spans="1:11" hidden="1" x14ac:dyDescent="0.25">
      <c r="A204" s="1">
        <v>44746</v>
      </c>
      <c r="B204" t="s">
        <v>45</v>
      </c>
      <c r="C204" t="s">
        <v>46</v>
      </c>
      <c r="D204" t="s">
        <v>47</v>
      </c>
      <c r="E204" t="s">
        <v>26</v>
      </c>
      <c r="F204" t="s">
        <v>32</v>
      </c>
      <c r="G204" t="s">
        <v>33</v>
      </c>
      <c r="H204">
        <v>4</v>
      </c>
      <c r="I204">
        <v>61.37</v>
      </c>
      <c r="J204">
        <v>245.48</v>
      </c>
      <c r="K204" t="s">
        <v>23</v>
      </c>
    </row>
    <row r="205" spans="1:11" x14ac:dyDescent="0.25">
      <c r="A205" s="1">
        <v>44627</v>
      </c>
      <c r="B205" t="s">
        <v>37</v>
      </c>
      <c r="C205" t="s">
        <v>29</v>
      </c>
      <c r="D205" t="s">
        <v>38</v>
      </c>
      <c r="E205" t="s">
        <v>30</v>
      </c>
      <c r="F205" t="s">
        <v>21</v>
      </c>
      <c r="G205" t="s">
        <v>16</v>
      </c>
      <c r="H205">
        <v>3</v>
      </c>
      <c r="I205">
        <v>162.36000000000001</v>
      </c>
      <c r="J205">
        <v>487.08</v>
      </c>
      <c r="K205" t="s">
        <v>36</v>
      </c>
    </row>
    <row r="206" spans="1:11" x14ac:dyDescent="0.25">
      <c r="A206" s="1">
        <v>44741</v>
      </c>
      <c r="B206" t="s">
        <v>41</v>
      </c>
      <c r="C206" t="s">
        <v>29</v>
      </c>
      <c r="D206" t="s">
        <v>42</v>
      </c>
      <c r="E206" t="s">
        <v>30</v>
      </c>
      <c r="F206" t="s">
        <v>21</v>
      </c>
      <c r="G206" t="s">
        <v>22</v>
      </c>
      <c r="H206">
        <v>2</v>
      </c>
      <c r="I206">
        <v>257.5</v>
      </c>
      <c r="J206">
        <v>515</v>
      </c>
      <c r="K206" t="s">
        <v>35</v>
      </c>
    </row>
    <row r="207" spans="1:11" x14ac:dyDescent="0.25">
      <c r="A207" s="1">
        <v>44702</v>
      </c>
      <c r="B207" t="s">
        <v>24</v>
      </c>
      <c r="C207" t="s">
        <v>19</v>
      </c>
      <c r="D207" t="s">
        <v>25</v>
      </c>
      <c r="E207" t="s">
        <v>26</v>
      </c>
      <c r="F207" t="s">
        <v>32</v>
      </c>
      <c r="G207" t="s">
        <v>27</v>
      </c>
      <c r="H207">
        <v>4</v>
      </c>
      <c r="I207">
        <v>202.28</v>
      </c>
      <c r="J207">
        <v>809.12</v>
      </c>
      <c r="K207" t="s">
        <v>17</v>
      </c>
    </row>
    <row r="208" spans="1:11" hidden="1" x14ac:dyDescent="0.25">
      <c r="A208" s="1">
        <v>44749</v>
      </c>
      <c r="B208" t="s">
        <v>45</v>
      </c>
      <c r="C208" t="s">
        <v>46</v>
      </c>
      <c r="D208" t="s">
        <v>47</v>
      </c>
      <c r="E208" t="s">
        <v>14</v>
      </c>
      <c r="F208" t="s">
        <v>32</v>
      </c>
      <c r="G208" t="s">
        <v>43</v>
      </c>
      <c r="H208">
        <v>1</v>
      </c>
      <c r="I208">
        <v>224.83</v>
      </c>
      <c r="J208">
        <v>224.83</v>
      </c>
      <c r="K208" t="s">
        <v>23</v>
      </c>
    </row>
    <row r="209" spans="1:11" hidden="1" x14ac:dyDescent="0.25">
      <c r="A209" s="1">
        <v>44653</v>
      </c>
      <c r="B209" t="s">
        <v>48</v>
      </c>
      <c r="C209" t="s">
        <v>49</v>
      </c>
      <c r="D209" t="s">
        <v>50</v>
      </c>
      <c r="E209" t="s">
        <v>30</v>
      </c>
      <c r="F209" t="s">
        <v>21</v>
      </c>
      <c r="G209" t="s">
        <v>39</v>
      </c>
      <c r="H209">
        <v>3</v>
      </c>
      <c r="I209">
        <v>256.27</v>
      </c>
      <c r="J209">
        <v>768.81</v>
      </c>
      <c r="K209" t="s">
        <v>23</v>
      </c>
    </row>
    <row r="210" spans="1:11" x14ac:dyDescent="0.25">
      <c r="A210" s="1">
        <v>44646</v>
      </c>
      <c r="B210" t="s">
        <v>18</v>
      </c>
      <c r="C210" t="s">
        <v>19</v>
      </c>
      <c r="D210" t="s">
        <v>20</v>
      </c>
      <c r="E210" t="s">
        <v>26</v>
      </c>
      <c r="F210" t="s">
        <v>15</v>
      </c>
      <c r="G210" t="s">
        <v>34</v>
      </c>
      <c r="H210">
        <v>2</v>
      </c>
      <c r="I210">
        <v>277.26</v>
      </c>
      <c r="J210">
        <v>554.52</v>
      </c>
      <c r="K210" t="s">
        <v>35</v>
      </c>
    </row>
    <row r="211" spans="1:11" hidden="1" x14ac:dyDescent="0.25">
      <c r="A211" s="1">
        <v>44746</v>
      </c>
      <c r="B211" t="s">
        <v>48</v>
      </c>
      <c r="C211" t="s">
        <v>49</v>
      </c>
      <c r="D211" t="s">
        <v>50</v>
      </c>
      <c r="E211" t="s">
        <v>14</v>
      </c>
      <c r="F211" t="s">
        <v>21</v>
      </c>
      <c r="G211" t="s">
        <v>39</v>
      </c>
      <c r="H211">
        <v>3</v>
      </c>
      <c r="I211">
        <v>271.19</v>
      </c>
      <c r="J211">
        <v>813.57</v>
      </c>
      <c r="K211" t="s">
        <v>23</v>
      </c>
    </row>
    <row r="212" spans="1:11" x14ac:dyDescent="0.25">
      <c r="A212" s="1">
        <v>44573</v>
      </c>
      <c r="B212" t="s">
        <v>37</v>
      </c>
      <c r="C212" t="s">
        <v>29</v>
      </c>
      <c r="D212" t="s">
        <v>38</v>
      </c>
      <c r="E212" t="s">
        <v>30</v>
      </c>
      <c r="F212" t="s">
        <v>21</v>
      </c>
      <c r="G212" t="s">
        <v>39</v>
      </c>
      <c r="H212">
        <v>3</v>
      </c>
      <c r="I212">
        <v>205.62</v>
      </c>
      <c r="J212">
        <v>616.86</v>
      </c>
      <c r="K212" t="s">
        <v>36</v>
      </c>
    </row>
    <row r="213" spans="1:11" x14ac:dyDescent="0.25">
      <c r="A213" s="1">
        <v>44774</v>
      </c>
      <c r="B213" t="s">
        <v>31</v>
      </c>
      <c r="C213" t="s">
        <v>19</v>
      </c>
      <c r="D213" t="s">
        <v>25</v>
      </c>
      <c r="E213" t="s">
        <v>30</v>
      </c>
      <c r="F213" t="s">
        <v>21</v>
      </c>
      <c r="G213" t="s">
        <v>22</v>
      </c>
      <c r="H213">
        <v>4</v>
      </c>
      <c r="I213">
        <v>130.97</v>
      </c>
      <c r="J213">
        <v>523.88</v>
      </c>
      <c r="K213" t="s">
        <v>17</v>
      </c>
    </row>
    <row r="214" spans="1:11" x14ac:dyDescent="0.25">
      <c r="A214" s="1">
        <v>44646</v>
      </c>
      <c r="B214" t="s">
        <v>11</v>
      </c>
      <c r="C214" t="s">
        <v>12</v>
      </c>
      <c r="D214" t="s">
        <v>13</v>
      </c>
      <c r="E214" t="s">
        <v>30</v>
      </c>
      <c r="F214" t="s">
        <v>21</v>
      </c>
      <c r="G214" t="s">
        <v>39</v>
      </c>
      <c r="H214">
        <v>5</v>
      </c>
      <c r="I214">
        <v>267.70999999999998</v>
      </c>
      <c r="J214">
        <v>1338.55</v>
      </c>
      <c r="K214" t="s">
        <v>23</v>
      </c>
    </row>
    <row r="215" spans="1:11" x14ac:dyDescent="0.25">
      <c r="A215" s="1">
        <v>44565</v>
      </c>
      <c r="B215" t="s">
        <v>24</v>
      </c>
      <c r="C215" t="s">
        <v>19</v>
      </c>
      <c r="D215" t="s">
        <v>25</v>
      </c>
      <c r="E215" t="s">
        <v>30</v>
      </c>
      <c r="F215" t="s">
        <v>40</v>
      </c>
      <c r="G215" t="s">
        <v>22</v>
      </c>
      <c r="H215">
        <v>4</v>
      </c>
      <c r="I215">
        <v>151.37</v>
      </c>
      <c r="J215">
        <v>605.48</v>
      </c>
      <c r="K215" t="s">
        <v>35</v>
      </c>
    </row>
    <row r="216" spans="1:11" x14ac:dyDescent="0.25">
      <c r="A216" s="1">
        <v>44627</v>
      </c>
      <c r="B216" t="s">
        <v>37</v>
      </c>
      <c r="C216" t="s">
        <v>29</v>
      </c>
      <c r="D216" t="s">
        <v>38</v>
      </c>
      <c r="E216" t="s">
        <v>30</v>
      </c>
      <c r="F216" t="s">
        <v>40</v>
      </c>
      <c r="G216" t="s">
        <v>39</v>
      </c>
      <c r="H216">
        <v>5</v>
      </c>
      <c r="I216">
        <v>89.84</v>
      </c>
      <c r="J216">
        <v>449.2</v>
      </c>
      <c r="K216" t="s">
        <v>36</v>
      </c>
    </row>
    <row r="217" spans="1:11" hidden="1" x14ac:dyDescent="0.25">
      <c r="A217" s="1">
        <v>44676</v>
      </c>
      <c r="B217" t="s">
        <v>48</v>
      </c>
      <c r="C217" t="s">
        <v>49</v>
      </c>
      <c r="D217" t="s">
        <v>50</v>
      </c>
      <c r="E217" t="s">
        <v>30</v>
      </c>
      <c r="F217" t="s">
        <v>21</v>
      </c>
      <c r="G217" t="s">
        <v>39</v>
      </c>
      <c r="H217">
        <v>1</v>
      </c>
      <c r="I217">
        <v>276.64</v>
      </c>
      <c r="J217">
        <v>276.64</v>
      </c>
      <c r="K217" t="s">
        <v>17</v>
      </c>
    </row>
    <row r="218" spans="1:11" hidden="1" x14ac:dyDescent="0.25">
      <c r="A218" s="1">
        <v>44635</v>
      </c>
      <c r="B218" t="s">
        <v>48</v>
      </c>
      <c r="C218" t="s">
        <v>49</v>
      </c>
      <c r="D218" t="s">
        <v>50</v>
      </c>
      <c r="E218" t="s">
        <v>14</v>
      </c>
      <c r="F218" t="s">
        <v>15</v>
      </c>
      <c r="G218" t="s">
        <v>43</v>
      </c>
      <c r="H218">
        <v>3</v>
      </c>
      <c r="I218">
        <v>203.41</v>
      </c>
      <c r="J218">
        <v>610.23</v>
      </c>
      <c r="K218" t="s">
        <v>17</v>
      </c>
    </row>
    <row r="219" spans="1:11" x14ac:dyDescent="0.25">
      <c r="A219" s="1">
        <v>44783</v>
      </c>
      <c r="B219" t="s">
        <v>28</v>
      </c>
      <c r="C219" t="s">
        <v>29</v>
      </c>
      <c r="D219" t="s">
        <v>25</v>
      </c>
      <c r="E219" t="s">
        <v>30</v>
      </c>
      <c r="F219" t="s">
        <v>15</v>
      </c>
      <c r="G219" t="s">
        <v>34</v>
      </c>
      <c r="H219">
        <v>2</v>
      </c>
      <c r="I219">
        <v>195.85</v>
      </c>
      <c r="J219">
        <v>391.7</v>
      </c>
      <c r="K219" t="s">
        <v>36</v>
      </c>
    </row>
    <row r="220" spans="1:11" hidden="1" x14ac:dyDescent="0.25">
      <c r="A220" s="1">
        <v>44777</v>
      </c>
      <c r="B220" t="s">
        <v>48</v>
      </c>
      <c r="C220" t="s">
        <v>49</v>
      </c>
      <c r="D220" t="s">
        <v>50</v>
      </c>
      <c r="E220" t="s">
        <v>30</v>
      </c>
      <c r="F220" t="s">
        <v>40</v>
      </c>
      <c r="G220" t="s">
        <v>33</v>
      </c>
      <c r="H220">
        <v>2</v>
      </c>
      <c r="I220">
        <v>288.87</v>
      </c>
      <c r="J220">
        <v>577.74</v>
      </c>
      <c r="K220" t="s">
        <v>35</v>
      </c>
    </row>
    <row r="221" spans="1:11" x14ac:dyDescent="0.25">
      <c r="A221" s="1">
        <v>44692</v>
      </c>
      <c r="B221" t="s">
        <v>28</v>
      </c>
      <c r="C221" t="s">
        <v>29</v>
      </c>
      <c r="D221" t="s">
        <v>25</v>
      </c>
      <c r="E221" t="s">
        <v>30</v>
      </c>
      <c r="F221" t="s">
        <v>40</v>
      </c>
      <c r="G221" t="s">
        <v>33</v>
      </c>
      <c r="H221">
        <v>1</v>
      </c>
      <c r="I221">
        <v>65.45</v>
      </c>
      <c r="J221">
        <v>65.45</v>
      </c>
      <c r="K221" t="s">
        <v>23</v>
      </c>
    </row>
    <row r="222" spans="1:11" x14ac:dyDescent="0.25">
      <c r="A222" s="1">
        <v>44562</v>
      </c>
      <c r="B222" t="s">
        <v>18</v>
      </c>
      <c r="C222" t="s">
        <v>19</v>
      </c>
      <c r="D222" t="s">
        <v>20</v>
      </c>
      <c r="E222" t="s">
        <v>14</v>
      </c>
      <c r="F222" t="s">
        <v>32</v>
      </c>
      <c r="G222" t="s">
        <v>22</v>
      </c>
      <c r="H222">
        <v>1</v>
      </c>
      <c r="I222">
        <v>202.42</v>
      </c>
      <c r="J222">
        <v>202.42</v>
      </c>
      <c r="K222" t="s">
        <v>36</v>
      </c>
    </row>
    <row r="223" spans="1:11" x14ac:dyDescent="0.25">
      <c r="A223" s="1">
        <v>44625</v>
      </c>
      <c r="B223" t="s">
        <v>28</v>
      </c>
      <c r="C223" t="s">
        <v>29</v>
      </c>
      <c r="D223" t="s">
        <v>25</v>
      </c>
      <c r="E223" t="s">
        <v>30</v>
      </c>
      <c r="F223" t="s">
        <v>21</v>
      </c>
      <c r="G223" t="s">
        <v>33</v>
      </c>
      <c r="H223">
        <v>2</v>
      </c>
      <c r="I223">
        <v>51.11</v>
      </c>
      <c r="J223">
        <v>102.22</v>
      </c>
      <c r="K223" t="s">
        <v>23</v>
      </c>
    </row>
    <row r="224" spans="1:11" hidden="1" x14ac:dyDescent="0.25">
      <c r="A224" s="1">
        <v>44766</v>
      </c>
      <c r="B224" t="s">
        <v>45</v>
      </c>
      <c r="C224" t="s">
        <v>46</v>
      </c>
      <c r="D224" t="s">
        <v>47</v>
      </c>
      <c r="E224" t="s">
        <v>30</v>
      </c>
      <c r="F224" t="s">
        <v>15</v>
      </c>
      <c r="G224" t="s">
        <v>16</v>
      </c>
      <c r="H224">
        <v>1</v>
      </c>
      <c r="I224">
        <v>292.68</v>
      </c>
      <c r="J224">
        <v>292.68</v>
      </c>
      <c r="K224" t="s">
        <v>35</v>
      </c>
    </row>
    <row r="225" spans="1:11" hidden="1" x14ac:dyDescent="0.25">
      <c r="A225" s="1">
        <v>44783</v>
      </c>
      <c r="B225" t="s">
        <v>48</v>
      </c>
      <c r="C225" t="s">
        <v>49</v>
      </c>
      <c r="D225" t="s">
        <v>50</v>
      </c>
      <c r="E225" t="s">
        <v>26</v>
      </c>
      <c r="F225" t="s">
        <v>32</v>
      </c>
      <c r="G225" t="s">
        <v>22</v>
      </c>
      <c r="H225">
        <v>2</v>
      </c>
      <c r="I225">
        <v>175.51</v>
      </c>
      <c r="J225">
        <v>351.02</v>
      </c>
      <c r="K225" t="s">
        <v>35</v>
      </c>
    </row>
    <row r="226" spans="1:11" x14ac:dyDescent="0.25">
      <c r="A226" s="1">
        <v>44633</v>
      </c>
      <c r="B226" t="s">
        <v>18</v>
      </c>
      <c r="C226" t="s">
        <v>19</v>
      </c>
      <c r="D226" t="s">
        <v>20</v>
      </c>
      <c r="E226" t="s">
        <v>26</v>
      </c>
      <c r="F226" t="s">
        <v>40</v>
      </c>
      <c r="G226" t="s">
        <v>27</v>
      </c>
      <c r="H226">
        <v>4</v>
      </c>
      <c r="I226">
        <v>211.37</v>
      </c>
      <c r="J226">
        <v>845.48</v>
      </c>
      <c r="K226" t="s">
        <v>17</v>
      </c>
    </row>
    <row r="227" spans="1:11" x14ac:dyDescent="0.25">
      <c r="A227" s="1">
        <v>44643</v>
      </c>
      <c r="B227" t="s">
        <v>28</v>
      </c>
      <c r="C227" t="s">
        <v>29</v>
      </c>
      <c r="D227" t="s">
        <v>25</v>
      </c>
      <c r="E227" t="s">
        <v>14</v>
      </c>
      <c r="F227" t="s">
        <v>32</v>
      </c>
      <c r="G227" t="s">
        <v>27</v>
      </c>
      <c r="H227">
        <v>1</v>
      </c>
      <c r="I227">
        <v>209.78</v>
      </c>
      <c r="J227">
        <v>209.78</v>
      </c>
      <c r="K227" t="s">
        <v>35</v>
      </c>
    </row>
    <row r="228" spans="1:11" x14ac:dyDescent="0.25">
      <c r="A228" s="1">
        <v>44693</v>
      </c>
      <c r="B228" t="s">
        <v>24</v>
      </c>
      <c r="C228" t="s">
        <v>19</v>
      </c>
      <c r="D228" t="s">
        <v>25</v>
      </c>
      <c r="E228" t="s">
        <v>14</v>
      </c>
      <c r="F228" t="s">
        <v>32</v>
      </c>
      <c r="G228" t="s">
        <v>43</v>
      </c>
      <c r="H228">
        <v>1</v>
      </c>
      <c r="I228">
        <v>59.85</v>
      </c>
      <c r="J228">
        <v>59.85</v>
      </c>
      <c r="K228" t="s">
        <v>36</v>
      </c>
    </row>
    <row r="229" spans="1:11" x14ac:dyDescent="0.25">
      <c r="A229" s="1">
        <v>44759</v>
      </c>
      <c r="B229" t="s">
        <v>24</v>
      </c>
      <c r="C229" t="s">
        <v>19</v>
      </c>
      <c r="D229" t="s">
        <v>25</v>
      </c>
      <c r="E229" t="s">
        <v>14</v>
      </c>
      <c r="F229" t="s">
        <v>21</v>
      </c>
      <c r="G229" t="s">
        <v>39</v>
      </c>
      <c r="H229">
        <v>3</v>
      </c>
      <c r="I229">
        <v>156.27000000000001</v>
      </c>
      <c r="J229">
        <v>468.81</v>
      </c>
      <c r="K229" t="s">
        <v>35</v>
      </c>
    </row>
    <row r="230" spans="1:11" x14ac:dyDescent="0.25">
      <c r="A230" s="1">
        <v>44628</v>
      </c>
      <c r="B230" t="s">
        <v>18</v>
      </c>
      <c r="C230" t="s">
        <v>19</v>
      </c>
      <c r="D230" t="s">
        <v>20</v>
      </c>
      <c r="E230" t="s">
        <v>14</v>
      </c>
      <c r="F230" t="s">
        <v>15</v>
      </c>
      <c r="G230" t="s">
        <v>33</v>
      </c>
      <c r="H230">
        <v>2</v>
      </c>
      <c r="I230">
        <v>175</v>
      </c>
      <c r="J230">
        <v>350</v>
      </c>
      <c r="K230" t="s">
        <v>17</v>
      </c>
    </row>
    <row r="231" spans="1:11" x14ac:dyDescent="0.25">
      <c r="A231" s="1">
        <v>44778</v>
      </c>
      <c r="B231" t="s">
        <v>37</v>
      </c>
      <c r="C231" t="s">
        <v>29</v>
      </c>
      <c r="D231" t="s">
        <v>38</v>
      </c>
      <c r="E231" t="s">
        <v>30</v>
      </c>
      <c r="F231" t="s">
        <v>32</v>
      </c>
      <c r="G231" t="s">
        <v>34</v>
      </c>
      <c r="H231">
        <v>2</v>
      </c>
      <c r="I231">
        <v>88</v>
      </c>
      <c r="J231">
        <v>176</v>
      </c>
      <c r="K231" t="s">
        <v>36</v>
      </c>
    </row>
    <row r="232" spans="1:11" x14ac:dyDescent="0.25">
      <c r="A232" s="1">
        <v>44744</v>
      </c>
      <c r="B232" t="s">
        <v>24</v>
      </c>
      <c r="C232" t="s">
        <v>19</v>
      </c>
      <c r="D232" t="s">
        <v>25</v>
      </c>
      <c r="E232" t="s">
        <v>30</v>
      </c>
      <c r="F232" t="s">
        <v>32</v>
      </c>
      <c r="G232" t="s">
        <v>34</v>
      </c>
      <c r="H232">
        <v>4</v>
      </c>
      <c r="I232">
        <v>293.33</v>
      </c>
      <c r="J232">
        <v>1173.32</v>
      </c>
      <c r="K232" t="s">
        <v>17</v>
      </c>
    </row>
    <row r="233" spans="1:11" x14ac:dyDescent="0.25">
      <c r="A233" s="1">
        <v>44759</v>
      </c>
      <c r="B233" t="s">
        <v>24</v>
      </c>
      <c r="C233" t="s">
        <v>19</v>
      </c>
      <c r="D233" t="s">
        <v>25</v>
      </c>
      <c r="E233" t="s">
        <v>14</v>
      </c>
      <c r="F233" t="s">
        <v>15</v>
      </c>
      <c r="G233" t="s">
        <v>27</v>
      </c>
      <c r="H233">
        <v>5</v>
      </c>
      <c r="I233">
        <v>285.37</v>
      </c>
      <c r="J233">
        <v>1426.85</v>
      </c>
      <c r="K233" t="s">
        <v>35</v>
      </c>
    </row>
    <row r="234" spans="1:11" x14ac:dyDescent="0.25">
      <c r="A234" s="1">
        <v>44576</v>
      </c>
      <c r="B234" t="s">
        <v>37</v>
      </c>
      <c r="C234" t="s">
        <v>29</v>
      </c>
      <c r="D234" t="s">
        <v>38</v>
      </c>
      <c r="E234" t="s">
        <v>26</v>
      </c>
      <c r="F234" t="s">
        <v>40</v>
      </c>
      <c r="G234" t="s">
        <v>22</v>
      </c>
      <c r="H234">
        <v>5</v>
      </c>
      <c r="I234">
        <v>220.59</v>
      </c>
      <c r="J234">
        <v>1102.95</v>
      </c>
      <c r="K234" t="s">
        <v>36</v>
      </c>
    </row>
    <row r="235" spans="1:11" x14ac:dyDescent="0.25">
      <c r="A235" s="1">
        <v>44623</v>
      </c>
      <c r="B235" t="s">
        <v>24</v>
      </c>
      <c r="C235" t="s">
        <v>19</v>
      </c>
      <c r="D235" t="s">
        <v>25</v>
      </c>
      <c r="E235" t="s">
        <v>30</v>
      </c>
      <c r="F235" t="s">
        <v>21</v>
      </c>
      <c r="G235" t="s">
        <v>33</v>
      </c>
      <c r="H235">
        <v>5</v>
      </c>
      <c r="I235">
        <v>214</v>
      </c>
      <c r="J235">
        <v>1070</v>
      </c>
      <c r="K235" t="s">
        <v>36</v>
      </c>
    </row>
    <row r="236" spans="1:11" x14ac:dyDescent="0.25">
      <c r="A236" s="1">
        <v>44791</v>
      </c>
      <c r="B236" t="s">
        <v>18</v>
      </c>
      <c r="C236" t="s">
        <v>19</v>
      </c>
      <c r="D236" t="s">
        <v>20</v>
      </c>
      <c r="E236" t="s">
        <v>14</v>
      </c>
      <c r="F236" t="s">
        <v>15</v>
      </c>
      <c r="G236" t="s">
        <v>27</v>
      </c>
      <c r="H236">
        <v>5</v>
      </c>
      <c r="I236">
        <v>208.24</v>
      </c>
      <c r="J236">
        <v>1041.2</v>
      </c>
      <c r="K236" t="s">
        <v>17</v>
      </c>
    </row>
    <row r="237" spans="1:11" x14ac:dyDescent="0.25">
      <c r="A237" s="1">
        <v>44719</v>
      </c>
      <c r="B237" t="s">
        <v>41</v>
      </c>
      <c r="C237" t="s">
        <v>29</v>
      </c>
      <c r="D237" t="s">
        <v>42</v>
      </c>
      <c r="E237" t="s">
        <v>14</v>
      </c>
      <c r="F237" t="s">
        <v>32</v>
      </c>
      <c r="G237" t="s">
        <v>27</v>
      </c>
      <c r="H237">
        <v>4</v>
      </c>
      <c r="I237">
        <v>133.69999999999999</v>
      </c>
      <c r="J237">
        <v>534.79999999999995</v>
      </c>
      <c r="K237" t="s">
        <v>35</v>
      </c>
    </row>
    <row r="238" spans="1:11" x14ac:dyDescent="0.25">
      <c r="A238" s="1">
        <v>44797</v>
      </c>
      <c r="B238" t="s">
        <v>11</v>
      </c>
      <c r="C238" t="s">
        <v>12</v>
      </c>
      <c r="D238" t="s">
        <v>13</v>
      </c>
      <c r="E238" t="s">
        <v>30</v>
      </c>
      <c r="F238" t="s">
        <v>32</v>
      </c>
      <c r="G238" t="s">
        <v>43</v>
      </c>
      <c r="H238">
        <v>2</v>
      </c>
      <c r="I238">
        <v>158.69999999999999</v>
      </c>
      <c r="J238">
        <v>317.39999999999998</v>
      </c>
      <c r="K238" t="s">
        <v>36</v>
      </c>
    </row>
    <row r="239" spans="1:11" x14ac:dyDescent="0.25">
      <c r="A239" s="1">
        <v>44580</v>
      </c>
      <c r="B239" t="s">
        <v>28</v>
      </c>
      <c r="C239" t="s">
        <v>29</v>
      </c>
      <c r="D239" t="s">
        <v>25</v>
      </c>
      <c r="E239" t="s">
        <v>26</v>
      </c>
      <c r="F239" t="s">
        <v>21</v>
      </c>
      <c r="G239" t="s">
        <v>34</v>
      </c>
      <c r="H239">
        <v>2</v>
      </c>
      <c r="I239">
        <v>244.13</v>
      </c>
      <c r="J239">
        <v>488.26</v>
      </c>
      <c r="K239" t="s">
        <v>23</v>
      </c>
    </row>
    <row r="240" spans="1:11" x14ac:dyDescent="0.25">
      <c r="A240" s="1">
        <v>44792</v>
      </c>
      <c r="B240" t="s">
        <v>28</v>
      </c>
      <c r="C240" t="s">
        <v>29</v>
      </c>
      <c r="D240" t="s">
        <v>25</v>
      </c>
      <c r="E240" t="s">
        <v>26</v>
      </c>
      <c r="F240" t="s">
        <v>32</v>
      </c>
      <c r="G240" t="s">
        <v>33</v>
      </c>
      <c r="H240">
        <v>5</v>
      </c>
      <c r="I240">
        <v>147.99</v>
      </c>
      <c r="J240">
        <v>739.95</v>
      </c>
      <c r="K240" t="s">
        <v>35</v>
      </c>
    </row>
    <row r="241" spans="1:11" x14ac:dyDescent="0.25">
      <c r="A241" s="1">
        <v>44784</v>
      </c>
      <c r="B241" t="s">
        <v>11</v>
      </c>
      <c r="C241" t="s">
        <v>12</v>
      </c>
      <c r="D241" t="s">
        <v>13</v>
      </c>
      <c r="E241" t="s">
        <v>14</v>
      </c>
      <c r="F241" t="s">
        <v>32</v>
      </c>
      <c r="G241" t="s">
        <v>16</v>
      </c>
      <c r="H241">
        <v>1</v>
      </c>
      <c r="I241">
        <v>157.81</v>
      </c>
      <c r="J241">
        <v>157.81</v>
      </c>
      <c r="K241" t="s">
        <v>23</v>
      </c>
    </row>
    <row r="242" spans="1:11" hidden="1" x14ac:dyDescent="0.25">
      <c r="A242" s="1">
        <v>44644</v>
      </c>
      <c r="B242" t="s">
        <v>48</v>
      </c>
      <c r="C242" t="s">
        <v>49</v>
      </c>
      <c r="D242" t="s">
        <v>50</v>
      </c>
      <c r="E242" t="s">
        <v>14</v>
      </c>
      <c r="F242" t="s">
        <v>21</v>
      </c>
      <c r="G242" t="s">
        <v>27</v>
      </c>
      <c r="H242">
        <v>2</v>
      </c>
      <c r="I242">
        <v>212.76</v>
      </c>
      <c r="J242">
        <v>425.52</v>
      </c>
      <c r="K242" t="s">
        <v>36</v>
      </c>
    </row>
    <row r="243" spans="1:11" x14ac:dyDescent="0.25">
      <c r="A243" s="1">
        <v>44578</v>
      </c>
      <c r="B243" t="s">
        <v>44</v>
      </c>
      <c r="C243" t="s">
        <v>19</v>
      </c>
      <c r="D243" t="s">
        <v>20</v>
      </c>
      <c r="E243" t="s">
        <v>26</v>
      </c>
      <c r="F243" t="s">
        <v>32</v>
      </c>
      <c r="G243" t="s">
        <v>33</v>
      </c>
      <c r="H243">
        <v>3</v>
      </c>
      <c r="I243">
        <v>225.9</v>
      </c>
      <c r="J243">
        <v>677.7</v>
      </c>
      <c r="K243" t="s">
        <v>36</v>
      </c>
    </row>
    <row r="244" spans="1:11" hidden="1" x14ac:dyDescent="0.25">
      <c r="A244" s="1">
        <v>44601</v>
      </c>
      <c r="B244" t="s">
        <v>45</v>
      </c>
      <c r="C244" t="s">
        <v>46</v>
      </c>
      <c r="D244" t="s">
        <v>47</v>
      </c>
      <c r="E244" t="s">
        <v>30</v>
      </c>
      <c r="F244" t="s">
        <v>21</v>
      </c>
      <c r="G244" t="s">
        <v>39</v>
      </c>
      <c r="H244">
        <v>3</v>
      </c>
      <c r="I244">
        <v>112.98</v>
      </c>
      <c r="J244">
        <v>338.94</v>
      </c>
      <c r="K244" t="s">
        <v>36</v>
      </c>
    </row>
    <row r="245" spans="1:11" hidden="1" x14ac:dyDescent="0.25">
      <c r="A245" s="1">
        <v>44694</v>
      </c>
      <c r="B245" t="s">
        <v>45</v>
      </c>
      <c r="C245" t="s">
        <v>46</v>
      </c>
      <c r="D245" t="s">
        <v>47</v>
      </c>
      <c r="E245" t="s">
        <v>14</v>
      </c>
      <c r="F245" t="s">
        <v>32</v>
      </c>
      <c r="G245" t="s">
        <v>39</v>
      </c>
      <c r="H245">
        <v>2</v>
      </c>
      <c r="I245">
        <v>100.84</v>
      </c>
      <c r="J245">
        <v>201.68</v>
      </c>
      <c r="K245" t="s">
        <v>23</v>
      </c>
    </row>
    <row r="246" spans="1:11" x14ac:dyDescent="0.25">
      <c r="A246" s="1">
        <v>44595</v>
      </c>
      <c r="B246" t="s">
        <v>31</v>
      </c>
      <c r="C246" t="s">
        <v>19</v>
      </c>
      <c r="D246" t="s">
        <v>25</v>
      </c>
      <c r="E246" t="s">
        <v>26</v>
      </c>
      <c r="F246" t="s">
        <v>32</v>
      </c>
      <c r="G246" t="s">
        <v>39</v>
      </c>
      <c r="H246">
        <v>4</v>
      </c>
      <c r="I246">
        <v>292.75</v>
      </c>
      <c r="J246">
        <v>1171</v>
      </c>
      <c r="K246" t="s">
        <v>36</v>
      </c>
    </row>
    <row r="247" spans="1:11" x14ac:dyDescent="0.25">
      <c r="A247" s="1">
        <v>44600</v>
      </c>
      <c r="B247" t="s">
        <v>28</v>
      </c>
      <c r="C247" t="s">
        <v>29</v>
      </c>
      <c r="D247" t="s">
        <v>25</v>
      </c>
      <c r="E247" t="s">
        <v>30</v>
      </c>
      <c r="F247" t="s">
        <v>21</v>
      </c>
      <c r="G247" t="s">
        <v>34</v>
      </c>
      <c r="H247">
        <v>3</v>
      </c>
      <c r="I247">
        <v>82.62</v>
      </c>
      <c r="J247">
        <v>247.86</v>
      </c>
      <c r="K247" t="s">
        <v>23</v>
      </c>
    </row>
    <row r="248" spans="1:11" x14ac:dyDescent="0.25">
      <c r="A248" s="1">
        <v>44760</v>
      </c>
      <c r="B248" t="s">
        <v>37</v>
      </c>
      <c r="C248" t="s">
        <v>29</v>
      </c>
      <c r="D248" t="s">
        <v>38</v>
      </c>
      <c r="E248" t="s">
        <v>30</v>
      </c>
      <c r="F248" t="s">
        <v>40</v>
      </c>
      <c r="G248" t="s">
        <v>33</v>
      </c>
      <c r="H248">
        <v>3</v>
      </c>
      <c r="I248">
        <v>246.13</v>
      </c>
      <c r="J248">
        <v>738.39</v>
      </c>
      <c r="K248" t="s">
        <v>35</v>
      </c>
    </row>
    <row r="249" spans="1:11" x14ac:dyDescent="0.25">
      <c r="A249" s="1">
        <v>44680</v>
      </c>
      <c r="B249" t="s">
        <v>24</v>
      </c>
      <c r="C249" t="s">
        <v>19</v>
      </c>
      <c r="D249" t="s">
        <v>25</v>
      </c>
      <c r="E249" t="s">
        <v>30</v>
      </c>
      <c r="F249" t="s">
        <v>21</v>
      </c>
      <c r="G249" t="s">
        <v>27</v>
      </c>
      <c r="H249">
        <v>4</v>
      </c>
      <c r="I249">
        <v>168.01</v>
      </c>
      <c r="J249">
        <v>672.04</v>
      </c>
      <c r="K249" t="s">
        <v>36</v>
      </c>
    </row>
    <row r="250" spans="1:11" x14ac:dyDescent="0.25">
      <c r="A250" s="1">
        <v>44799</v>
      </c>
      <c r="B250" t="s">
        <v>44</v>
      </c>
      <c r="C250" t="s">
        <v>19</v>
      </c>
      <c r="D250" t="s">
        <v>20</v>
      </c>
      <c r="E250" t="s">
        <v>30</v>
      </c>
      <c r="F250" t="s">
        <v>40</v>
      </c>
      <c r="G250" t="s">
        <v>16</v>
      </c>
      <c r="H250">
        <v>1</v>
      </c>
      <c r="I250">
        <v>93.08</v>
      </c>
      <c r="J250">
        <v>93.08</v>
      </c>
      <c r="K250" t="s">
        <v>36</v>
      </c>
    </row>
    <row r="251" spans="1:11" x14ac:dyDescent="0.25">
      <c r="A251" s="1">
        <v>44575</v>
      </c>
      <c r="B251" t="s">
        <v>37</v>
      </c>
      <c r="C251" t="s">
        <v>29</v>
      </c>
      <c r="D251" t="s">
        <v>38</v>
      </c>
      <c r="E251" t="s">
        <v>26</v>
      </c>
      <c r="F251" t="s">
        <v>15</v>
      </c>
      <c r="G251" t="s">
        <v>33</v>
      </c>
      <c r="H251">
        <v>3</v>
      </c>
      <c r="I251">
        <v>161.55000000000001</v>
      </c>
      <c r="J251">
        <v>484.65</v>
      </c>
      <c r="K251" t="s">
        <v>35</v>
      </c>
    </row>
    <row r="252" spans="1:11" hidden="1" x14ac:dyDescent="0.25">
      <c r="A252" s="1">
        <v>44617</v>
      </c>
      <c r="B252" t="s">
        <v>45</v>
      </c>
      <c r="C252" t="s">
        <v>46</v>
      </c>
      <c r="D252" t="s">
        <v>47</v>
      </c>
      <c r="E252" t="s">
        <v>30</v>
      </c>
      <c r="F252" t="s">
        <v>32</v>
      </c>
      <c r="G252" t="s">
        <v>27</v>
      </c>
      <c r="H252">
        <v>3</v>
      </c>
      <c r="I252">
        <v>228.84</v>
      </c>
      <c r="J252">
        <v>686.52</v>
      </c>
      <c r="K252" t="s">
        <v>35</v>
      </c>
    </row>
    <row r="253" spans="1:11" x14ac:dyDescent="0.25">
      <c r="A253" s="1">
        <v>44704</v>
      </c>
      <c r="B253" t="s">
        <v>37</v>
      </c>
      <c r="C253" t="s">
        <v>29</v>
      </c>
      <c r="D253" t="s">
        <v>38</v>
      </c>
      <c r="E253" t="s">
        <v>26</v>
      </c>
      <c r="F253" t="s">
        <v>40</v>
      </c>
      <c r="G253" t="s">
        <v>22</v>
      </c>
      <c r="H253">
        <v>4</v>
      </c>
      <c r="I253">
        <v>221.31</v>
      </c>
      <c r="J253">
        <v>885.24</v>
      </c>
      <c r="K253" t="s">
        <v>17</v>
      </c>
    </row>
    <row r="254" spans="1:11" hidden="1" x14ac:dyDescent="0.25">
      <c r="A254" s="1">
        <v>44768</v>
      </c>
      <c r="B254" t="s">
        <v>45</v>
      </c>
      <c r="C254" t="s">
        <v>46</v>
      </c>
      <c r="D254" t="s">
        <v>47</v>
      </c>
      <c r="E254" t="s">
        <v>26</v>
      </c>
      <c r="F254" t="s">
        <v>40</v>
      </c>
      <c r="G254" t="s">
        <v>34</v>
      </c>
      <c r="H254">
        <v>2</v>
      </c>
      <c r="I254">
        <v>287.68</v>
      </c>
      <c r="J254">
        <v>575.36</v>
      </c>
      <c r="K254" t="s">
        <v>23</v>
      </c>
    </row>
    <row r="255" spans="1:11" x14ac:dyDescent="0.25">
      <c r="A255" s="1">
        <v>44577</v>
      </c>
      <c r="B255" t="s">
        <v>24</v>
      </c>
      <c r="C255" t="s">
        <v>19</v>
      </c>
      <c r="D255" t="s">
        <v>25</v>
      </c>
      <c r="E255" t="s">
        <v>26</v>
      </c>
      <c r="F255" t="s">
        <v>15</v>
      </c>
      <c r="G255" t="s">
        <v>34</v>
      </c>
      <c r="H255">
        <v>5</v>
      </c>
      <c r="I255">
        <v>168.7</v>
      </c>
      <c r="J255">
        <v>843.5</v>
      </c>
      <c r="K255" t="s">
        <v>36</v>
      </c>
    </row>
    <row r="256" spans="1:11" x14ac:dyDescent="0.25">
      <c r="A256" s="1">
        <v>44713</v>
      </c>
      <c r="B256" t="s">
        <v>11</v>
      </c>
      <c r="C256" t="s">
        <v>12</v>
      </c>
      <c r="D256" t="s">
        <v>13</v>
      </c>
      <c r="E256" t="s">
        <v>26</v>
      </c>
      <c r="F256" t="s">
        <v>21</v>
      </c>
      <c r="G256" t="s">
        <v>34</v>
      </c>
      <c r="H256">
        <v>3</v>
      </c>
      <c r="I256">
        <v>153.82</v>
      </c>
      <c r="J256">
        <v>461.46</v>
      </c>
      <c r="K256" t="s">
        <v>23</v>
      </c>
    </row>
    <row r="257" spans="1:11" x14ac:dyDescent="0.25">
      <c r="A257" s="1">
        <v>44605</v>
      </c>
      <c r="B257" t="s">
        <v>44</v>
      </c>
      <c r="C257" t="s">
        <v>19</v>
      </c>
      <c r="D257" t="s">
        <v>20</v>
      </c>
      <c r="E257" t="s">
        <v>14</v>
      </c>
      <c r="F257" t="s">
        <v>32</v>
      </c>
      <c r="G257" t="s">
        <v>16</v>
      </c>
      <c r="H257">
        <v>4</v>
      </c>
      <c r="I257">
        <v>281</v>
      </c>
      <c r="J257">
        <v>1124</v>
      </c>
      <c r="K257" t="s">
        <v>35</v>
      </c>
    </row>
    <row r="258" spans="1:11" hidden="1" x14ac:dyDescent="0.25">
      <c r="A258" s="1">
        <v>44648</v>
      </c>
      <c r="B258" t="s">
        <v>48</v>
      </c>
      <c r="C258" t="s">
        <v>49</v>
      </c>
      <c r="D258" t="s">
        <v>50</v>
      </c>
      <c r="E258" t="s">
        <v>26</v>
      </c>
      <c r="F258" t="s">
        <v>21</v>
      </c>
      <c r="G258" t="s">
        <v>43</v>
      </c>
      <c r="H258">
        <v>5</v>
      </c>
      <c r="I258">
        <v>112.4</v>
      </c>
      <c r="J258">
        <v>562</v>
      </c>
      <c r="K258" t="s">
        <v>36</v>
      </c>
    </row>
    <row r="259" spans="1:11" x14ac:dyDescent="0.25">
      <c r="A259" s="1">
        <v>44581</v>
      </c>
      <c r="B259" t="s">
        <v>37</v>
      </c>
      <c r="C259" t="s">
        <v>29</v>
      </c>
      <c r="D259" t="s">
        <v>38</v>
      </c>
      <c r="E259" t="s">
        <v>14</v>
      </c>
      <c r="F259" t="s">
        <v>15</v>
      </c>
      <c r="G259" t="s">
        <v>39</v>
      </c>
      <c r="H259">
        <v>1</v>
      </c>
      <c r="I259">
        <v>233.16</v>
      </c>
      <c r="J259">
        <v>233.16</v>
      </c>
      <c r="K259" t="s">
        <v>23</v>
      </c>
    </row>
    <row r="260" spans="1:11" x14ac:dyDescent="0.25">
      <c r="A260" s="1">
        <v>44619</v>
      </c>
      <c r="B260" t="s">
        <v>18</v>
      </c>
      <c r="C260" t="s">
        <v>19</v>
      </c>
      <c r="D260" t="s">
        <v>20</v>
      </c>
      <c r="E260" t="s">
        <v>14</v>
      </c>
      <c r="F260" t="s">
        <v>40</v>
      </c>
      <c r="G260" t="s">
        <v>22</v>
      </c>
      <c r="H260">
        <v>5</v>
      </c>
      <c r="I260">
        <v>248.71</v>
      </c>
      <c r="J260">
        <v>1243.55</v>
      </c>
      <c r="K260" t="s">
        <v>36</v>
      </c>
    </row>
    <row r="261" spans="1:11" x14ac:dyDescent="0.25">
      <c r="A261" s="1">
        <v>44707</v>
      </c>
      <c r="B261" t="s">
        <v>28</v>
      </c>
      <c r="C261" t="s">
        <v>29</v>
      </c>
      <c r="D261" t="s">
        <v>25</v>
      </c>
      <c r="E261" t="s">
        <v>30</v>
      </c>
      <c r="F261" t="s">
        <v>32</v>
      </c>
      <c r="G261" t="s">
        <v>33</v>
      </c>
      <c r="H261">
        <v>5</v>
      </c>
      <c r="I261">
        <v>157.19999999999999</v>
      </c>
      <c r="J261">
        <v>786</v>
      </c>
      <c r="K261" t="s">
        <v>36</v>
      </c>
    </row>
    <row r="262" spans="1:11" x14ac:dyDescent="0.25">
      <c r="A262" s="1">
        <v>44590</v>
      </c>
      <c r="B262" t="s">
        <v>18</v>
      </c>
      <c r="C262" t="s">
        <v>19</v>
      </c>
      <c r="D262" t="s">
        <v>20</v>
      </c>
      <c r="E262" t="s">
        <v>30</v>
      </c>
      <c r="F262" t="s">
        <v>15</v>
      </c>
      <c r="G262" t="s">
        <v>33</v>
      </c>
      <c r="H262">
        <v>4</v>
      </c>
      <c r="I262">
        <v>113.75</v>
      </c>
      <c r="J262">
        <v>455</v>
      </c>
      <c r="K262" t="s">
        <v>36</v>
      </c>
    </row>
    <row r="263" spans="1:11" x14ac:dyDescent="0.25">
      <c r="A263" s="1">
        <v>44665</v>
      </c>
      <c r="B263" t="s">
        <v>18</v>
      </c>
      <c r="C263" t="s">
        <v>19</v>
      </c>
      <c r="D263" t="s">
        <v>20</v>
      </c>
      <c r="E263" t="s">
        <v>26</v>
      </c>
      <c r="F263" t="s">
        <v>21</v>
      </c>
      <c r="G263" t="s">
        <v>27</v>
      </c>
      <c r="H263">
        <v>1</v>
      </c>
      <c r="I263">
        <v>109.66</v>
      </c>
      <c r="J263">
        <v>109.66</v>
      </c>
      <c r="K263" t="s">
        <v>23</v>
      </c>
    </row>
    <row r="264" spans="1:11" hidden="1" x14ac:dyDescent="0.25">
      <c r="A264" s="1">
        <v>44718</v>
      </c>
      <c r="B264" t="s">
        <v>48</v>
      </c>
      <c r="C264" t="s">
        <v>49</v>
      </c>
      <c r="D264" t="s">
        <v>50</v>
      </c>
      <c r="E264" t="s">
        <v>26</v>
      </c>
      <c r="F264" t="s">
        <v>32</v>
      </c>
      <c r="G264" t="s">
        <v>43</v>
      </c>
      <c r="H264">
        <v>1</v>
      </c>
      <c r="I264">
        <v>81.569999999999993</v>
      </c>
      <c r="J264">
        <v>81.569999999999993</v>
      </c>
      <c r="K264" t="s">
        <v>35</v>
      </c>
    </row>
    <row r="265" spans="1:11" x14ac:dyDescent="0.25">
      <c r="A265" s="1">
        <v>44600</v>
      </c>
      <c r="B265" t="s">
        <v>11</v>
      </c>
      <c r="C265" t="s">
        <v>12</v>
      </c>
      <c r="D265" t="s">
        <v>13</v>
      </c>
      <c r="E265" t="s">
        <v>30</v>
      </c>
      <c r="F265" t="s">
        <v>32</v>
      </c>
      <c r="G265" t="s">
        <v>39</v>
      </c>
      <c r="H265">
        <v>2</v>
      </c>
      <c r="I265">
        <v>247.2</v>
      </c>
      <c r="J265">
        <v>494.4</v>
      </c>
      <c r="K265" t="s">
        <v>35</v>
      </c>
    </row>
    <row r="266" spans="1:11" hidden="1" x14ac:dyDescent="0.25">
      <c r="A266" s="1">
        <v>44687</v>
      </c>
      <c r="B266" t="s">
        <v>48</v>
      </c>
      <c r="C266" t="s">
        <v>49</v>
      </c>
      <c r="D266" t="s">
        <v>50</v>
      </c>
      <c r="E266" t="s">
        <v>26</v>
      </c>
      <c r="F266" t="s">
        <v>40</v>
      </c>
      <c r="G266" t="s">
        <v>16</v>
      </c>
      <c r="H266">
        <v>4</v>
      </c>
      <c r="I266">
        <v>250.26</v>
      </c>
      <c r="J266">
        <v>1001.04</v>
      </c>
      <c r="K266" t="s">
        <v>17</v>
      </c>
    </row>
    <row r="267" spans="1:11" x14ac:dyDescent="0.25">
      <c r="A267" s="1">
        <v>44567</v>
      </c>
      <c r="B267" t="s">
        <v>44</v>
      </c>
      <c r="C267" t="s">
        <v>19</v>
      </c>
      <c r="D267" t="s">
        <v>20</v>
      </c>
      <c r="E267" t="s">
        <v>14</v>
      </c>
      <c r="F267" t="s">
        <v>40</v>
      </c>
      <c r="G267" t="s">
        <v>27</v>
      </c>
      <c r="H267">
        <v>1</v>
      </c>
      <c r="I267">
        <v>137.19999999999999</v>
      </c>
      <c r="J267">
        <v>137.19999999999999</v>
      </c>
      <c r="K267" t="s">
        <v>17</v>
      </c>
    </row>
    <row r="268" spans="1:11" x14ac:dyDescent="0.25">
      <c r="A268" s="1">
        <v>44638</v>
      </c>
      <c r="B268" t="s">
        <v>44</v>
      </c>
      <c r="C268" t="s">
        <v>19</v>
      </c>
      <c r="D268" t="s">
        <v>20</v>
      </c>
      <c r="E268" t="s">
        <v>26</v>
      </c>
      <c r="F268" t="s">
        <v>21</v>
      </c>
      <c r="G268" t="s">
        <v>39</v>
      </c>
      <c r="H268">
        <v>3</v>
      </c>
      <c r="I268">
        <v>164.06</v>
      </c>
      <c r="J268">
        <v>492.18</v>
      </c>
      <c r="K268" t="s">
        <v>35</v>
      </c>
    </row>
    <row r="269" spans="1:11" x14ac:dyDescent="0.25">
      <c r="A269" s="1">
        <v>44599</v>
      </c>
      <c r="B269" t="s">
        <v>37</v>
      </c>
      <c r="C269" t="s">
        <v>29</v>
      </c>
      <c r="D269" t="s">
        <v>38</v>
      </c>
      <c r="E269" t="s">
        <v>14</v>
      </c>
      <c r="F269" t="s">
        <v>21</v>
      </c>
      <c r="G269" t="s">
        <v>22</v>
      </c>
      <c r="H269">
        <v>4</v>
      </c>
      <c r="I269">
        <v>198.45</v>
      </c>
      <c r="J269">
        <v>793.8</v>
      </c>
      <c r="K269" t="s">
        <v>36</v>
      </c>
    </row>
    <row r="270" spans="1:11" hidden="1" x14ac:dyDescent="0.25">
      <c r="A270" s="1">
        <v>44717</v>
      </c>
      <c r="B270" t="s">
        <v>48</v>
      </c>
      <c r="C270" t="s">
        <v>49</v>
      </c>
      <c r="D270" t="s">
        <v>50</v>
      </c>
      <c r="E270" t="s">
        <v>14</v>
      </c>
      <c r="F270" t="s">
        <v>15</v>
      </c>
      <c r="G270" t="s">
        <v>27</v>
      </c>
      <c r="H270">
        <v>2</v>
      </c>
      <c r="I270">
        <v>162.47999999999999</v>
      </c>
      <c r="J270">
        <v>324.95999999999998</v>
      </c>
      <c r="K270" t="s">
        <v>23</v>
      </c>
    </row>
    <row r="271" spans="1:11" x14ac:dyDescent="0.25">
      <c r="A271" s="1">
        <v>44725</v>
      </c>
      <c r="B271" t="s">
        <v>41</v>
      </c>
      <c r="C271" t="s">
        <v>29</v>
      </c>
      <c r="D271" t="s">
        <v>42</v>
      </c>
      <c r="E271" t="s">
        <v>30</v>
      </c>
      <c r="F271" t="s">
        <v>32</v>
      </c>
      <c r="G271" t="s">
        <v>34</v>
      </c>
      <c r="H271">
        <v>4</v>
      </c>
      <c r="I271">
        <v>243.48</v>
      </c>
      <c r="J271">
        <v>973.92</v>
      </c>
      <c r="K271" t="s">
        <v>36</v>
      </c>
    </row>
    <row r="272" spans="1:11" x14ac:dyDescent="0.25">
      <c r="A272" s="1">
        <v>44783</v>
      </c>
      <c r="B272" t="s">
        <v>24</v>
      </c>
      <c r="C272" t="s">
        <v>19</v>
      </c>
      <c r="D272" t="s">
        <v>25</v>
      </c>
      <c r="E272" t="s">
        <v>26</v>
      </c>
      <c r="F272" t="s">
        <v>15</v>
      </c>
      <c r="G272" t="s">
        <v>34</v>
      </c>
      <c r="H272">
        <v>4</v>
      </c>
      <c r="I272">
        <v>183.4</v>
      </c>
      <c r="J272">
        <v>733.6</v>
      </c>
      <c r="K272" t="s">
        <v>17</v>
      </c>
    </row>
    <row r="273" spans="1:11" x14ac:dyDescent="0.25">
      <c r="A273" s="1">
        <v>44686</v>
      </c>
      <c r="B273" t="s">
        <v>37</v>
      </c>
      <c r="C273" t="s">
        <v>29</v>
      </c>
      <c r="D273" t="s">
        <v>38</v>
      </c>
      <c r="E273" t="s">
        <v>30</v>
      </c>
      <c r="F273" t="s">
        <v>21</v>
      </c>
      <c r="G273" t="s">
        <v>34</v>
      </c>
      <c r="H273">
        <v>1</v>
      </c>
      <c r="I273">
        <v>271.44</v>
      </c>
      <c r="J273">
        <v>271.44</v>
      </c>
      <c r="K273" t="s">
        <v>23</v>
      </c>
    </row>
    <row r="274" spans="1:11" x14ac:dyDescent="0.25">
      <c r="A274" s="1">
        <v>44621</v>
      </c>
      <c r="B274" t="s">
        <v>37</v>
      </c>
      <c r="C274" t="s">
        <v>29</v>
      </c>
      <c r="D274" t="s">
        <v>38</v>
      </c>
      <c r="E274" t="s">
        <v>14</v>
      </c>
      <c r="F274" t="s">
        <v>15</v>
      </c>
      <c r="G274" t="s">
        <v>22</v>
      </c>
      <c r="H274">
        <v>2</v>
      </c>
      <c r="I274">
        <v>135.47999999999999</v>
      </c>
      <c r="J274">
        <v>270.95999999999998</v>
      </c>
      <c r="K274" t="s">
        <v>23</v>
      </c>
    </row>
    <row r="275" spans="1:11" x14ac:dyDescent="0.25">
      <c r="A275" s="1">
        <v>44582</v>
      </c>
      <c r="B275" t="s">
        <v>11</v>
      </c>
      <c r="C275" t="s">
        <v>12</v>
      </c>
      <c r="D275" t="s">
        <v>13</v>
      </c>
      <c r="E275" t="s">
        <v>30</v>
      </c>
      <c r="F275" t="s">
        <v>40</v>
      </c>
      <c r="G275" t="s">
        <v>16</v>
      </c>
      <c r="H275">
        <v>5</v>
      </c>
      <c r="I275">
        <v>148.46</v>
      </c>
      <c r="J275">
        <v>742.3</v>
      </c>
      <c r="K275" t="s">
        <v>17</v>
      </c>
    </row>
    <row r="276" spans="1:11" hidden="1" x14ac:dyDescent="0.25">
      <c r="A276" s="1">
        <v>44752</v>
      </c>
      <c r="B276" t="s">
        <v>45</v>
      </c>
      <c r="C276" t="s">
        <v>46</v>
      </c>
      <c r="D276" t="s">
        <v>47</v>
      </c>
      <c r="E276" t="s">
        <v>30</v>
      </c>
      <c r="F276" t="s">
        <v>32</v>
      </c>
      <c r="G276" t="s">
        <v>39</v>
      </c>
      <c r="H276">
        <v>5</v>
      </c>
      <c r="I276">
        <v>251.06</v>
      </c>
      <c r="J276">
        <v>1255.3</v>
      </c>
      <c r="K276" t="s">
        <v>35</v>
      </c>
    </row>
    <row r="277" spans="1:11" hidden="1" x14ac:dyDescent="0.25">
      <c r="A277" s="1">
        <v>44632</v>
      </c>
      <c r="B277" t="s">
        <v>45</v>
      </c>
      <c r="C277" t="s">
        <v>46</v>
      </c>
      <c r="D277" t="s">
        <v>47</v>
      </c>
      <c r="E277" t="s">
        <v>14</v>
      </c>
      <c r="F277" t="s">
        <v>21</v>
      </c>
      <c r="G277" t="s">
        <v>27</v>
      </c>
      <c r="H277">
        <v>2</v>
      </c>
      <c r="I277">
        <v>195.41</v>
      </c>
      <c r="J277">
        <v>390.82</v>
      </c>
      <c r="K277" t="s">
        <v>17</v>
      </c>
    </row>
    <row r="278" spans="1:11" x14ac:dyDescent="0.25">
      <c r="A278" s="1">
        <v>44583</v>
      </c>
      <c r="B278" t="s">
        <v>18</v>
      </c>
      <c r="C278" t="s">
        <v>19</v>
      </c>
      <c r="D278" t="s">
        <v>20</v>
      </c>
      <c r="E278" t="s">
        <v>14</v>
      </c>
      <c r="F278" t="s">
        <v>15</v>
      </c>
      <c r="G278" t="s">
        <v>43</v>
      </c>
      <c r="H278">
        <v>4</v>
      </c>
      <c r="I278">
        <v>206.29</v>
      </c>
      <c r="J278">
        <v>825.16</v>
      </c>
      <c r="K278" t="s">
        <v>36</v>
      </c>
    </row>
    <row r="279" spans="1:11" hidden="1" x14ac:dyDescent="0.25">
      <c r="A279" s="1">
        <v>44694</v>
      </c>
      <c r="B279" t="s">
        <v>45</v>
      </c>
      <c r="C279" t="s">
        <v>46</v>
      </c>
      <c r="D279" t="s">
        <v>47</v>
      </c>
      <c r="E279" t="s">
        <v>26</v>
      </c>
      <c r="F279" t="s">
        <v>21</v>
      </c>
      <c r="G279" t="s">
        <v>16</v>
      </c>
      <c r="H279">
        <v>4</v>
      </c>
      <c r="I279">
        <v>146.09</v>
      </c>
      <c r="J279">
        <v>584.36</v>
      </c>
      <c r="K279" t="s">
        <v>23</v>
      </c>
    </row>
    <row r="280" spans="1:11" x14ac:dyDescent="0.25">
      <c r="A280" s="1">
        <v>44707</v>
      </c>
      <c r="B280" t="s">
        <v>18</v>
      </c>
      <c r="C280" t="s">
        <v>19</v>
      </c>
      <c r="D280" t="s">
        <v>20</v>
      </c>
      <c r="E280" t="s">
        <v>26</v>
      </c>
      <c r="F280" t="s">
        <v>15</v>
      </c>
      <c r="G280" t="s">
        <v>22</v>
      </c>
      <c r="H280">
        <v>1</v>
      </c>
      <c r="I280">
        <v>284.3</v>
      </c>
      <c r="J280">
        <v>284.3</v>
      </c>
      <c r="K280" t="s">
        <v>17</v>
      </c>
    </row>
    <row r="281" spans="1:11" hidden="1" x14ac:dyDescent="0.25">
      <c r="A281" s="1">
        <v>44575</v>
      </c>
      <c r="B281" t="s">
        <v>48</v>
      </c>
      <c r="C281" t="s">
        <v>49</v>
      </c>
      <c r="D281" t="s">
        <v>50</v>
      </c>
      <c r="E281" t="s">
        <v>14</v>
      </c>
      <c r="F281" t="s">
        <v>15</v>
      </c>
      <c r="G281" t="s">
        <v>33</v>
      </c>
      <c r="H281">
        <v>5</v>
      </c>
      <c r="I281">
        <v>289.47000000000003</v>
      </c>
      <c r="J281">
        <v>1447.35</v>
      </c>
      <c r="K281" t="s">
        <v>17</v>
      </c>
    </row>
    <row r="282" spans="1:11" x14ac:dyDescent="0.25">
      <c r="A282" s="1">
        <v>44630</v>
      </c>
      <c r="B282" t="s">
        <v>28</v>
      </c>
      <c r="C282" t="s">
        <v>29</v>
      </c>
      <c r="D282" t="s">
        <v>25</v>
      </c>
      <c r="E282" t="s">
        <v>26</v>
      </c>
      <c r="F282" t="s">
        <v>40</v>
      </c>
      <c r="G282" t="s">
        <v>34</v>
      </c>
      <c r="H282">
        <v>2</v>
      </c>
      <c r="I282">
        <v>218.25</v>
      </c>
      <c r="J282">
        <v>436.5</v>
      </c>
      <c r="K282" t="s">
        <v>36</v>
      </c>
    </row>
    <row r="283" spans="1:11" x14ac:dyDescent="0.25">
      <c r="A283" s="1">
        <v>44750</v>
      </c>
      <c r="B283" t="s">
        <v>31</v>
      </c>
      <c r="C283" t="s">
        <v>19</v>
      </c>
      <c r="D283" t="s">
        <v>25</v>
      </c>
      <c r="E283" t="s">
        <v>30</v>
      </c>
      <c r="F283" t="s">
        <v>21</v>
      </c>
      <c r="G283" t="s">
        <v>43</v>
      </c>
      <c r="H283">
        <v>4</v>
      </c>
      <c r="I283">
        <v>204.62</v>
      </c>
      <c r="J283">
        <v>818.48</v>
      </c>
      <c r="K283" t="s">
        <v>36</v>
      </c>
    </row>
    <row r="284" spans="1:11" hidden="1" x14ac:dyDescent="0.25">
      <c r="A284" s="1">
        <v>44564</v>
      </c>
      <c r="B284" t="s">
        <v>48</v>
      </c>
      <c r="C284" t="s">
        <v>49</v>
      </c>
      <c r="D284" t="s">
        <v>50</v>
      </c>
      <c r="E284" t="s">
        <v>26</v>
      </c>
      <c r="F284" t="s">
        <v>15</v>
      </c>
      <c r="G284" t="s">
        <v>16</v>
      </c>
      <c r="H284">
        <v>2</v>
      </c>
      <c r="I284">
        <v>267.42</v>
      </c>
      <c r="J284">
        <v>534.84</v>
      </c>
      <c r="K284" t="s">
        <v>23</v>
      </c>
    </row>
    <row r="285" spans="1:11" x14ac:dyDescent="0.25">
      <c r="A285" s="1">
        <v>44653</v>
      </c>
      <c r="B285" t="s">
        <v>41</v>
      </c>
      <c r="C285" t="s">
        <v>29</v>
      </c>
      <c r="D285" t="s">
        <v>42</v>
      </c>
      <c r="E285" t="s">
        <v>30</v>
      </c>
      <c r="F285" t="s">
        <v>32</v>
      </c>
      <c r="G285" t="s">
        <v>27</v>
      </c>
      <c r="H285">
        <v>1</v>
      </c>
      <c r="I285">
        <v>144.59</v>
      </c>
      <c r="J285">
        <v>144.59</v>
      </c>
      <c r="K285" t="s">
        <v>35</v>
      </c>
    </row>
    <row r="286" spans="1:11" x14ac:dyDescent="0.25">
      <c r="A286" s="1">
        <v>44790</v>
      </c>
      <c r="B286" t="s">
        <v>18</v>
      </c>
      <c r="C286" t="s">
        <v>19</v>
      </c>
      <c r="D286" t="s">
        <v>20</v>
      </c>
      <c r="E286" t="s">
        <v>30</v>
      </c>
      <c r="F286" t="s">
        <v>40</v>
      </c>
      <c r="G286" t="s">
        <v>39</v>
      </c>
      <c r="H286">
        <v>2</v>
      </c>
      <c r="I286">
        <v>80.47</v>
      </c>
      <c r="J286">
        <v>160.94</v>
      </c>
      <c r="K286" t="s">
        <v>17</v>
      </c>
    </row>
    <row r="287" spans="1:11" x14ac:dyDescent="0.25">
      <c r="A287" s="1">
        <v>44677</v>
      </c>
      <c r="B287" t="s">
        <v>28</v>
      </c>
      <c r="C287" t="s">
        <v>29</v>
      </c>
      <c r="D287" t="s">
        <v>25</v>
      </c>
      <c r="E287" t="s">
        <v>30</v>
      </c>
      <c r="F287" t="s">
        <v>32</v>
      </c>
      <c r="G287" t="s">
        <v>39</v>
      </c>
      <c r="H287">
        <v>2</v>
      </c>
      <c r="I287">
        <v>98.17</v>
      </c>
      <c r="J287">
        <v>196.34</v>
      </c>
      <c r="K287" t="s">
        <v>17</v>
      </c>
    </row>
    <row r="288" spans="1:11" x14ac:dyDescent="0.25">
      <c r="A288" s="1">
        <v>44727</v>
      </c>
      <c r="B288" t="s">
        <v>37</v>
      </c>
      <c r="C288" t="s">
        <v>29</v>
      </c>
      <c r="D288" t="s">
        <v>38</v>
      </c>
      <c r="E288" t="s">
        <v>30</v>
      </c>
      <c r="F288" t="s">
        <v>40</v>
      </c>
      <c r="G288" t="s">
        <v>34</v>
      </c>
      <c r="H288">
        <v>2</v>
      </c>
      <c r="I288">
        <v>63.76</v>
      </c>
      <c r="J288">
        <v>127.52</v>
      </c>
      <c r="K288" t="s">
        <v>23</v>
      </c>
    </row>
    <row r="289" spans="1:11" x14ac:dyDescent="0.25">
      <c r="A289" s="1">
        <v>44657</v>
      </c>
      <c r="B289" t="s">
        <v>41</v>
      </c>
      <c r="C289" t="s">
        <v>29</v>
      </c>
      <c r="D289" t="s">
        <v>42</v>
      </c>
      <c r="E289" t="s">
        <v>30</v>
      </c>
      <c r="F289" t="s">
        <v>32</v>
      </c>
      <c r="G289" t="s">
        <v>34</v>
      </c>
      <c r="H289">
        <v>2</v>
      </c>
      <c r="I289">
        <v>157.12</v>
      </c>
      <c r="J289">
        <v>314.24</v>
      </c>
      <c r="K289" t="s">
        <v>17</v>
      </c>
    </row>
    <row r="290" spans="1:11" x14ac:dyDescent="0.25">
      <c r="A290" s="1">
        <v>44658</v>
      </c>
      <c r="B290" t="s">
        <v>41</v>
      </c>
      <c r="C290" t="s">
        <v>29</v>
      </c>
      <c r="D290" t="s">
        <v>42</v>
      </c>
      <c r="E290" t="s">
        <v>26</v>
      </c>
      <c r="F290" t="s">
        <v>32</v>
      </c>
      <c r="G290" t="s">
        <v>27</v>
      </c>
      <c r="H290">
        <v>5</v>
      </c>
      <c r="I290">
        <v>293.20999999999998</v>
      </c>
      <c r="J290">
        <v>1466.05</v>
      </c>
      <c r="K290" t="s">
        <v>23</v>
      </c>
    </row>
    <row r="291" spans="1:11" x14ac:dyDescent="0.25">
      <c r="A291" s="1">
        <v>44650</v>
      </c>
      <c r="B291" t="s">
        <v>37</v>
      </c>
      <c r="C291" t="s">
        <v>29</v>
      </c>
      <c r="D291" t="s">
        <v>38</v>
      </c>
      <c r="E291" t="s">
        <v>30</v>
      </c>
      <c r="F291" t="s">
        <v>21</v>
      </c>
      <c r="G291" t="s">
        <v>34</v>
      </c>
      <c r="H291">
        <v>2</v>
      </c>
      <c r="I291">
        <v>142.25</v>
      </c>
      <c r="J291">
        <v>284.5</v>
      </c>
      <c r="K291" t="s">
        <v>35</v>
      </c>
    </row>
    <row r="292" spans="1:11" x14ac:dyDescent="0.25">
      <c r="A292" s="1">
        <v>44744</v>
      </c>
      <c r="B292" t="s">
        <v>37</v>
      </c>
      <c r="C292" t="s">
        <v>29</v>
      </c>
      <c r="D292" t="s">
        <v>38</v>
      </c>
      <c r="E292" t="s">
        <v>30</v>
      </c>
      <c r="F292" t="s">
        <v>40</v>
      </c>
      <c r="G292" t="s">
        <v>16</v>
      </c>
      <c r="H292">
        <v>1</v>
      </c>
      <c r="I292">
        <v>86.17</v>
      </c>
      <c r="J292">
        <v>86.17</v>
      </c>
      <c r="K292" t="s">
        <v>36</v>
      </c>
    </row>
    <row r="293" spans="1:11" x14ac:dyDescent="0.25">
      <c r="A293" s="1">
        <v>44751</v>
      </c>
      <c r="B293" t="s">
        <v>28</v>
      </c>
      <c r="C293" t="s">
        <v>29</v>
      </c>
      <c r="D293" t="s">
        <v>25</v>
      </c>
      <c r="E293" t="s">
        <v>26</v>
      </c>
      <c r="F293" t="s">
        <v>15</v>
      </c>
      <c r="G293" t="s">
        <v>39</v>
      </c>
      <c r="H293">
        <v>3</v>
      </c>
      <c r="I293">
        <v>172.37</v>
      </c>
      <c r="J293">
        <v>517.11</v>
      </c>
      <c r="K293" t="s">
        <v>17</v>
      </c>
    </row>
    <row r="294" spans="1:11" x14ac:dyDescent="0.25">
      <c r="A294" s="1">
        <v>44597</v>
      </c>
      <c r="B294" t="s">
        <v>37</v>
      </c>
      <c r="C294" t="s">
        <v>29</v>
      </c>
      <c r="D294" t="s">
        <v>38</v>
      </c>
      <c r="E294" t="s">
        <v>30</v>
      </c>
      <c r="F294" t="s">
        <v>40</v>
      </c>
      <c r="G294" t="s">
        <v>43</v>
      </c>
      <c r="H294">
        <v>3</v>
      </c>
      <c r="I294">
        <v>236.05</v>
      </c>
      <c r="J294">
        <v>708.15</v>
      </c>
      <c r="K294" t="s">
        <v>35</v>
      </c>
    </row>
    <row r="295" spans="1:11" x14ac:dyDescent="0.25">
      <c r="A295" s="1">
        <v>44753</v>
      </c>
      <c r="B295" t="s">
        <v>28</v>
      </c>
      <c r="C295" t="s">
        <v>29</v>
      </c>
      <c r="D295" t="s">
        <v>25</v>
      </c>
      <c r="E295" t="s">
        <v>30</v>
      </c>
      <c r="F295" t="s">
        <v>21</v>
      </c>
      <c r="G295" t="s">
        <v>34</v>
      </c>
      <c r="H295">
        <v>3</v>
      </c>
      <c r="I295">
        <v>256.72000000000003</v>
      </c>
      <c r="J295">
        <v>770.16</v>
      </c>
      <c r="K295" t="s">
        <v>35</v>
      </c>
    </row>
    <row r="296" spans="1:11" x14ac:dyDescent="0.25">
      <c r="A296" s="1">
        <v>44714</v>
      </c>
      <c r="B296" t="s">
        <v>24</v>
      </c>
      <c r="C296" t="s">
        <v>19</v>
      </c>
      <c r="D296" t="s">
        <v>25</v>
      </c>
      <c r="E296" t="s">
        <v>30</v>
      </c>
      <c r="F296" t="s">
        <v>15</v>
      </c>
      <c r="G296" t="s">
        <v>34</v>
      </c>
      <c r="H296">
        <v>4</v>
      </c>
      <c r="I296">
        <v>205.64</v>
      </c>
      <c r="J296">
        <v>822.56</v>
      </c>
      <c r="K296" t="s">
        <v>36</v>
      </c>
    </row>
    <row r="297" spans="1:11" x14ac:dyDescent="0.25">
      <c r="A297" s="1">
        <v>44710</v>
      </c>
      <c r="B297" t="s">
        <v>37</v>
      </c>
      <c r="C297" t="s">
        <v>29</v>
      </c>
      <c r="D297" t="s">
        <v>38</v>
      </c>
      <c r="E297" t="s">
        <v>30</v>
      </c>
      <c r="F297" t="s">
        <v>21</v>
      </c>
      <c r="G297" t="s">
        <v>27</v>
      </c>
      <c r="H297">
        <v>4</v>
      </c>
      <c r="I297">
        <v>68.180000000000007</v>
      </c>
      <c r="J297">
        <v>272.72000000000003</v>
      </c>
      <c r="K297" t="s">
        <v>23</v>
      </c>
    </row>
    <row r="298" spans="1:11" hidden="1" x14ac:dyDescent="0.25">
      <c r="A298" s="1">
        <v>44641</v>
      </c>
      <c r="B298" t="s">
        <v>45</v>
      </c>
      <c r="C298" t="s">
        <v>46</v>
      </c>
      <c r="D298" t="s">
        <v>47</v>
      </c>
      <c r="E298" t="s">
        <v>30</v>
      </c>
      <c r="F298" t="s">
        <v>15</v>
      </c>
      <c r="G298" t="s">
        <v>33</v>
      </c>
      <c r="H298">
        <v>4</v>
      </c>
      <c r="I298">
        <v>68.97</v>
      </c>
      <c r="J298">
        <v>275.88</v>
      </c>
      <c r="K298" t="s">
        <v>17</v>
      </c>
    </row>
    <row r="299" spans="1:11" x14ac:dyDescent="0.25">
      <c r="A299" s="1">
        <v>44718</v>
      </c>
      <c r="B299" t="s">
        <v>28</v>
      </c>
      <c r="C299" t="s">
        <v>29</v>
      </c>
      <c r="D299" t="s">
        <v>25</v>
      </c>
      <c r="E299" t="s">
        <v>14</v>
      </c>
      <c r="F299" t="s">
        <v>15</v>
      </c>
      <c r="G299" t="s">
        <v>27</v>
      </c>
      <c r="H299">
        <v>5</v>
      </c>
      <c r="I299">
        <v>123.23</v>
      </c>
      <c r="J299">
        <v>616.15</v>
      </c>
      <c r="K299" t="s">
        <v>36</v>
      </c>
    </row>
    <row r="300" spans="1:11" x14ac:dyDescent="0.25">
      <c r="A300" s="1">
        <v>44797</v>
      </c>
      <c r="B300" t="s">
        <v>24</v>
      </c>
      <c r="C300" t="s">
        <v>19</v>
      </c>
      <c r="D300" t="s">
        <v>25</v>
      </c>
      <c r="E300" t="s">
        <v>26</v>
      </c>
      <c r="F300" t="s">
        <v>21</v>
      </c>
      <c r="G300" t="s">
        <v>33</v>
      </c>
      <c r="H300">
        <v>5</v>
      </c>
      <c r="I300">
        <v>273</v>
      </c>
      <c r="J300">
        <v>1365</v>
      </c>
      <c r="K300" t="s">
        <v>17</v>
      </c>
    </row>
    <row r="301" spans="1:11" x14ac:dyDescent="0.25">
      <c r="A301" s="1">
        <v>44602</v>
      </c>
      <c r="B301" t="s">
        <v>18</v>
      </c>
      <c r="C301" t="s">
        <v>19</v>
      </c>
      <c r="D301" t="s">
        <v>20</v>
      </c>
      <c r="E301" t="s">
        <v>26</v>
      </c>
      <c r="F301" t="s">
        <v>32</v>
      </c>
      <c r="G301" t="s">
        <v>39</v>
      </c>
      <c r="H301">
        <v>3</v>
      </c>
      <c r="I301">
        <v>225.84</v>
      </c>
      <c r="J301">
        <v>677.52</v>
      </c>
      <c r="K301" t="s">
        <v>17</v>
      </c>
    </row>
    <row r="302" spans="1:11" x14ac:dyDescent="0.25">
      <c r="A302" s="1">
        <v>44621</v>
      </c>
      <c r="B302" t="s">
        <v>31</v>
      </c>
      <c r="C302" t="s">
        <v>19</v>
      </c>
      <c r="D302" t="s">
        <v>25</v>
      </c>
      <c r="E302" t="s">
        <v>26</v>
      </c>
      <c r="F302" t="s">
        <v>40</v>
      </c>
      <c r="G302" t="s">
        <v>39</v>
      </c>
      <c r="H302">
        <v>3</v>
      </c>
      <c r="I302">
        <v>235.36</v>
      </c>
      <c r="J302">
        <v>706.08</v>
      </c>
      <c r="K302" t="s">
        <v>36</v>
      </c>
    </row>
    <row r="303" spans="1:11" x14ac:dyDescent="0.25">
      <c r="A303" s="1">
        <v>44637</v>
      </c>
      <c r="B303" t="s">
        <v>18</v>
      </c>
      <c r="C303" t="s">
        <v>19</v>
      </c>
      <c r="D303" t="s">
        <v>20</v>
      </c>
      <c r="E303" t="s">
        <v>26</v>
      </c>
      <c r="F303" t="s">
        <v>40</v>
      </c>
      <c r="G303" t="s">
        <v>43</v>
      </c>
      <c r="H303">
        <v>5</v>
      </c>
      <c r="I303">
        <v>189.94</v>
      </c>
      <c r="J303">
        <v>949.7</v>
      </c>
      <c r="K303" t="s">
        <v>23</v>
      </c>
    </row>
    <row r="304" spans="1:11" x14ac:dyDescent="0.25">
      <c r="A304" s="1">
        <v>44564</v>
      </c>
      <c r="B304" t="s">
        <v>37</v>
      </c>
      <c r="C304" t="s">
        <v>29</v>
      </c>
      <c r="D304" t="s">
        <v>38</v>
      </c>
      <c r="E304" t="s">
        <v>26</v>
      </c>
      <c r="F304" t="s">
        <v>32</v>
      </c>
      <c r="G304" t="s">
        <v>22</v>
      </c>
      <c r="H304">
        <v>3</v>
      </c>
      <c r="I304">
        <v>110.2</v>
      </c>
      <c r="J304">
        <v>330.6</v>
      </c>
      <c r="K304" t="s">
        <v>17</v>
      </c>
    </row>
    <row r="305" spans="1:11" x14ac:dyDescent="0.25">
      <c r="A305" s="1">
        <v>44741</v>
      </c>
      <c r="B305" t="s">
        <v>37</v>
      </c>
      <c r="C305" t="s">
        <v>29</v>
      </c>
      <c r="D305" t="s">
        <v>38</v>
      </c>
      <c r="E305" t="s">
        <v>14</v>
      </c>
      <c r="F305" t="s">
        <v>40</v>
      </c>
      <c r="G305" t="s">
        <v>27</v>
      </c>
      <c r="H305">
        <v>2</v>
      </c>
      <c r="I305">
        <v>54.76</v>
      </c>
      <c r="J305">
        <v>109.52</v>
      </c>
      <c r="K305" t="s">
        <v>36</v>
      </c>
    </row>
    <row r="306" spans="1:11" x14ac:dyDescent="0.25">
      <c r="A306" s="1">
        <v>44714</v>
      </c>
      <c r="B306" t="s">
        <v>41</v>
      </c>
      <c r="C306" t="s">
        <v>29</v>
      </c>
      <c r="D306" t="s">
        <v>42</v>
      </c>
      <c r="E306" t="s">
        <v>26</v>
      </c>
      <c r="F306" t="s">
        <v>40</v>
      </c>
      <c r="G306" t="s">
        <v>33</v>
      </c>
      <c r="H306">
        <v>1</v>
      </c>
      <c r="I306">
        <v>296.56</v>
      </c>
      <c r="J306">
        <v>296.56</v>
      </c>
      <c r="K306" t="s">
        <v>35</v>
      </c>
    </row>
    <row r="307" spans="1:11" x14ac:dyDescent="0.25">
      <c r="A307" s="1">
        <v>44716</v>
      </c>
      <c r="B307" t="s">
        <v>18</v>
      </c>
      <c r="C307" t="s">
        <v>19</v>
      </c>
      <c r="D307" t="s">
        <v>20</v>
      </c>
      <c r="E307" t="s">
        <v>26</v>
      </c>
      <c r="F307" t="s">
        <v>40</v>
      </c>
      <c r="G307" t="s">
        <v>33</v>
      </c>
      <c r="H307">
        <v>1</v>
      </c>
      <c r="I307">
        <v>296.51</v>
      </c>
      <c r="J307">
        <v>296.51</v>
      </c>
      <c r="K307" t="s">
        <v>36</v>
      </c>
    </row>
    <row r="308" spans="1:11" hidden="1" x14ac:dyDescent="0.25">
      <c r="A308" s="1">
        <v>44654</v>
      </c>
      <c r="B308" t="s">
        <v>48</v>
      </c>
      <c r="C308" t="s">
        <v>49</v>
      </c>
      <c r="D308" t="s">
        <v>50</v>
      </c>
      <c r="E308" t="s">
        <v>30</v>
      </c>
      <c r="F308" t="s">
        <v>32</v>
      </c>
      <c r="G308" t="s">
        <v>43</v>
      </c>
      <c r="H308">
        <v>1</v>
      </c>
      <c r="I308">
        <v>89.5</v>
      </c>
      <c r="J308">
        <v>89.5</v>
      </c>
      <c r="K308" t="s">
        <v>35</v>
      </c>
    </row>
    <row r="309" spans="1:11" x14ac:dyDescent="0.25">
      <c r="A309" s="1">
        <v>44636</v>
      </c>
      <c r="B309" t="s">
        <v>18</v>
      </c>
      <c r="C309" t="s">
        <v>19</v>
      </c>
      <c r="D309" t="s">
        <v>20</v>
      </c>
      <c r="E309" t="s">
        <v>14</v>
      </c>
      <c r="F309" t="s">
        <v>32</v>
      </c>
      <c r="G309" t="s">
        <v>34</v>
      </c>
      <c r="H309">
        <v>3</v>
      </c>
      <c r="I309">
        <v>280.64</v>
      </c>
      <c r="J309">
        <v>841.92</v>
      </c>
      <c r="K309" t="s">
        <v>17</v>
      </c>
    </row>
    <row r="310" spans="1:11" x14ac:dyDescent="0.25">
      <c r="A310" s="1">
        <v>44607</v>
      </c>
      <c r="B310" t="s">
        <v>28</v>
      </c>
      <c r="C310" t="s">
        <v>29</v>
      </c>
      <c r="D310" t="s">
        <v>25</v>
      </c>
      <c r="E310" t="s">
        <v>26</v>
      </c>
      <c r="F310" t="s">
        <v>21</v>
      </c>
      <c r="G310" t="s">
        <v>39</v>
      </c>
      <c r="H310">
        <v>5</v>
      </c>
      <c r="I310">
        <v>234.28</v>
      </c>
      <c r="J310">
        <v>1171.4000000000001</v>
      </c>
      <c r="K310" t="s">
        <v>23</v>
      </c>
    </row>
    <row r="311" spans="1:11" x14ac:dyDescent="0.25">
      <c r="A311" s="1">
        <v>44562</v>
      </c>
      <c r="B311" t="s">
        <v>24</v>
      </c>
      <c r="C311" t="s">
        <v>19</v>
      </c>
      <c r="D311" t="s">
        <v>25</v>
      </c>
      <c r="E311" t="s">
        <v>26</v>
      </c>
      <c r="F311" t="s">
        <v>21</v>
      </c>
      <c r="G311" t="s">
        <v>16</v>
      </c>
      <c r="H311">
        <v>2</v>
      </c>
      <c r="I311">
        <v>294.89</v>
      </c>
      <c r="J311">
        <v>589.78</v>
      </c>
      <c r="K311" t="s">
        <v>36</v>
      </c>
    </row>
    <row r="312" spans="1:11" x14ac:dyDescent="0.25">
      <c r="A312" s="1">
        <v>44630</v>
      </c>
      <c r="B312" t="s">
        <v>31</v>
      </c>
      <c r="C312" t="s">
        <v>19</v>
      </c>
      <c r="D312" t="s">
        <v>25</v>
      </c>
      <c r="E312" t="s">
        <v>26</v>
      </c>
      <c r="F312" t="s">
        <v>40</v>
      </c>
      <c r="G312" t="s">
        <v>22</v>
      </c>
      <c r="H312">
        <v>1</v>
      </c>
      <c r="I312">
        <v>208.24</v>
      </c>
      <c r="J312">
        <v>208.24</v>
      </c>
      <c r="K312" t="s">
        <v>23</v>
      </c>
    </row>
    <row r="313" spans="1:11" x14ac:dyDescent="0.25">
      <c r="A313" s="1">
        <v>44659</v>
      </c>
      <c r="B313" t="s">
        <v>31</v>
      </c>
      <c r="C313" t="s">
        <v>19</v>
      </c>
      <c r="D313" t="s">
        <v>25</v>
      </c>
      <c r="E313" t="s">
        <v>30</v>
      </c>
      <c r="F313" t="s">
        <v>32</v>
      </c>
      <c r="G313" t="s">
        <v>43</v>
      </c>
      <c r="H313">
        <v>5</v>
      </c>
      <c r="I313">
        <v>94.25</v>
      </c>
      <c r="J313">
        <v>471.25</v>
      </c>
      <c r="K313" t="s">
        <v>36</v>
      </c>
    </row>
    <row r="314" spans="1:11" x14ac:dyDescent="0.25">
      <c r="A314" s="1">
        <v>44776</v>
      </c>
      <c r="B314" t="s">
        <v>28</v>
      </c>
      <c r="C314" t="s">
        <v>29</v>
      </c>
      <c r="D314" t="s">
        <v>25</v>
      </c>
      <c r="E314" t="s">
        <v>26</v>
      </c>
      <c r="F314" t="s">
        <v>32</v>
      </c>
      <c r="G314" t="s">
        <v>27</v>
      </c>
      <c r="H314">
        <v>5</v>
      </c>
      <c r="I314">
        <v>259</v>
      </c>
      <c r="J314">
        <v>1295</v>
      </c>
      <c r="K314" t="s">
        <v>17</v>
      </c>
    </row>
    <row r="315" spans="1:11" hidden="1" x14ac:dyDescent="0.25">
      <c r="A315" s="1">
        <v>44686</v>
      </c>
      <c r="B315" t="s">
        <v>48</v>
      </c>
      <c r="C315" t="s">
        <v>49</v>
      </c>
      <c r="D315" t="s">
        <v>50</v>
      </c>
      <c r="E315" t="s">
        <v>26</v>
      </c>
      <c r="F315" t="s">
        <v>32</v>
      </c>
      <c r="G315" t="s">
        <v>27</v>
      </c>
      <c r="H315">
        <v>4</v>
      </c>
      <c r="I315">
        <v>299.73</v>
      </c>
      <c r="J315">
        <v>1198.92</v>
      </c>
      <c r="K315" t="s">
        <v>23</v>
      </c>
    </row>
    <row r="316" spans="1:11" x14ac:dyDescent="0.25">
      <c r="A316" s="1">
        <v>44700</v>
      </c>
      <c r="B316" t="s">
        <v>44</v>
      </c>
      <c r="C316" t="s">
        <v>19</v>
      </c>
      <c r="D316" t="s">
        <v>20</v>
      </c>
      <c r="E316" t="s">
        <v>30</v>
      </c>
      <c r="F316" t="s">
        <v>32</v>
      </c>
      <c r="G316" t="s">
        <v>39</v>
      </c>
      <c r="H316">
        <v>5</v>
      </c>
      <c r="I316">
        <v>71.260000000000005</v>
      </c>
      <c r="J316">
        <v>356.3</v>
      </c>
      <c r="K316" t="s">
        <v>23</v>
      </c>
    </row>
    <row r="317" spans="1:11" x14ac:dyDescent="0.25">
      <c r="A317" s="1">
        <v>44759</v>
      </c>
      <c r="B317" t="s">
        <v>24</v>
      </c>
      <c r="C317" t="s">
        <v>19</v>
      </c>
      <c r="D317" t="s">
        <v>25</v>
      </c>
      <c r="E317" t="s">
        <v>26</v>
      </c>
      <c r="F317" t="s">
        <v>15</v>
      </c>
      <c r="G317" t="s">
        <v>16</v>
      </c>
      <c r="H317">
        <v>5</v>
      </c>
      <c r="I317">
        <v>270.14</v>
      </c>
      <c r="J317">
        <v>1350.7</v>
      </c>
      <c r="K317" t="s">
        <v>36</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354"/>
  <sheetViews>
    <sheetView topLeftCell="F7" workbookViewId="0">
      <selection activeCell="M9" sqref="M9:O33"/>
    </sheetView>
  </sheetViews>
  <sheetFormatPr defaultRowHeight="15" x14ac:dyDescent="0.25"/>
  <cols>
    <col min="1" max="1" width="10.42578125" bestFit="1" customWidth="1"/>
    <col min="2" max="2" width="24.42578125" bestFit="1" customWidth="1"/>
    <col min="3" max="3" width="14.85546875" bestFit="1" customWidth="1"/>
    <col min="4" max="5" width="10" bestFit="1" customWidth="1"/>
    <col min="6" max="6" width="14.5703125" bestFit="1" customWidth="1"/>
    <col min="7" max="7" width="10.140625" customWidth="1"/>
    <col min="8" max="8" width="10.85546875" customWidth="1"/>
    <col min="9" max="9" width="14.7109375" customWidth="1"/>
    <col min="10" max="10" width="13.28515625" bestFit="1" customWidth="1"/>
    <col min="11" max="11" width="17" bestFit="1" customWidth="1"/>
    <col min="13" max="13" width="13.140625" bestFit="1" customWidth="1"/>
    <col min="14" max="14" width="21.42578125" bestFit="1" customWidth="1"/>
    <col min="15" max="15" width="15.42578125" bestFit="1" customWidth="1"/>
  </cols>
  <sheetData>
    <row r="1" spans="1:20" x14ac:dyDescent="0.25">
      <c r="A1" t="s">
        <v>0</v>
      </c>
      <c r="B1" t="s">
        <v>1</v>
      </c>
      <c r="C1" t="s">
        <v>2</v>
      </c>
      <c r="D1" t="s">
        <v>3</v>
      </c>
      <c r="E1" t="s">
        <v>4</v>
      </c>
      <c r="F1" t="s">
        <v>5</v>
      </c>
      <c r="G1" t="s">
        <v>6</v>
      </c>
      <c r="H1" t="s">
        <v>7</v>
      </c>
      <c r="I1" t="s">
        <v>8</v>
      </c>
      <c r="J1" t="s">
        <v>9</v>
      </c>
      <c r="K1" t="s">
        <v>10</v>
      </c>
    </row>
    <row r="2" spans="1:20" x14ac:dyDescent="0.25">
      <c r="A2" s="1">
        <v>44708</v>
      </c>
      <c r="B2" t="s">
        <v>11</v>
      </c>
      <c r="C2" t="s">
        <v>12</v>
      </c>
      <c r="D2" t="s">
        <v>13</v>
      </c>
      <c r="E2" t="s">
        <v>14</v>
      </c>
      <c r="F2" t="s">
        <v>15</v>
      </c>
      <c r="G2" t="s">
        <v>16</v>
      </c>
      <c r="H2">
        <v>5</v>
      </c>
      <c r="I2">
        <v>141.82</v>
      </c>
      <c r="J2" s="10">
        <v>709.1</v>
      </c>
      <c r="K2" t="s">
        <v>17</v>
      </c>
    </row>
    <row r="3" spans="1:20" x14ac:dyDescent="0.25">
      <c r="A3" s="1">
        <v>44795</v>
      </c>
      <c r="B3" t="s">
        <v>18</v>
      </c>
      <c r="C3" t="s">
        <v>19</v>
      </c>
      <c r="D3" t="s">
        <v>20</v>
      </c>
      <c r="E3" t="s">
        <v>14</v>
      </c>
      <c r="F3" t="s">
        <v>21</v>
      </c>
      <c r="G3" t="s">
        <v>22</v>
      </c>
      <c r="H3">
        <v>2</v>
      </c>
      <c r="I3">
        <v>267.33999999999997</v>
      </c>
      <c r="J3" s="10">
        <v>534.67999999999995</v>
      </c>
      <c r="K3" t="s">
        <v>23</v>
      </c>
    </row>
    <row r="4" spans="1:20" ht="15.75" x14ac:dyDescent="0.25">
      <c r="A4" s="1">
        <v>44654</v>
      </c>
      <c r="B4" t="s">
        <v>24</v>
      </c>
      <c r="C4" t="s">
        <v>19</v>
      </c>
      <c r="D4" t="s">
        <v>25</v>
      </c>
      <c r="E4" t="s">
        <v>26</v>
      </c>
      <c r="F4" t="s">
        <v>15</v>
      </c>
      <c r="G4" t="s">
        <v>27</v>
      </c>
      <c r="H4">
        <v>1</v>
      </c>
      <c r="I4">
        <v>292</v>
      </c>
      <c r="J4" s="10">
        <v>292</v>
      </c>
      <c r="K4" t="s">
        <v>23</v>
      </c>
      <c r="M4" s="2" t="s">
        <v>51</v>
      </c>
      <c r="N4" s="31" t="s">
        <v>52</v>
      </c>
      <c r="O4" s="31"/>
      <c r="P4" s="31"/>
      <c r="Q4" s="31"/>
      <c r="R4" s="31"/>
      <c r="S4" s="31"/>
      <c r="T4" s="31"/>
    </row>
    <row r="5" spans="1:20" x14ac:dyDescent="0.25">
      <c r="A5" s="1">
        <v>44755</v>
      </c>
      <c r="B5" t="s">
        <v>28</v>
      </c>
      <c r="C5" t="s">
        <v>29</v>
      </c>
      <c r="D5" t="s">
        <v>25</v>
      </c>
      <c r="E5" t="s">
        <v>30</v>
      </c>
      <c r="F5" t="s">
        <v>15</v>
      </c>
      <c r="G5" t="s">
        <v>22</v>
      </c>
      <c r="H5">
        <v>4</v>
      </c>
      <c r="I5">
        <v>245.44</v>
      </c>
      <c r="J5" s="10">
        <v>981.76</v>
      </c>
      <c r="K5" t="s">
        <v>23</v>
      </c>
    </row>
    <row r="6" spans="1:20" x14ac:dyDescent="0.25">
      <c r="A6" s="1">
        <v>44798</v>
      </c>
      <c r="B6" t="s">
        <v>31</v>
      </c>
      <c r="C6" t="s">
        <v>19</v>
      </c>
      <c r="D6" t="s">
        <v>25</v>
      </c>
      <c r="E6" t="s">
        <v>26</v>
      </c>
      <c r="F6" t="s">
        <v>32</v>
      </c>
      <c r="G6" t="s">
        <v>33</v>
      </c>
      <c r="H6">
        <v>2</v>
      </c>
      <c r="I6">
        <v>184.51</v>
      </c>
      <c r="J6" s="10">
        <v>369.02</v>
      </c>
      <c r="K6" t="s">
        <v>23</v>
      </c>
      <c r="N6" s="32" t="s">
        <v>59</v>
      </c>
      <c r="O6" s="32"/>
      <c r="P6">
        <f>AVERAGE(Table1[[#All],[Amount ($)]])</f>
        <v>547.03419263456055</v>
      </c>
    </row>
    <row r="7" spans="1:20" x14ac:dyDescent="0.25">
      <c r="A7" s="1">
        <v>44615</v>
      </c>
      <c r="B7" t="s">
        <v>18</v>
      </c>
      <c r="C7" t="s">
        <v>19</v>
      </c>
      <c r="D7" t="s">
        <v>20</v>
      </c>
      <c r="E7" t="s">
        <v>26</v>
      </c>
      <c r="F7" t="s">
        <v>32</v>
      </c>
      <c r="G7" t="s">
        <v>34</v>
      </c>
      <c r="H7">
        <v>2</v>
      </c>
      <c r="I7">
        <v>128.86000000000001</v>
      </c>
      <c r="J7" s="10">
        <v>257.72000000000003</v>
      </c>
      <c r="K7" t="s">
        <v>35</v>
      </c>
      <c r="N7" s="32" t="s">
        <v>53</v>
      </c>
      <c r="O7" s="32"/>
      <c r="P7">
        <f xml:space="preserve"> MEDIAN(H2:H354)</f>
        <v>3</v>
      </c>
    </row>
    <row r="8" spans="1:20" x14ac:dyDescent="0.25">
      <c r="A8" s="1">
        <v>44754</v>
      </c>
      <c r="B8" t="s">
        <v>11</v>
      </c>
      <c r="C8" t="s">
        <v>12</v>
      </c>
      <c r="D8" t="s">
        <v>13</v>
      </c>
      <c r="E8" t="s">
        <v>26</v>
      </c>
      <c r="F8" t="s">
        <v>15</v>
      </c>
      <c r="G8" t="s">
        <v>27</v>
      </c>
      <c r="H8">
        <v>1</v>
      </c>
      <c r="I8">
        <v>207.85</v>
      </c>
      <c r="J8" s="10">
        <v>207.85</v>
      </c>
      <c r="K8" t="s">
        <v>36</v>
      </c>
    </row>
    <row r="9" spans="1:20" x14ac:dyDescent="0.25">
      <c r="A9" s="1">
        <v>44756</v>
      </c>
      <c r="B9" t="s">
        <v>37</v>
      </c>
      <c r="C9" t="s">
        <v>29</v>
      </c>
      <c r="D9" t="s">
        <v>38</v>
      </c>
      <c r="E9" t="s">
        <v>30</v>
      </c>
      <c r="F9" t="s">
        <v>21</v>
      </c>
      <c r="G9" t="s">
        <v>39</v>
      </c>
      <c r="H9">
        <v>2</v>
      </c>
      <c r="I9">
        <v>163.32</v>
      </c>
      <c r="J9" s="10">
        <v>326.64</v>
      </c>
      <c r="K9" t="s">
        <v>35</v>
      </c>
      <c r="M9" s="3" t="s">
        <v>54</v>
      </c>
      <c r="N9" t="s">
        <v>57</v>
      </c>
      <c r="O9" t="s">
        <v>58</v>
      </c>
    </row>
    <row r="10" spans="1:20" x14ac:dyDescent="0.25">
      <c r="A10" s="1">
        <v>44732</v>
      </c>
      <c r="B10" t="s">
        <v>31</v>
      </c>
      <c r="C10" t="s">
        <v>19</v>
      </c>
      <c r="D10" t="s">
        <v>25</v>
      </c>
      <c r="E10" t="s">
        <v>26</v>
      </c>
      <c r="F10" t="s">
        <v>21</v>
      </c>
      <c r="G10" t="s">
        <v>22</v>
      </c>
      <c r="H10">
        <v>3</v>
      </c>
      <c r="I10">
        <v>199.47</v>
      </c>
      <c r="J10" s="10">
        <v>598.41</v>
      </c>
      <c r="K10" t="s">
        <v>36</v>
      </c>
      <c r="M10" s="4" t="s">
        <v>30</v>
      </c>
      <c r="N10" s="6">
        <v>535.17312500000003</v>
      </c>
      <c r="O10" s="6">
        <v>408</v>
      </c>
    </row>
    <row r="11" spans="1:20" x14ac:dyDescent="0.25">
      <c r="A11" s="1">
        <v>44563</v>
      </c>
      <c r="B11" t="s">
        <v>31</v>
      </c>
      <c r="C11" t="s">
        <v>19</v>
      </c>
      <c r="D11" t="s">
        <v>25</v>
      </c>
      <c r="E11" t="s">
        <v>14</v>
      </c>
      <c r="F11" t="s">
        <v>40</v>
      </c>
      <c r="G11" t="s">
        <v>16</v>
      </c>
      <c r="H11">
        <v>4</v>
      </c>
      <c r="I11">
        <v>298.22000000000003</v>
      </c>
      <c r="J11" s="10">
        <v>1192.8800000000001</v>
      </c>
      <c r="K11" t="s">
        <v>36</v>
      </c>
      <c r="M11" s="5" t="s">
        <v>33</v>
      </c>
      <c r="N11" s="6">
        <v>590.85062499999992</v>
      </c>
      <c r="O11" s="6">
        <v>57</v>
      </c>
    </row>
    <row r="12" spans="1:20" x14ac:dyDescent="0.25">
      <c r="A12" s="1">
        <v>44737</v>
      </c>
      <c r="B12" t="s">
        <v>18</v>
      </c>
      <c r="C12" t="s">
        <v>19</v>
      </c>
      <c r="D12" t="s">
        <v>20</v>
      </c>
      <c r="E12" t="s">
        <v>30</v>
      </c>
      <c r="F12" t="s">
        <v>15</v>
      </c>
      <c r="G12" t="s">
        <v>22</v>
      </c>
      <c r="H12">
        <v>1</v>
      </c>
      <c r="I12">
        <v>117.18</v>
      </c>
      <c r="J12" s="10">
        <v>117.18</v>
      </c>
      <c r="K12" t="s">
        <v>23</v>
      </c>
      <c r="M12" s="5" t="s">
        <v>39</v>
      </c>
      <c r="N12" s="6">
        <v>534.30250000000001</v>
      </c>
      <c r="O12" s="6">
        <v>77</v>
      </c>
    </row>
    <row r="13" spans="1:20" x14ac:dyDescent="0.25">
      <c r="A13" s="1">
        <v>44592</v>
      </c>
      <c r="B13" t="s">
        <v>41</v>
      </c>
      <c r="C13" t="s">
        <v>29</v>
      </c>
      <c r="D13" t="s">
        <v>42</v>
      </c>
      <c r="E13" t="s">
        <v>26</v>
      </c>
      <c r="F13" t="s">
        <v>32</v>
      </c>
      <c r="G13" t="s">
        <v>27</v>
      </c>
      <c r="H13">
        <v>2</v>
      </c>
      <c r="I13">
        <v>240.23</v>
      </c>
      <c r="J13" s="10">
        <v>480.46</v>
      </c>
      <c r="K13" t="s">
        <v>23</v>
      </c>
      <c r="M13" s="5" t="s">
        <v>27</v>
      </c>
      <c r="N13" s="6">
        <v>530.73214285714289</v>
      </c>
      <c r="O13" s="6">
        <v>43</v>
      </c>
    </row>
    <row r="14" spans="1:20" x14ac:dyDescent="0.25">
      <c r="A14" s="1">
        <v>44799</v>
      </c>
      <c r="B14" t="s">
        <v>24</v>
      </c>
      <c r="C14" t="s">
        <v>19</v>
      </c>
      <c r="D14" t="s">
        <v>25</v>
      </c>
      <c r="E14" t="s">
        <v>26</v>
      </c>
      <c r="F14" t="s">
        <v>32</v>
      </c>
      <c r="G14" t="s">
        <v>27</v>
      </c>
      <c r="H14">
        <v>3</v>
      </c>
      <c r="I14">
        <v>295.75</v>
      </c>
      <c r="J14" s="10">
        <v>887.25</v>
      </c>
      <c r="K14" t="s">
        <v>17</v>
      </c>
      <c r="M14" s="5" t="s">
        <v>43</v>
      </c>
      <c r="N14" s="6">
        <v>589.96533333333332</v>
      </c>
      <c r="O14" s="6">
        <v>49</v>
      </c>
    </row>
    <row r="15" spans="1:20" x14ac:dyDescent="0.25">
      <c r="A15" s="1">
        <v>44600</v>
      </c>
      <c r="B15" t="s">
        <v>41</v>
      </c>
      <c r="C15" t="s">
        <v>29</v>
      </c>
      <c r="D15" t="s">
        <v>42</v>
      </c>
      <c r="E15" t="s">
        <v>14</v>
      </c>
      <c r="F15" t="s">
        <v>32</v>
      </c>
      <c r="G15" t="s">
        <v>43</v>
      </c>
      <c r="H15">
        <v>1</v>
      </c>
      <c r="I15">
        <v>54.44</v>
      </c>
      <c r="J15" s="10">
        <v>54.44</v>
      </c>
      <c r="K15" t="s">
        <v>23</v>
      </c>
      <c r="M15" s="5" t="s">
        <v>16</v>
      </c>
      <c r="N15" s="6">
        <v>459.65818181818179</v>
      </c>
      <c r="O15" s="6">
        <v>64</v>
      </c>
    </row>
    <row r="16" spans="1:20" x14ac:dyDescent="0.25">
      <c r="A16" s="1">
        <v>44798</v>
      </c>
      <c r="B16" t="s">
        <v>44</v>
      </c>
      <c r="C16" t="s">
        <v>19</v>
      </c>
      <c r="D16" t="s">
        <v>20</v>
      </c>
      <c r="E16" t="s">
        <v>14</v>
      </c>
      <c r="F16" t="s">
        <v>32</v>
      </c>
      <c r="G16" t="s">
        <v>22</v>
      </c>
      <c r="H16">
        <v>1</v>
      </c>
      <c r="I16">
        <v>104.16</v>
      </c>
      <c r="J16" s="10">
        <v>104.16</v>
      </c>
      <c r="K16" t="s">
        <v>36</v>
      </c>
      <c r="M16" s="5" t="s">
        <v>34</v>
      </c>
      <c r="N16" s="6">
        <v>521.6875</v>
      </c>
      <c r="O16" s="6">
        <v>78</v>
      </c>
    </row>
    <row r="17" spans="1:15" x14ac:dyDescent="0.25">
      <c r="A17" s="1">
        <v>44696</v>
      </c>
      <c r="B17" t="s">
        <v>24</v>
      </c>
      <c r="C17" t="s">
        <v>19</v>
      </c>
      <c r="D17" t="s">
        <v>25</v>
      </c>
      <c r="E17" t="s">
        <v>26</v>
      </c>
      <c r="F17" t="s">
        <v>32</v>
      </c>
      <c r="G17" t="s">
        <v>34</v>
      </c>
      <c r="H17">
        <v>5</v>
      </c>
      <c r="I17">
        <v>64.66</v>
      </c>
      <c r="J17" s="10">
        <v>323.3</v>
      </c>
      <c r="K17" t="s">
        <v>17</v>
      </c>
      <c r="M17" s="5" t="s">
        <v>22</v>
      </c>
      <c r="N17" s="6">
        <v>562.50615384615401</v>
      </c>
      <c r="O17" s="6">
        <v>40</v>
      </c>
    </row>
    <row r="18" spans="1:15" x14ac:dyDescent="0.25">
      <c r="A18" s="1">
        <v>44588</v>
      </c>
      <c r="B18" t="s">
        <v>41</v>
      </c>
      <c r="C18" t="s">
        <v>29</v>
      </c>
      <c r="D18" t="s">
        <v>42</v>
      </c>
      <c r="E18" t="s">
        <v>30</v>
      </c>
      <c r="F18" t="s">
        <v>21</v>
      </c>
      <c r="G18" t="s">
        <v>27</v>
      </c>
      <c r="H18">
        <v>3</v>
      </c>
      <c r="I18">
        <v>114.29</v>
      </c>
      <c r="J18" s="10">
        <v>342.87</v>
      </c>
      <c r="K18" t="s">
        <v>35</v>
      </c>
      <c r="M18" s="4" t="s">
        <v>14</v>
      </c>
      <c r="N18" s="6">
        <v>504.89271739130425</v>
      </c>
      <c r="O18" s="6">
        <v>272</v>
      </c>
    </row>
    <row r="19" spans="1:15" hidden="1" x14ac:dyDescent="0.25">
      <c r="A19" s="1">
        <v>44653</v>
      </c>
      <c r="B19" t="s">
        <v>45</v>
      </c>
      <c r="C19" t="s">
        <v>46</v>
      </c>
      <c r="D19" t="s">
        <v>47</v>
      </c>
      <c r="E19" t="s">
        <v>26</v>
      </c>
      <c r="F19" t="s">
        <v>40</v>
      </c>
      <c r="G19" t="s">
        <v>27</v>
      </c>
      <c r="H19">
        <v>1</v>
      </c>
      <c r="I19">
        <v>167.77</v>
      </c>
      <c r="J19">
        <v>167.77</v>
      </c>
      <c r="K19" t="s">
        <v>23</v>
      </c>
      <c r="M19" s="5" t="s">
        <v>33</v>
      </c>
      <c r="N19" s="6">
        <v>443.74363636363631</v>
      </c>
      <c r="O19" s="6">
        <v>27</v>
      </c>
    </row>
    <row r="20" spans="1:15" x14ac:dyDescent="0.25">
      <c r="A20" s="1">
        <v>44753</v>
      </c>
      <c r="B20" t="s">
        <v>11</v>
      </c>
      <c r="C20" t="s">
        <v>12</v>
      </c>
      <c r="D20" t="s">
        <v>13</v>
      </c>
      <c r="E20" t="s">
        <v>26</v>
      </c>
      <c r="F20" t="s">
        <v>40</v>
      </c>
      <c r="G20" t="s">
        <v>43</v>
      </c>
      <c r="H20">
        <v>3</v>
      </c>
      <c r="I20">
        <v>167.36</v>
      </c>
      <c r="J20" s="10">
        <v>502.08</v>
      </c>
      <c r="K20" t="s">
        <v>35</v>
      </c>
      <c r="M20" s="5" t="s">
        <v>39</v>
      </c>
      <c r="N20" s="6">
        <v>429.88250000000005</v>
      </c>
      <c r="O20" s="6">
        <v>42</v>
      </c>
    </row>
    <row r="21" spans="1:15" x14ac:dyDescent="0.25">
      <c r="A21" s="1">
        <v>44791</v>
      </c>
      <c r="B21" t="s">
        <v>24</v>
      </c>
      <c r="C21" t="s">
        <v>19</v>
      </c>
      <c r="D21" t="s">
        <v>25</v>
      </c>
      <c r="E21" t="s">
        <v>14</v>
      </c>
      <c r="F21" t="s">
        <v>21</v>
      </c>
      <c r="G21" t="s">
        <v>43</v>
      </c>
      <c r="H21">
        <v>4</v>
      </c>
      <c r="I21">
        <v>295.52999999999997</v>
      </c>
      <c r="J21" s="10">
        <v>1182.1199999999999</v>
      </c>
      <c r="K21" t="s">
        <v>36</v>
      </c>
      <c r="M21" s="5" t="s">
        <v>27</v>
      </c>
      <c r="N21" s="6">
        <v>472.47352941176467</v>
      </c>
      <c r="O21" s="6">
        <v>49</v>
      </c>
    </row>
    <row r="22" spans="1:15" hidden="1" x14ac:dyDescent="0.25">
      <c r="A22" s="1">
        <v>44659</v>
      </c>
      <c r="B22" t="s">
        <v>45</v>
      </c>
      <c r="C22" t="s">
        <v>46</v>
      </c>
      <c r="D22" t="s">
        <v>47</v>
      </c>
      <c r="E22" t="s">
        <v>30</v>
      </c>
      <c r="F22" t="s">
        <v>15</v>
      </c>
      <c r="G22" t="s">
        <v>34</v>
      </c>
      <c r="H22">
        <v>4</v>
      </c>
      <c r="I22">
        <v>107.31</v>
      </c>
      <c r="J22">
        <v>429.24</v>
      </c>
      <c r="K22" t="s">
        <v>35</v>
      </c>
      <c r="M22" s="5" t="s">
        <v>43</v>
      </c>
      <c r="N22" s="6">
        <v>455.53181818181821</v>
      </c>
      <c r="O22" s="6">
        <v>32</v>
      </c>
    </row>
    <row r="23" spans="1:15" x14ac:dyDescent="0.25">
      <c r="A23" s="1">
        <v>44719</v>
      </c>
      <c r="B23" t="s">
        <v>28</v>
      </c>
      <c r="C23" t="s">
        <v>29</v>
      </c>
      <c r="D23" t="s">
        <v>25</v>
      </c>
      <c r="E23" t="s">
        <v>14</v>
      </c>
      <c r="F23" t="s">
        <v>40</v>
      </c>
      <c r="G23" t="s">
        <v>27</v>
      </c>
      <c r="H23">
        <v>5</v>
      </c>
      <c r="I23">
        <v>119.54</v>
      </c>
      <c r="J23" s="10">
        <v>597.70000000000005</v>
      </c>
      <c r="K23" t="s">
        <v>17</v>
      </c>
      <c r="M23" s="5" t="s">
        <v>16</v>
      </c>
      <c r="N23" s="6">
        <v>778.35272727272741</v>
      </c>
      <c r="O23" s="6">
        <v>40</v>
      </c>
    </row>
    <row r="24" spans="1:15" hidden="1" x14ac:dyDescent="0.25">
      <c r="A24" s="1">
        <v>44688</v>
      </c>
      <c r="B24" t="s">
        <v>45</v>
      </c>
      <c r="C24" t="s">
        <v>46</v>
      </c>
      <c r="D24" t="s">
        <v>47</v>
      </c>
      <c r="E24" t="s">
        <v>30</v>
      </c>
      <c r="F24" t="s">
        <v>40</v>
      </c>
      <c r="G24" t="s">
        <v>22</v>
      </c>
      <c r="H24">
        <v>3</v>
      </c>
      <c r="I24">
        <v>295.25</v>
      </c>
      <c r="J24">
        <v>885.75</v>
      </c>
      <c r="K24" t="s">
        <v>36</v>
      </c>
      <c r="M24" s="5" t="s">
        <v>34</v>
      </c>
      <c r="N24" s="6">
        <v>514.74300000000005</v>
      </c>
      <c r="O24" s="6">
        <v>36</v>
      </c>
    </row>
    <row r="25" spans="1:15" x14ac:dyDescent="0.25">
      <c r="A25" s="1">
        <v>44709</v>
      </c>
      <c r="B25" t="s">
        <v>44</v>
      </c>
      <c r="C25" t="s">
        <v>19</v>
      </c>
      <c r="D25" t="s">
        <v>20</v>
      </c>
      <c r="E25" t="s">
        <v>14</v>
      </c>
      <c r="F25" t="s">
        <v>40</v>
      </c>
      <c r="G25" t="s">
        <v>34</v>
      </c>
      <c r="H25">
        <v>4</v>
      </c>
      <c r="I25">
        <v>63.73</v>
      </c>
      <c r="J25" s="10">
        <v>254.92</v>
      </c>
      <c r="K25" t="s">
        <v>17</v>
      </c>
      <c r="M25" s="5" t="s">
        <v>22</v>
      </c>
      <c r="N25" s="6">
        <v>496.16375000000005</v>
      </c>
      <c r="O25" s="6">
        <v>46</v>
      </c>
    </row>
    <row r="26" spans="1:15" x14ac:dyDescent="0.25">
      <c r="A26" s="1">
        <v>44737</v>
      </c>
      <c r="B26" t="s">
        <v>28</v>
      </c>
      <c r="C26" t="s">
        <v>29</v>
      </c>
      <c r="D26" t="s">
        <v>25</v>
      </c>
      <c r="E26" t="s">
        <v>30</v>
      </c>
      <c r="F26" t="s">
        <v>21</v>
      </c>
      <c r="G26" t="s">
        <v>34</v>
      </c>
      <c r="H26">
        <v>4</v>
      </c>
      <c r="I26">
        <v>86.13</v>
      </c>
      <c r="J26" s="10">
        <v>344.52</v>
      </c>
      <c r="K26" t="s">
        <v>35</v>
      </c>
      <c r="M26" s="4" t="s">
        <v>26</v>
      </c>
      <c r="N26" s="6">
        <v>587.59984962406054</v>
      </c>
      <c r="O26" s="6">
        <v>417</v>
      </c>
    </row>
    <row r="27" spans="1:15" x14ac:dyDescent="0.25">
      <c r="A27" s="1">
        <v>44644</v>
      </c>
      <c r="B27" t="s">
        <v>31</v>
      </c>
      <c r="C27" t="s">
        <v>19</v>
      </c>
      <c r="D27" t="s">
        <v>25</v>
      </c>
      <c r="E27" t="s">
        <v>30</v>
      </c>
      <c r="F27" t="s">
        <v>15</v>
      </c>
      <c r="G27" t="s">
        <v>16</v>
      </c>
      <c r="H27">
        <v>4</v>
      </c>
      <c r="I27">
        <v>172.68</v>
      </c>
      <c r="J27" s="10">
        <v>690.72</v>
      </c>
      <c r="K27" t="s">
        <v>35</v>
      </c>
      <c r="M27" s="5" t="s">
        <v>33</v>
      </c>
      <c r="N27" s="6">
        <v>487.96149999999989</v>
      </c>
      <c r="O27" s="6">
        <v>60</v>
      </c>
    </row>
    <row r="28" spans="1:15" hidden="1" x14ac:dyDescent="0.25">
      <c r="A28" s="1">
        <v>44617</v>
      </c>
      <c r="B28" t="s">
        <v>48</v>
      </c>
      <c r="C28" t="s">
        <v>49</v>
      </c>
      <c r="D28" t="s">
        <v>50</v>
      </c>
      <c r="E28" t="s">
        <v>26</v>
      </c>
      <c r="F28" t="s">
        <v>21</v>
      </c>
      <c r="G28" t="s">
        <v>34</v>
      </c>
      <c r="H28">
        <v>5</v>
      </c>
      <c r="I28">
        <v>203.5</v>
      </c>
      <c r="J28">
        <v>1017.5</v>
      </c>
      <c r="K28" t="s">
        <v>17</v>
      </c>
      <c r="M28" s="5" t="s">
        <v>39</v>
      </c>
      <c r="N28" s="6">
        <v>586.83210526315793</v>
      </c>
      <c r="O28" s="6">
        <v>55</v>
      </c>
    </row>
    <row r="29" spans="1:15" x14ac:dyDescent="0.25">
      <c r="A29" s="1">
        <v>44696</v>
      </c>
      <c r="B29" t="s">
        <v>28</v>
      </c>
      <c r="C29" t="s">
        <v>29</v>
      </c>
      <c r="D29" t="s">
        <v>25</v>
      </c>
      <c r="E29" t="s">
        <v>14</v>
      </c>
      <c r="F29" t="s">
        <v>15</v>
      </c>
      <c r="G29" t="s">
        <v>27</v>
      </c>
      <c r="H29">
        <v>3</v>
      </c>
      <c r="I29">
        <v>200.92</v>
      </c>
      <c r="J29" s="10">
        <v>602.76</v>
      </c>
      <c r="K29" t="s">
        <v>23</v>
      </c>
      <c r="M29" s="5" t="s">
        <v>27</v>
      </c>
      <c r="N29" s="6">
        <v>624.37347826086955</v>
      </c>
      <c r="O29" s="6">
        <v>63</v>
      </c>
    </row>
    <row r="30" spans="1:15" x14ac:dyDescent="0.25">
      <c r="A30" s="1">
        <v>44651</v>
      </c>
      <c r="B30" t="s">
        <v>41</v>
      </c>
      <c r="C30" t="s">
        <v>29</v>
      </c>
      <c r="D30" t="s">
        <v>42</v>
      </c>
      <c r="E30" t="s">
        <v>26</v>
      </c>
      <c r="F30" t="s">
        <v>40</v>
      </c>
      <c r="G30" t="s">
        <v>27</v>
      </c>
      <c r="H30">
        <v>1</v>
      </c>
      <c r="I30">
        <v>251.98</v>
      </c>
      <c r="J30" s="10">
        <v>251.98</v>
      </c>
      <c r="K30" t="s">
        <v>17</v>
      </c>
      <c r="M30" s="5" t="s">
        <v>43</v>
      </c>
      <c r="N30" s="6">
        <v>587.70083333333321</v>
      </c>
      <c r="O30" s="6">
        <v>44</v>
      </c>
    </row>
    <row r="31" spans="1:15" hidden="1" x14ac:dyDescent="0.25">
      <c r="A31" s="1">
        <v>44783</v>
      </c>
      <c r="B31" t="s">
        <v>48</v>
      </c>
      <c r="C31" t="s">
        <v>49</v>
      </c>
      <c r="D31" t="s">
        <v>50</v>
      </c>
      <c r="E31" t="s">
        <v>30</v>
      </c>
      <c r="F31" t="s">
        <v>21</v>
      </c>
      <c r="G31" t="s">
        <v>16</v>
      </c>
      <c r="H31">
        <v>4</v>
      </c>
      <c r="I31">
        <v>121.9</v>
      </c>
      <c r="J31">
        <v>487.6</v>
      </c>
      <c r="K31" t="s">
        <v>17</v>
      </c>
      <c r="M31" s="5" t="s">
        <v>16</v>
      </c>
      <c r="N31" s="6">
        <v>679.63315789473711</v>
      </c>
      <c r="O31" s="6">
        <v>66</v>
      </c>
    </row>
    <row r="32" spans="1:15" x14ac:dyDescent="0.25">
      <c r="A32" s="1">
        <v>44677</v>
      </c>
      <c r="B32" t="s">
        <v>37</v>
      </c>
      <c r="C32" t="s">
        <v>29</v>
      </c>
      <c r="D32" t="s">
        <v>38</v>
      </c>
      <c r="E32" t="s">
        <v>14</v>
      </c>
      <c r="F32" t="s">
        <v>21</v>
      </c>
      <c r="G32" t="s">
        <v>22</v>
      </c>
      <c r="H32">
        <v>4</v>
      </c>
      <c r="I32">
        <v>258.82</v>
      </c>
      <c r="J32" s="10">
        <v>1035.28</v>
      </c>
      <c r="K32" t="s">
        <v>23</v>
      </c>
      <c r="M32" s="5" t="s">
        <v>34</v>
      </c>
      <c r="N32" s="6">
        <v>502.97166666666664</v>
      </c>
      <c r="O32" s="6">
        <v>77</v>
      </c>
    </row>
    <row r="33" spans="1:18" x14ac:dyDescent="0.25">
      <c r="A33" s="1">
        <v>44616</v>
      </c>
      <c r="B33" t="s">
        <v>24</v>
      </c>
      <c r="C33" t="s">
        <v>19</v>
      </c>
      <c r="D33" t="s">
        <v>25</v>
      </c>
      <c r="E33" t="s">
        <v>26</v>
      </c>
      <c r="F33" t="s">
        <v>40</v>
      </c>
      <c r="G33" t="s">
        <v>22</v>
      </c>
      <c r="H33">
        <v>2</v>
      </c>
      <c r="I33">
        <v>203.05</v>
      </c>
      <c r="J33" s="10">
        <v>406.1</v>
      </c>
      <c r="K33" t="s">
        <v>23</v>
      </c>
      <c r="M33" s="5" t="s">
        <v>22</v>
      </c>
      <c r="N33" s="6">
        <v>677.77437499999996</v>
      </c>
      <c r="O33" s="6">
        <v>52</v>
      </c>
    </row>
    <row r="34" spans="1:18" hidden="1" x14ac:dyDescent="0.25">
      <c r="A34" s="1">
        <v>44568</v>
      </c>
      <c r="B34" t="s">
        <v>48</v>
      </c>
      <c r="C34" t="s">
        <v>49</v>
      </c>
      <c r="D34" t="s">
        <v>50</v>
      </c>
      <c r="E34" t="s">
        <v>26</v>
      </c>
      <c r="F34" t="s">
        <v>15</v>
      </c>
      <c r="G34" t="s">
        <v>34</v>
      </c>
      <c r="H34">
        <v>2</v>
      </c>
      <c r="I34">
        <v>130.05000000000001</v>
      </c>
      <c r="J34">
        <v>260.10000000000002</v>
      </c>
      <c r="K34" t="s">
        <v>36</v>
      </c>
      <c r="M34" s="4" t="s">
        <v>55</v>
      </c>
      <c r="N34" s="6">
        <v>547.03419263456078</v>
      </c>
      <c r="O34" s="6">
        <v>1097</v>
      </c>
    </row>
    <row r="35" spans="1:18" hidden="1" x14ac:dyDescent="0.25">
      <c r="A35" s="1">
        <v>44740</v>
      </c>
      <c r="B35" t="s">
        <v>45</v>
      </c>
      <c r="C35" t="s">
        <v>46</v>
      </c>
      <c r="D35" t="s">
        <v>47</v>
      </c>
      <c r="E35" t="s">
        <v>26</v>
      </c>
      <c r="F35" t="s">
        <v>32</v>
      </c>
      <c r="G35" t="s">
        <v>39</v>
      </c>
      <c r="H35">
        <v>4</v>
      </c>
      <c r="I35">
        <v>185.54</v>
      </c>
      <c r="J35">
        <v>742.16</v>
      </c>
      <c r="K35" t="s">
        <v>35</v>
      </c>
    </row>
    <row r="36" spans="1:18" x14ac:dyDescent="0.25">
      <c r="A36" s="1">
        <v>44628</v>
      </c>
      <c r="B36" t="s">
        <v>37</v>
      </c>
      <c r="C36" t="s">
        <v>29</v>
      </c>
      <c r="D36" t="s">
        <v>38</v>
      </c>
      <c r="E36" t="s">
        <v>26</v>
      </c>
      <c r="F36" t="s">
        <v>32</v>
      </c>
      <c r="G36" t="s">
        <v>34</v>
      </c>
      <c r="H36">
        <v>5</v>
      </c>
      <c r="I36">
        <v>234.84</v>
      </c>
      <c r="J36" s="10">
        <v>1174.2</v>
      </c>
      <c r="K36" t="s">
        <v>17</v>
      </c>
    </row>
    <row r="37" spans="1:18" x14ac:dyDescent="0.25">
      <c r="A37" s="1">
        <v>44768</v>
      </c>
      <c r="B37" t="s">
        <v>18</v>
      </c>
      <c r="C37" t="s">
        <v>19</v>
      </c>
      <c r="D37" t="s">
        <v>20</v>
      </c>
      <c r="E37" t="s">
        <v>26</v>
      </c>
      <c r="F37" t="s">
        <v>15</v>
      </c>
      <c r="G37" t="s">
        <v>39</v>
      </c>
      <c r="H37">
        <v>2</v>
      </c>
      <c r="I37">
        <v>134.38999999999999</v>
      </c>
      <c r="J37" s="10">
        <v>268.77999999999997</v>
      </c>
      <c r="K37" t="s">
        <v>23</v>
      </c>
    </row>
    <row r="38" spans="1:18" x14ac:dyDescent="0.25">
      <c r="A38" s="1">
        <v>44608</v>
      </c>
      <c r="B38" t="s">
        <v>37</v>
      </c>
      <c r="C38" t="s">
        <v>29</v>
      </c>
      <c r="D38" t="s">
        <v>38</v>
      </c>
      <c r="E38" t="s">
        <v>30</v>
      </c>
      <c r="F38" t="s">
        <v>15</v>
      </c>
      <c r="G38" t="s">
        <v>43</v>
      </c>
      <c r="H38">
        <v>3</v>
      </c>
      <c r="I38">
        <v>82.56</v>
      </c>
      <c r="J38" s="10">
        <v>247.68</v>
      </c>
      <c r="K38" t="s">
        <v>35</v>
      </c>
      <c r="M38" s="33" t="s">
        <v>60</v>
      </c>
      <c r="N38" s="33"/>
      <c r="O38" s="33"/>
      <c r="P38" s="8" t="s">
        <v>26</v>
      </c>
      <c r="Q38" s="9">
        <v>587.59984962406099</v>
      </c>
      <c r="R38" s="9">
        <v>417</v>
      </c>
    </row>
    <row r="39" spans="1:18" x14ac:dyDescent="0.25">
      <c r="A39" s="1">
        <v>44759</v>
      </c>
      <c r="B39" t="s">
        <v>37</v>
      </c>
      <c r="C39" t="s">
        <v>29</v>
      </c>
      <c r="D39" t="s">
        <v>38</v>
      </c>
      <c r="E39" t="s">
        <v>30</v>
      </c>
      <c r="F39" t="s">
        <v>15</v>
      </c>
      <c r="G39" t="s">
        <v>27</v>
      </c>
      <c r="H39">
        <v>4</v>
      </c>
      <c r="I39">
        <v>191.11</v>
      </c>
      <c r="J39" s="10">
        <v>764.44</v>
      </c>
      <c r="K39" t="s">
        <v>36</v>
      </c>
    </row>
    <row r="40" spans="1:18" x14ac:dyDescent="0.25">
      <c r="A40" s="1">
        <v>44679</v>
      </c>
      <c r="B40" t="s">
        <v>18</v>
      </c>
      <c r="C40" t="s">
        <v>19</v>
      </c>
      <c r="D40" t="s">
        <v>20</v>
      </c>
      <c r="E40" t="s">
        <v>14</v>
      </c>
      <c r="F40" t="s">
        <v>40</v>
      </c>
      <c r="G40" t="s">
        <v>33</v>
      </c>
      <c r="H40">
        <v>1</v>
      </c>
      <c r="I40">
        <v>70.69</v>
      </c>
      <c r="J40" s="10">
        <v>70.69</v>
      </c>
      <c r="K40" t="s">
        <v>35</v>
      </c>
    </row>
    <row r="41" spans="1:18" x14ac:dyDescent="0.25">
      <c r="A41" s="1">
        <v>44633</v>
      </c>
      <c r="B41" t="s">
        <v>37</v>
      </c>
      <c r="C41" t="s">
        <v>29</v>
      </c>
      <c r="D41" t="s">
        <v>38</v>
      </c>
      <c r="E41" t="s">
        <v>26</v>
      </c>
      <c r="F41" t="s">
        <v>32</v>
      </c>
      <c r="G41" t="s">
        <v>34</v>
      </c>
      <c r="H41">
        <v>1</v>
      </c>
      <c r="I41">
        <v>89.14</v>
      </c>
      <c r="J41" s="10">
        <v>89.14</v>
      </c>
      <c r="K41" t="s">
        <v>23</v>
      </c>
    </row>
    <row r="42" spans="1:18" hidden="1" x14ac:dyDescent="0.25">
      <c r="A42" s="1">
        <v>44766</v>
      </c>
      <c r="B42" t="s">
        <v>45</v>
      </c>
      <c r="C42" t="s">
        <v>46</v>
      </c>
      <c r="D42" t="s">
        <v>47</v>
      </c>
      <c r="E42" t="s">
        <v>14</v>
      </c>
      <c r="F42" t="s">
        <v>15</v>
      </c>
      <c r="G42" t="s">
        <v>43</v>
      </c>
      <c r="H42">
        <v>4</v>
      </c>
      <c r="I42">
        <v>135.07</v>
      </c>
      <c r="J42">
        <v>540.28</v>
      </c>
      <c r="K42" t="s">
        <v>23</v>
      </c>
    </row>
    <row r="43" spans="1:18" x14ac:dyDescent="0.25">
      <c r="A43" s="1">
        <v>44723</v>
      </c>
      <c r="B43" t="s">
        <v>44</v>
      </c>
      <c r="C43" t="s">
        <v>19</v>
      </c>
      <c r="D43" t="s">
        <v>20</v>
      </c>
      <c r="E43" t="s">
        <v>30</v>
      </c>
      <c r="F43" t="s">
        <v>21</v>
      </c>
      <c r="G43" t="s">
        <v>27</v>
      </c>
      <c r="H43">
        <v>2</v>
      </c>
      <c r="I43">
        <v>223</v>
      </c>
      <c r="J43" s="10">
        <v>446</v>
      </c>
      <c r="K43" t="s">
        <v>23</v>
      </c>
    </row>
    <row r="44" spans="1:18" x14ac:dyDescent="0.25">
      <c r="A44" s="1">
        <v>44740</v>
      </c>
      <c r="B44" t="s">
        <v>11</v>
      </c>
      <c r="C44" t="s">
        <v>12</v>
      </c>
      <c r="D44" t="s">
        <v>13</v>
      </c>
      <c r="E44" t="s">
        <v>14</v>
      </c>
      <c r="F44" t="s">
        <v>15</v>
      </c>
      <c r="G44" t="s">
        <v>34</v>
      </c>
      <c r="H44">
        <v>4</v>
      </c>
      <c r="I44">
        <v>238.52</v>
      </c>
      <c r="J44" s="10">
        <v>954.08</v>
      </c>
      <c r="K44" t="s">
        <v>23</v>
      </c>
    </row>
    <row r="45" spans="1:18" x14ac:dyDescent="0.25">
      <c r="A45" s="1">
        <v>44754</v>
      </c>
      <c r="B45" t="s">
        <v>28</v>
      </c>
      <c r="C45" t="s">
        <v>29</v>
      </c>
      <c r="D45" t="s">
        <v>25</v>
      </c>
      <c r="E45" t="s">
        <v>26</v>
      </c>
      <c r="F45" t="s">
        <v>32</v>
      </c>
      <c r="G45" t="s">
        <v>33</v>
      </c>
      <c r="H45">
        <v>5</v>
      </c>
      <c r="I45">
        <v>120.55</v>
      </c>
      <c r="J45" s="10">
        <v>602.75</v>
      </c>
      <c r="K45" t="s">
        <v>35</v>
      </c>
    </row>
    <row r="46" spans="1:18" hidden="1" x14ac:dyDescent="0.25">
      <c r="A46" s="1">
        <v>44605</v>
      </c>
      <c r="B46" t="s">
        <v>45</v>
      </c>
      <c r="C46" t="s">
        <v>46</v>
      </c>
      <c r="D46" t="s">
        <v>47</v>
      </c>
      <c r="E46" t="s">
        <v>26</v>
      </c>
      <c r="F46" t="s">
        <v>21</v>
      </c>
      <c r="G46" t="s">
        <v>27</v>
      </c>
      <c r="H46">
        <v>4</v>
      </c>
      <c r="I46">
        <v>212.66</v>
      </c>
      <c r="J46">
        <v>850.64</v>
      </c>
      <c r="K46" t="s">
        <v>36</v>
      </c>
    </row>
    <row r="47" spans="1:18" x14ac:dyDescent="0.25">
      <c r="A47" s="1">
        <v>44752</v>
      </c>
      <c r="B47" t="s">
        <v>37</v>
      </c>
      <c r="C47" t="s">
        <v>29</v>
      </c>
      <c r="D47" t="s">
        <v>38</v>
      </c>
      <c r="E47" t="s">
        <v>26</v>
      </c>
      <c r="F47" t="s">
        <v>21</v>
      </c>
      <c r="G47" t="s">
        <v>39</v>
      </c>
      <c r="H47">
        <v>5</v>
      </c>
      <c r="I47">
        <v>256.22000000000003</v>
      </c>
      <c r="J47" s="10">
        <v>1281.0999999999999</v>
      </c>
      <c r="K47" t="s">
        <v>36</v>
      </c>
    </row>
    <row r="48" spans="1:18" x14ac:dyDescent="0.25">
      <c r="A48" s="1">
        <v>44583</v>
      </c>
      <c r="B48" t="s">
        <v>31</v>
      </c>
      <c r="C48" t="s">
        <v>19</v>
      </c>
      <c r="D48" t="s">
        <v>25</v>
      </c>
      <c r="E48" t="s">
        <v>14</v>
      </c>
      <c r="F48" t="s">
        <v>32</v>
      </c>
      <c r="G48" t="s">
        <v>39</v>
      </c>
      <c r="H48">
        <v>4</v>
      </c>
      <c r="I48">
        <v>124.4</v>
      </c>
      <c r="J48" s="10">
        <v>497.6</v>
      </c>
      <c r="K48" t="s">
        <v>36</v>
      </c>
    </row>
    <row r="49" spans="1:11" x14ac:dyDescent="0.25">
      <c r="A49" s="1">
        <v>44730</v>
      </c>
      <c r="B49" t="s">
        <v>31</v>
      </c>
      <c r="C49" t="s">
        <v>19</v>
      </c>
      <c r="D49" t="s">
        <v>25</v>
      </c>
      <c r="E49" t="s">
        <v>26</v>
      </c>
      <c r="F49" t="s">
        <v>32</v>
      </c>
      <c r="G49" t="s">
        <v>27</v>
      </c>
      <c r="H49">
        <v>2</v>
      </c>
      <c r="I49">
        <v>80.33</v>
      </c>
      <c r="J49" s="10">
        <v>160.66</v>
      </c>
      <c r="K49" t="s">
        <v>17</v>
      </c>
    </row>
    <row r="50" spans="1:11" x14ac:dyDescent="0.25">
      <c r="A50" s="1">
        <v>44638</v>
      </c>
      <c r="B50" t="s">
        <v>41</v>
      </c>
      <c r="C50" t="s">
        <v>29</v>
      </c>
      <c r="D50" t="s">
        <v>42</v>
      </c>
      <c r="E50" t="s">
        <v>14</v>
      </c>
      <c r="F50" t="s">
        <v>40</v>
      </c>
      <c r="G50" t="s">
        <v>39</v>
      </c>
      <c r="H50">
        <v>5</v>
      </c>
      <c r="I50">
        <v>58.65</v>
      </c>
      <c r="J50" s="10">
        <v>293.25</v>
      </c>
      <c r="K50" t="s">
        <v>35</v>
      </c>
    </row>
    <row r="51" spans="1:11" x14ac:dyDescent="0.25">
      <c r="A51" s="1">
        <v>44794</v>
      </c>
      <c r="B51" t="s">
        <v>24</v>
      </c>
      <c r="C51" t="s">
        <v>19</v>
      </c>
      <c r="D51" t="s">
        <v>25</v>
      </c>
      <c r="E51" t="s">
        <v>26</v>
      </c>
      <c r="F51" t="s">
        <v>21</v>
      </c>
      <c r="G51" t="s">
        <v>22</v>
      </c>
      <c r="H51">
        <v>5</v>
      </c>
      <c r="I51">
        <v>183.55</v>
      </c>
      <c r="J51" s="10">
        <v>917.75</v>
      </c>
      <c r="K51" t="s">
        <v>23</v>
      </c>
    </row>
    <row r="52" spans="1:11" hidden="1" x14ac:dyDescent="0.25">
      <c r="A52" s="1">
        <v>44749</v>
      </c>
      <c r="B52" t="s">
        <v>48</v>
      </c>
      <c r="C52" t="s">
        <v>49</v>
      </c>
      <c r="D52" t="s">
        <v>50</v>
      </c>
      <c r="E52" t="s">
        <v>14</v>
      </c>
      <c r="F52" t="s">
        <v>21</v>
      </c>
      <c r="G52" t="s">
        <v>39</v>
      </c>
      <c r="H52">
        <v>2</v>
      </c>
      <c r="I52">
        <v>210.77</v>
      </c>
      <c r="J52">
        <v>421.54</v>
      </c>
      <c r="K52" t="s">
        <v>17</v>
      </c>
    </row>
    <row r="53" spans="1:11" x14ac:dyDescent="0.25">
      <c r="A53" s="1">
        <v>44692</v>
      </c>
      <c r="B53" t="s">
        <v>18</v>
      </c>
      <c r="C53" t="s">
        <v>19</v>
      </c>
      <c r="D53" t="s">
        <v>20</v>
      </c>
      <c r="E53" t="s">
        <v>14</v>
      </c>
      <c r="F53" t="s">
        <v>32</v>
      </c>
      <c r="G53" t="s">
        <v>27</v>
      </c>
      <c r="H53">
        <v>4</v>
      </c>
      <c r="I53">
        <v>218.82</v>
      </c>
      <c r="J53" s="10">
        <v>875.28</v>
      </c>
      <c r="K53" t="s">
        <v>36</v>
      </c>
    </row>
    <row r="54" spans="1:11" x14ac:dyDescent="0.25">
      <c r="A54" s="1">
        <v>44729</v>
      </c>
      <c r="B54" t="s">
        <v>11</v>
      </c>
      <c r="C54" t="s">
        <v>12</v>
      </c>
      <c r="D54" t="s">
        <v>13</v>
      </c>
      <c r="E54" t="s">
        <v>26</v>
      </c>
      <c r="F54" t="s">
        <v>40</v>
      </c>
      <c r="G54" t="s">
        <v>34</v>
      </c>
      <c r="H54">
        <v>5</v>
      </c>
      <c r="I54">
        <v>133.74</v>
      </c>
      <c r="J54" s="10">
        <v>668.7</v>
      </c>
      <c r="K54" t="s">
        <v>17</v>
      </c>
    </row>
    <row r="55" spans="1:11" x14ac:dyDescent="0.25">
      <c r="A55" s="1">
        <v>44705</v>
      </c>
      <c r="B55" t="s">
        <v>44</v>
      </c>
      <c r="C55" t="s">
        <v>19</v>
      </c>
      <c r="D55" t="s">
        <v>20</v>
      </c>
      <c r="E55" t="s">
        <v>26</v>
      </c>
      <c r="F55" t="s">
        <v>32</v>
      </c>
      <c r="G55" t="s">
        <v>34</v>
      </c>
      <c r="H55">
        <v>1</v>
      </c>
      <c r="I55">
        <v>208.47</v>
      </c>
      <c r="J55" s="10">
        <v>208.47</v>
      </c>
      <c r="K55" t="s">
        <v>23</v>
      </c>
    </row>
    <row r="56" spans="1:11" x14ac:dyDescent="0.25">
      <c r="A56" s="1">
        <v>44709</v>
      </c>
      <c r="B56" t="s">
        <v>37</v>
      </c>
      <c r="C56" t="s">
        <v>29</v>
      </c>
      <c r="D56" t="s">
        <v>38</v>
      </c>
      <c r="E56" t="s">
        <v>14</v>
      </c>
      <c r="F56" t="s">
        <v>15</v>
      </c>
      <c r="G56" t="s">
        <v>39</v>
      </c>
      <c r="H56">
        <v>1</v>
      </c>
      <c r="I56">
        <v>180.42</v>
      </c>
      <c r="J56" s="10">
        <v>180.42</v>
      </c>
      <c r="K56" t="s">
        <v>23</v>
      </c>
    </row>
    <row r="57" spans="1:11" hidden="1" x14ac:dyDescent="0.25">
      <c r="A57" s="1">
        <v>44741</v>
      </c>
      <c r="B57" t="s">
        <v>48</v>
      </c>
      <c r="C57" t="s">
        <v>49</v>
      </c>
      <c r="D57" t="s">
        <v>50</v>
      </c>
      <c r="E57" t="s">
        <v>30</v>
      </c>
      <c r="F57" t="s">
        <v>32</v>
      </c>
      <c r="G57" t="s">
        <v>16</v>
      </c>
      <c r="H57">
        <v>3</v>
      </c>
      <c r="I57">
        <v>127.36</v>
      </c>
      <c r="J57">
        <v>382.08</v>
      </c>
      <c r="K57" t="s">
        <v>17</v>
      </c>
    </row>
    <row r="58" spans="1:11" x14ac:dyDescent="0.25">
      <c r="A58" s="1">
        <v>44706</v>
      </c>
      <c r="B58" t="s">
        <v>41</v>
      </c>
      <c r="C58" t="s">
        <v>29</v>
      </c>
      <c r="D58" t="s">
        <v>42</v>
      </c>
      <c r="E58" t="s">
        <v>30</v>
      </c>
      <c r="F58" t="s">
        <v>21</v>
      </c>
      <c r="G58" t="s">
        <v>16</v>
      </c>
      <c r="H58">
        <v>3</v>
      </c>
      <c r="I58">
        <v>149.51</v>
      </c>
      <c r="J58" s="10">
        <v>448.53</v>
      </c>
      <c r="K58" t="s">
        <v>23</v>
      </c>
    </row>
    <row r="59" spans="1:11" hidden="1" x14ac:dyDescent="0.25">
      <c r="A59" s="1">
        <v>44629</v>
      </c>
      <c r="B59" t="s">
        <v>45</v>
      </c>
      <c r="C59" t="s">
        <v>46</v>
      </c>
      <c r="D59" t="s">
        <v>47</v>
      </c>
      <c r="E59" t="s">
        <v>30</v>
      </c>
      <c r="F59" t="s">
        <v>32</v>
      </c>
      <c r="G59" t="s">
        <v>43</v>
      </c>
      <c r="H59">
        <v>3</v>
      </c>
      <c r="I59">
        <v>136.36000000000001</v>
      </c>
      <c r="J59">
        <v>409.08</v>
      </c>
      <c r="K59" t="s">
        <v>17</v>
      </c>
    </row>
    <row r="60" spans="1:11" x14ac:dyDescent="0.25">
      <c r="A60" s="1">
        <v>44794</v>
      </c>
      <c r="B60" t="s">
        <v>28</v>
      </c>
      <c r="C60" t="s">
        <v>29</v>
      </c>
      <c r="D60" t="s">
        <v>25</v>
      </c>
      <c r="E60" t="s">
        <v>14</v>
      </c>
      <c r="F60" t="s">
        <v>32</v>
      </c>
      <c r="G60" t="s">
        <v>34</v>
      </c>
      <c r="H60">
        <v>5</v>
      </c>
      <c r="I60">
        <v>162.38</v>
      </c>
      <c r="J60" s="10">
        <v>811.9</v>
      </c>
      <c r="K60" t="s">
        <v>17</v>
      </c>
    </row>
    <row r="61" spans="1:11" hidden="1" x14ac:dyDescent="0.25">
      <c r="A61" s="1">
        <v>44708</v>
      </c>
      <c r="B61" t="s">
        <v>48</v>
      </c>
      <c r="C61" t="s">
        <v>49</v>
      </c>
      <c r="D61" t="s">
        <v>50</v>
      </c>
      <c r="E61" t="s">
        <v>26</v>
      </c>
      <c r="F61" t="s">
        <v>40</v>
      </c>
      <c r="G61" t="s">
        <v>33</v>
      </c>
      <c r="H61">
        <v>2</v>
      </c>
      <c r="I61">
        <v>259.66000000000003</v>
      </c>
      <c r="J61">
        <v>519.32000000000005</v>
      </c>
      <c r="K61" t="s">
        <v>36</v>
      </c>
    </row>
    <row r="62" spans="1:11" x14ac:dyDescent="0.25">
      <c r="A62" s="1">
        <v>44703</v>
      </c>
      <c r="B62" t="s">
        <v>37</v>
      </c>
      <c r="C62" t="s">
        <v>29</v>
      </c>
      <c r="D62" t="s">
        <v>38</v>
      </c>
      <c r="E62" t="s">
        <v>30</v>
      </c>
      <c r="F62" t="s">
        <v>21</v>
      </c>
      <c r="G62" t="s">
        <v>39</v>
      </c>
      <c r="H62">
        <v>1</v>
      </c>
      <c r="I62">
        <v>180.39</v>
      </c>
      <c r="J62" s="10">
        <v>180.39</v>
      </c>
      <c r="K62" t="s">
        <v>17</v>
      </c>
    </row>
    <row r="63" spans="1:11" x14ac:dyDescent="0.25">
      <c r="A63" s="1">
        <v>44714</v>
      </c>
      <c r="B63" t="s">
        <v>37</v>
      </c>
      <c r="C63" t="s">
        <v>29</v>
      </c>
      <c r="D63" t="s">
        <v>38</v>
      </c>
      <c r="E63" t="s">
        <v>30</v>
      </c>
      <c r="F63" t="s">
        <v>15</v>
      </c>
      <c r="G63" t="s">
        <v>39</v>
      </c>
      <c r="H63">
        <v>3</v>
      </c>
      <c r="I63">
        <v>80.349999999999994</v>
      </c>
      <c r="J63" s="10">
        <v>241.05</v>
      </c>
      <c r="K63" t="s">
        <v>17</v>
      </c>
    </row>
    <row r="64" spans="1:11" x14ac:dyDescent="0.25">
      <c r="A64" s="1">
        <v>44626</v>
      </c>
      <c r="B64" t="s">
        <v>11</v>
      </c>
      <c r="C64" t="s">
        <v>12</v>
      </c>
      <c r="D64" t="s">
        <v>13</v>
      </c>
      <c r="E64" t="s">
        <v>30</v>
      </c>
      <c r="F64" t="s">
        <v>21</v>
      </c>
      <c r="G64" t="s">
        <v>16</v>
      </c>
      <c r="H64">
        <v>2</v>
      </c>
      <c r="I64">
        <v>222.08</v>
      </c>
      <c r="J64" s="10">
        <v>444.16</v>
      </c>
      <c r="K64" t="s">
        <v>35</v>
      </c>
    </row>
    <row r="65" spans="1:11" hidden="1" x14ac:dyDescent="0.25">
      <c r="A65" s="1">
        <v>44641</v>
      </c>
      <c r="B65" t="s">
        <v>48</v>
      </c>
      <c r="C65" t="s">
        <v>49</v>
      </c>
      <c r="D65" t="s">
        <v>50</v>
      </c>
      <c r="E65" t="s">
        <v>26</v>
      </c>
      <c r="F65" t="s">
        <v>40</v>
      </c>
      <c r="G65" t="s">
        <v>27</v>
      </c>
      <c r="H65">
        <v>1</v>
      </c>
      <c r="I65">
        <v>287.44</v>
      </c>
      <c r="J65">
        <v>287.44</v>
      </c>
      <c r="K65" t="s">
        <v>35</v>
      </c>
    </row>
    <row r="66" spans="1:11" x14ac:dyDescent="0.25">
      <c r="A66" s="1">
        <v>44758</v>
      </c>
      <c r="B66" t="s">
        <v>11</v>
      </c>
      <c r="C66" t="s">
        <v>12</v>
      </c>
      <c r="D66" t="s">
        <v>13</v>
      </c>
      <c r="E66" t="s">
        <v>14</v>
      </c>
      <c r="F66" t="s">
        <v>15</v>
      </c>
      <c r="G66" t="s">
        <v>34</v>
      </c>
      <c r="H66">
        <v>5</v>
      </c>
      <c r="I66">
        <v>137.9</v>
      </c>
      <c r="J66" s="10">
        <v>689.5</v>
      </c>
      <c r="K66" t="s">
        <v>35</v>
      </c>
    </row>
    <row r="67" spans="1:11" x14ac:dyDescent="0.25">
      <c r="A67" s="1">
        <v>44639</v>
      </c>
      <c r="B67" t="s">
        <v>37</v>
      </c>
      <c r="C67" t="s">
        <v>29</v>
      </c>
      <c r="D67" t="s">
        <v>38</v>
      </c>
      <c r="E67" t="s">
        <v>14</v>
      </c>
      <c r="F67" t="s">
        <v>21</v>
      </c>
      <c r="G67" t="s">
        <v>39</v>
      </c>
      <c r="H67">
        <v>3</v>
      </c>
      <c r="I67">
        <v>214.68</v>
      </c>
      <c r="J67" s="10">
        <v>644.04</v>
      </c>
      <c r="K67" t="s">
        <v>35</v>
      </c>
    </row>
    <row r="68" spans="1:11" x14ac:dyDescent="0.25">
      <c r="A68" s="1">
        <v>44777</v>
      </c>
      <c r="B68" t="s">
        <v>28</v>
      </c>
      <c r="C68" t="s">
        <v>29</v>
      </c>
      <c r="D68" t="s">
        <v>25</v>
      </c>
      <c r="E68" t="s">
        <v>26</v>
      </c>
      <c r="F68" t="s">
        <v>15</v>
      </c>
      <c r="G68" t="s">
        <v>22</v>
      </c>
      <c r="H68">
        <v>2</v>
      </c>
      <c r="I68">
        <v>269.88</v>
      </c>
      <c r="J68" s="10">
        <v>539.76</v>
      </c>
      <c r="K68" t="s">
        <v>23</v>
      </c>
    </row>
    <row r="69" spans="1:11" x14ac:dyDescent="0.25">
      <c r="A69" s="1">
        <v>44684</v>
      </c>
      <c r="B69" t="s">
        <v>31</v>
      </c>
      <c r="C69" t="s">
        <v>19</v>
      </c>
      <c r="D69" t="s">
        <v>25</v>
      </c>
      <c r="E69" t="s">
        <v>14</v>
      </c>
      <c r="F69" t="s">
        <v>40</v>
      </c>
      <c r="G69" t="s">
        <v>43</v>
      </c>
      <c r="H69">
        <v>1</v>
      </c>
      <c r="I69">
        <v>96.97</v>
      </c>
      <c r="J69" s="10">
        <v>96.97</v>
      </c>
      <c r="K69" t="s">
        <v>36</v>
      </c>
    </row>
    <row r="70" spans="1:11" hidden="1" x14ac:dyDescent="0.25">
      <c r="A70" s="1">
        <v>44743</v>
      </c>
      <c r="B70" t="s">
        <v>45</v>
      </c>
      <c r="C70" t="s">
        <v>46</v>
      </c>
      <c r="D70" t="s">
        <v>47</v>
      </c>
      <c r="E70" t="s">
        <v>26</v>
      </c>
      <c r="F70" t="s">
        <v>15</v>
      </c>
      <c r="G70" t="s">
        <v>33</v>
      </c>
      <c r="H70">
        <v>4</v>
      </c>
      <c r="I70">
        <v>270.55</v>
      </c>
      <c r="J70">
        <v>1082.2</v>
      </c>
      <c r="K70" t="s">
        <v>23</v>
      </c>
    </row>
    <row r="71" spans="1:11" x14ac:dyDescent="0.25">
      <c r="A71" s="1">
        <v>44728</v>
      </c>
      <c r="B71" t="s">
        <v>44</v>
      </c>
      <c r="C71" t="s">
        <v>19</v>
      </c>
      <c r="D71" t="s">
        <v>20</v>
      </c>
      <c r="E71" t="s">
        <v>14</v>
      </c>
      <c r="F71" t="s">
        <v>40</v>
      </c>
      <c r="G71" t="s">
        <v>33</v>
      </c>
      <c r="H71">
        <v>3</v>
      </c>
      <c r="I71">
        <v>261.31</v>
      </c>
      <c r="J71" s="10">
        <v>783.93</v>
      </c>
      <c r="K71" t="s">
        <v>17</v>
      </c>
    </row>
    <row r="72" spans="1:11" hidden="1" x14ac:dyDescent="0.25">
      <c r="A72" s="1">
        <v>44571</v>
      </c>
      <c r="B72" t="s">
        <v>45</v>
      </c>
      <c r="C72" t="s">
        <v>46</v>
      </c>
      <c r="D72" t="s">
        <v>47</v>
      </c>
      <c r="E72" t="s">
        <v>14</v>
      </c>
      <c r="F72" t="s">
        <v>40</v>
      </c>
      <c r="G72" t="s">
        <v>22</v>
      </c>
      <c r="H72">
        <v>4</v>
      </c>
      <c r="I72">
        <v>56.4</v>
      </c>
      <c r="J72">
        <v>225.6</v>
      </c>
      <c r="K72" t="s">
        <v>17</v>
      </c>
    </row>
    <row r="73" spans="1:11" x14ac:dyDescent="0.25">
      <c r="A73" s="1">
        <v>44750</v>
      </c>
      <c r="B73" t="s">
        <v>18</v>
      </c>
      <c r="C73" t="s">
        <v>19</v>
      </c>
      <c r="D73" t="s">
        <v>20</v>
      </c>
      <c r="E73" t="s">
        <v>30</v>
      </c>
      <c r="F73" t="s">
        <v>40</v>
      </c>
      <c r="G73" t="s">
        <v>27</v>
      </c>
      <c r="H73">
        <v>3</v>
      </c>
      <c r="I73">
        <v>239.55</v>
      </c>
      <c r="J73" s="10">
        <v>718.65</v>
      </c>
      <c r="K73" t="s">
        <v>17</v>
      </c>
    </row>
    <row r="74" spans="1:11" x14ac:dyDescent="0.25">
      <c r="A74" s="1">
        <v>44793</v>
      </c>
      <c r="B74" t="s">
        <v>31</v>
      </c>
      <c r="C74" t="s">
        <v>19</v>
      </c>
      <c r="D74" t="s">
        <v>25</v>
      </c>
      <c r="E74" t="s">
        <v>14</v>
      </c>
      <c r="F74" t="s">
        <v>15</v>
      </c>
      <c r="G74" t="s">
        <v>27</v>
      </c>
      <c r="H74">
        <v>2</v>
      </c>
      <c r="I74">
        <v>94.62</v>
      </c>
      <c r="J74" s="10">
        <v>189.24</v>
      </c>
      <c r="K74" t="s">
        <v>23</v>
      </c>
    </row>
    <row r="75" spans="1:11" x14ac:dyDescent="0.25">
      <c r="A75" s="1">
        <v>44766</v>
      </c>
      <c r="B75" t="s">
        <v>11</v>
      </c>
      <c r="C75" t="s">
        <v>12</v>
      </c>
      <c r="D75" t="s">
        <v>13</v>
      </c>
      <c r="E75" t="s">
        <v>14</v>
      </c>
      <c r="F75" t="s">
        <v>15</v>
      </c>
      <c r="G75" t="s">
        <v>27</v>
      </c>
      <c r="H75">
        <v>4</v>
      </c>
      <c r="I75">
        <v>57.22</v>
      </c>
      <c r="J75" s="10">
        <v>228.88</v>
      </c>
      <c r="K75" t="s">
        <v>23</v>
      </c>
    </row>
    <row r="76" spans="1:11" x14ac:dyDescent="0.25">
      <c r="A76" s="1">
        <v>44756</v>
      </c>
      <c r="B76" t="s">
        <v>24</v>
      </c>
      <c r="C76" t="s">
        <v>19</v>
      </c>
      <c r="D76" t="s">
        <v>25</v>
      </c>
      <c r="E76" t="s">
        <v>30</v>
      </c>
      <c r="F76" t="s">
        <v>15</v>
      </c>
      <c r="G76" t="s">
        <v>27</v>
      </c>
      <c r="H76">
        <v>1</v>
      </c>
      <c r="I76">
        <v>170.86</v>
      </c>
      <c r="J76" s="10">
        <v>170.86</v>
      </c>
      <c r="K76" t="s">
        <v>36</v>
      </c>
    </row>
    <row r="77" spans="1:11" x14ac:dyDescent="0.25">
      <c r="A77" s="1">
        <v>44603</v>
      </c>
      <c r="B77" t="s">
        <v>44</v>
      </c>
      <c r="C77" t="s">
        <v>19</v>
      </c>
      <c r="D77" t="s">
        <v>20</v>
      </c>
      <c r="E77" t="s">
        <v>30</v>
      </c>
      <c r="F77" t="s">
        <v>21</v>
      </c>
      <c r="G77" t="s">
        <v>33</v>
      </c>
      <c r="H77">
        <v>3</v>
      </c>
      <c r="I77">
        <v>105.79</v>
      </c>
      <c r="J77" s="10">
        <v>317.37</v>
      </c>
      <c r="K77" t="s">
        <v>36</v>
      </c>
    </row>
    <row r="78" spans="1:11" x14ac:dyDescent="0.25">
      <c r="A78" s="1">
        <v>44707</v>
      </c>
      <c r="B78" t="s">
        <v>44</v>
      </c>
      <c r="C78" t="s">
        <v>19</v>
      </c>
      <c r="D78" t="s">
        <v>20</v>
      </c>
      <c r="E78" t="s">
        <v>30</v>
      </c>
      <c r="F78" t="s">
        <v>21</v>
      </c>
      <c r="G78" t="s">
        <v>33</v>
      </c>
      <c r="H78">
        <v>5</v>
      </c>
      <c r="I78">
        <v>112.95</v>
      </c>
      <c r="J78" s="10">
        <v>564.75</v>
      </c>
      <c r="K78" t="s">
        <v>17</v>
      </c>
    </row>
    <row r="79" spans="1:11" x14ac:dyDescent="0.25">
      <c r="A79" s="1">
        <v>44793</v>
      </c>
      <c r="B79" t="s">
        <v>37</v>
      </c>
      <c r="C79" t="s">
        <v>29</v>
      </c>
      <c r="D79" t="s">
        <v>38</v>
      </c>
      <c r="E79" t="s">
        <v>14</v>
      </c>
      <c r="F79" t="s">
        <v>15</v>
      </c>
      <c r="G79" t="s">
        <v>22</v>
      </c>
      <c r="H79">
        <v>5</v>
      </c>
      <c r="I79">
        <v>55.8</v>
      </c>
      <c r="J79" s="10">
        <v>279</v>
      </c>
      <c r="K79" t="s">
        <v>17</v>
      </c>
    </row>
    <row r="80" spans="1:11" x14ac:dyDescent="0.25">
      <c r="A80" s="1">
        <v>44686</v>
      </c>
      <c r="B80" t="s">
        <v>41</v>
      </c>
      <c r="C80" t="s">
        <v>29</v>
      </c>
      <c r="D80" t="s">
        <v>42</v>
      </c>
      <c r="E80" t="s">
        <v>30</v>
      </c>
      <c r="F80" t="s">
        <v>40</v>
      </c>
      <c r="G80" t="s">
        <v>43</v>
      </c>
      <c r="H80">
        <v>1</v>
      </c>
      <c r="I80">
        <v>50.1</v>
      </c>
      <c r="J80" s="10">
        <v>50.1</v>
      </c>
      <c r="K80" t="s">
        <v>17</v>
      </c>
    </row>
    <row r="81" spans="1:11" x14ac:dyDescent="0.25">
      <c r="A81" s="1">
        <v>44804</v>
      </c>
      <c r="B81" t="s">
        <v>18</v>
      </c>
      <c r="C81" t="s">
        <v>19</v>
      </c>
      <c r="D81" t="s">
        <v>20</v>
      </c>
      <c r="E81" t="s">
        <v>30</v>
      </c>
      <c r="F81" t="s">
        <v>15</v>
      </c>
      <c r="G81" t="s">
        <v>22</v>
      </c>
      <c r="H81">
        <v>1</v>
      </c>
      <c r="I81">
        <v>56.49</v>
      </c>
      <c r="J81" s="10">
        <v>56.49</v>
      </c>
      <c r="K81" t="s">
        <v>35</v>
      </c>
    </row>
    <row r="82" spans="1:11" x14ac:dyDescent="0.25">
      <c r="A82" s="1">
        <v>44672</v>
      </c>
      <c r="B82" t="s">
        <v>37</v>
      </c>
      <c r="C82" t="s">
        <v>29</v>
      </c>
      <c r="D82" t="s">
        <v>38</v>
      </c>
      <c r="E82" t="s">
        <v>30</v>
      </c>
      <c r="F82" t="s">
        <v>40</v>
      </c>
      <c r="G82" t="s">
        <v>33</v>
      </c>
      <c r="H82">
        <v>5</v>
      </c>
      <c r="I82">
        <v>100.65</v>
      </c>
      <c r="J82" s="10">
        <v>503.25</v>
      </c>
      <c r="K82" t="s">
        <v>36</v>
      </c>
    </row>
    <row r="83" spans="1:11" x14ac:dyDescent="0.25">
      <c r="A83" s="1">
        <v>44794</v>
      </c>
      <c r="B83" t="s">
        <v>44</v>
      </c>
      <c r="C83" t="s">
        <v>19</v>
      </c>
      <c r="D83" t="s">
        <v>20</v>
      </c>
      <c r="E83" t="s">
        <v>30</v>
      </c>
      <c r="F83" t="s">
        <v>32</v>
      </c>
      <c r="G83" t="s">
        <v>16</v>
      </c>
      <c r="H83">
        <v>2</v>
      </c>
      <c r="I83">
        <v>160.44</v>
      </c>
      <c r="J83" s="10">
        <v>320.88</v>
      </c>
      <c r="K83" t="s">
        <v>35</v>
      </c>
    </row>
    <row r="84" spans="1:11" hidden="1" x14ac:dyDescent="0.25">
      <c r="A84" s="1">
        <v>44666</v>
      </c>
      <c r="B84" t="s">
        <v>48</v>
      </c>
      <c r="C84" t="s">
        <v>49</v>
      </c>
      <c r="D84" t="s">
        <v>50</v>
      </c>
      <c r="E84" t="s">
        <v>26</v>
      </c>
      <c r="F84" t="s">
        <v>21</v>
      </c>
      <c r="G84" t="s">
        <v>16</v>
      </c>
      <c r="H84">
        <v>4</v>
      </c>
      <c r="I84">
        <v>242.44</v>
      </c>
      <c r="J84">
        <v>969.76</v>
      </c>
      <c r="K84" t="s">
        <v>23</v>
      </c>
    </row>
    <row r="85" spans="1:11" x14ac:dyDescent="0.25">
      <c r="A85" s="1">
        <v>44688</v>
      </c>
      <c r="B85" t="s">
        <v>18</v>
      </c>
      <c r="C85" t="s">
        <v>19</v>
      </c>
      <c r="D85" t="s">
        <v>20</v>
      </c>
      <c r="E85" t="s">
        <v>14</v>
      </c>
      <c r="F85" t="s">
        <v>21</v>
      </c>
      <c r="G85" t="s">
        <v>33</v>
      </c>
      <c r="H85">
        <v>2</v>
      </c>
      <c r="I85">
        <v>209.81</v>
      </c>
      <c r="J85" s="10">
        <v>419.62</v>
      </c>
      <c r="K85" t="s">
        <v>17</v>
      </c>
    </row>
    <row r="86" spans="1:11" x14ac:dyDescent="0.25">
      <c r="A86" s="1">
        <v>44634</v>
      </c>
      <c r="B86" t="s">
        <v>44</v>
      </c>
      <c r="C86" t="s">
        <v>19</v>
      </c>
      <c r="D86" t="s">
        <v>20</v>
      </c>
      <c r="E86" t="s">
        <v>30</v>
      </c>
      <c r="F86" t="s">
        <v>32</v>
      </c>
      <c r="G86" t="s">
        <v>43</v>
      </c>
      <c r="H86">
        <v>4</v>
      </c>
      <c r="I86">
        <v>261.95999999999998</v>
      </c>
      <c r="J86" s="10">
        <v>1047.8399999999999</v>
      </c>
      <c r="K86" t="s">
        <v>23</v>
      </c>
    </row>
    <row r="87" spans="1:11" x14ac:dyDescent="0.25">
      <c r="A87" s="1">
        <v>44803</v>
      </c>
      <c r="B87" t="s">
        <v>41</v>
      </c>
      <c r="C87" t="s">
        <v>29</v>
      </c>
      <c r="D87" t="s">
        <v>42</v>
      </c>
      <c r="E87" t="s">
        <v>30</v>
      </c>
      <c r="F87" t="s">
        <v>32</v>
      </c>
      <c r="G87" t="s">
        <v>22</v>
      </c>
      <c r="H87">
        <v>3</v>
      </c>
      <c r="I87">
        <v>242.71</v>
      </c>
      <c r="J87" s="10">
        <v>728.13</v>
      </c>
      <c r="K87" t="s">
        <v>23</v>
      </c>
    </row>
    <row r="88" spans="1:11" x14ac:dyDescent="0.25">
      <c r="A88" s="1">
        <v>44718</v>
      </c>
      <c r="B88" t="s">
        <v>31</v>
      </c>
      <c r="C88" t="s">
        <v>19</v>
      </c>
      <c r="D88" t="s">
        <v>25</v>
      </c>
      <c r="E88" t="s">
        <v>26</v>
      </c>
      <c r="F88" t="s">
        <v>15</v>
      </c>
      <c r="G88" t="s">
        <v>22</v>
      </c>
      <c r="H88">
        <v>5</v>
      </c>
      <c r="I88">
        <v>299.3</v>
      </c>
      <c r="J88" s="10">
        <v>1496.5</v>
      </c>
      <c r="K88" t="s">
        <v>17</v>
      </c>
    </row>
    <row r="89" spans="1:11" x14ac:dyDescent="0.25">
      <c r="A89" s="1">
        <v>44802</v>
      </c>
      <c r="B89" t="s">
        <v>18</v>
      </c>
      <c r="C89" t="s">
        <v>19</v>
      </c>
      <c r="D89" t="s">
        <v>20</v>
      </c>
      <c r="E89" t="s">
        <v>14</v>
      </c>
      <c r="F89" t="s">
        <v>21</v>
      </c>
      <c r="G89" t="s">
        <v>22</v>
      </c>
      <c r="H89">
        <v>4</v>
      </c>
      <c r="I89">
        <v>162.85</v>
      </c>
      <c r="J89" s="10">
        <v>651.4</v>
      </c>
      <c r="K89" t="s">
        <v>35</v>
      </c>
    </row>
    <row r="90" spans="1:11" hidden="1" x14ac:dyDescent="0.25">
      <c r="A90" s="1">
        <v>44775</v>
      </c>
      <c r="B90" t="s">
        <v>48</v>
      </c>
      <c r="C90" t="s">
        <v>49</v>
      </c>
      <c r="D90" t="s">
        <v>50</v>
      </c>
      <c r="E90" t="s">
        <v>14</v>
      </c>
      <c r="F90" t="s">
        <v>21</v>
      </c>
      <c r="G90" t="s">
        <v>16</v>
      </c>
      <c r="H90">
        <v>5</v>
      </c>
      <c r="I90">
        <v>215.63</v>
      </c>
      <c r="J90">
        <v>1078.1500000000001</v>
      </c>
      <c r="K90" t="s">
        <v>17</v>
      </c>
    </row>
    <row r="91" spans="1:11" x14ac:dyDescent="0.25">
      <c r="A91" s="1">
        <v>44712</v>
      </c>
      <c r="B91" t="s">
        <v>31</v>
      </c>
      <c r="C91" t="s">
        <v>19</v>
      </c>
      <c r="D91" t="s">
        <v>25</v>
      </c>
      <c r="E91" t="s">
        <v>26</v>
      </c>
      <c r="F91" t="s">
        <v>15</v>
      </c>
      <c r="G91" t="s">
        <v>27</v>
      </c>
      <c r="H91">
        <v>1</v>
      </c>
      <c r="I91">
        <v>54.99</v>
      </c>
      <c r="J91" s="10">
        <v>54.99</v>
      </c>
      <c r="K91" t="s">
        <v>23</v>
      </c>
    </row>
    <row r="92" spans="1:11" x14ac:dyDescent="0.25">
      <c r="A92" s="1">
        <v>44593</v>
      </c>
      <c r="B92" t="s">
        <v>18</v>
      </c>
      <c r="C92" t="s">
        <v>19</v>
      </c>
      <c r="D92" t="s">
        <v>20</v>
      </c>
      <c r="E92" t="s">
        <v>30</v>
      </c>
      <c r="F92" t="s">
        <v>40</v>
      </c>
      <c r="G92" t="s">
        <v>34</v>
      </c>
      <c r="H92">
        <v>4</v>
      </c>
      <c r="I92">
        <v>185.7</v>
      </c>
      <c r="J92" s="10">
        <v>742.8</v>
      </c>
      <c r="K92" t="s">
        <v>36</v>
      </c>
    </row>
    <row r="93" spans="1:11" x14ac:dyDescent="0.25">
      <c r="A93" s="1">
        <v>44660</v>
      </c>
      <c r="B93" t="s">
        <v>28</v>
      </c>
      <c r="C93" t="s">
        <v>29</v>
      </c>
      <c r="D93" t="s">
        <v>25</v>
      </c>
      <c r="E93" t="s">
        <v>14</v>
      </c>
      <c r="F93" t="s">
        <v>21</v>
      </c>
      <c r="G93" t="s">
        <v>39</v>
      </c>
      <c r="H93">
        <v>2</v>
      </c>
      <c r="I93">
        <v>153.75</v>
      </c>
      <c r="J93" s="10">
        <v>307.5</v>
      </c>
      <c r="K93" t="s">
        <v>23</v>
      </c>
    </row>
    <row r="94" spans="1:11" x14ac:dyDescent="0.25">
      <c r="A94" s="1">
        <v>44641</v>
      </c>
      <c r="B94" t="s">
        <v>41</v>
      </c>
      <c r="C94" t="s">
        <v>29</v>
      </c>
      <c r="D94" t="s">
        <v>42</v>
      </c>
      <c r="E94" t="s">
        <v>30</v>
      </c>
      <c r="F94" t="s">
        <v>15</v>
      </c>
      <c r="G94" t="s">
        <v>33</v>
      </c>
      <c r="H94">
        <v>5</v>
      </c>
      <c r="I94">
        <v>235.5</v>
      </c>
      <c r="J94" s="10">
        <v>1177.5</v>
      </c>
      <c r="K94" t="s">
        <v>36</v>
      </c>
    </row>
    <row r="95" spans="1:11" x14ac:dyDescent="0.25">
      <c r="A95" s="1">
        <v>44765</v>
      </c>
      <c r="B95" t="s">
        <v>41</v>
      </c>
      <c r="C95" t="s">
        <v>29</v>
      </c>
      <c r="D95" t="s">
        <v>42</v>
      </c>
      <c r="E95" t="s">
        <v>26</v>
      </c>
      <c r="F95" t="s">
        <v>32</v>
      </c>
      <c r="G95" t="s">
        <v>39</v>
      </c>
      <c r="H95">
        <v>3</v>
      </c>
      <c r="I95">
        <v>239.76</v>
      </c>
      <c r="J95" s="10">
        <v>719.28</v>
      </c>
      <c r="K95" t="s">
        <v>17</v>
      </c>
    </row>
    <row r="96" spans="1:11" x14ac:dyDescent="0.25">
      <c r="A96" s="1">
        <v>44599</v>
      </c>
      <c r="B96" t="s">
        <v>37</v>
      </c>
      <c r="C96" t="s">
        <v>29</v>
      </c>
      <c r="D96" t="s">
        <v>38</v>
      </c>
      <c r="E96" t="s">
        <v>30</v>
      </c>
      <c r="F96" t="s">
        <v>32</v>
      </c>
      <c r="G96" t="s">
        <v>22</v>
      </c>
      <c r="H96">
        <v>4</v>
      </c>
      <c r="I96">
        <v>213.82</v>
      </c>
      <c r="J96" s="10">
        <v>855.28</v>
      </c>
      <c r="K96" t="s">
        <v>17</v>
      </c>
    </row>
    <row r="97" spans="1:11" x14ac:dyDescent="0.25">
      <c r="A97" s="1">
        <v>44678</v>
      </c>
      <c r="B97" t="s">
        <v>18</v>
      </c>
      <c r="C97" t="s">
        <v>19</v>
      </c>
      <c r="D97" t="s">
        <v>20</v>
      </c>
      <c r="E97" t="s">
        <v>26</v>
      </c>
      <c r="F97" t="s">
        <v>32</v>
      </c>
      <c r="G97" t="s">
        <v>16</v>
      </c>
      <c r="H97">
        <v>1</v>
      </c>
      <c r="I97">
        <v>67.2</v>
      </c>
      <c r="J97" s="10">
        <v>67.2</v>
      </c>
      <c r="K97" t="s">
        <v>36</v>
      </c>
    </row>
    <row r="98" spans="1:11" hidden="1" x14ac:dyDescent="0.25">
      <c r="A98" s="1">
        <v>44627</v>
      </c>
      <c r="B98" t="s">
        <v>45</v>
      </c>
      <c r="C98" t="s">
        <v>46</v>
      </c>
      <c r="D98" t="s">
        <v>47</v>
      </c>
      <c r="E98" t="s">
        <v>30</v>
      </c>
      <c r="F98" t="s">
        <v>40</v>
      </c>
      <c r="G98" t="s">
        <v>16</v>
      </c>
      <c r="H98">
        <v>4</v>
      </c>
      <c r="I98">
        <v>207.05</v>
      </c>
      <c r="J98">
        <v>828.2</v>
      </c>
      <c r="K98" t="s">
        <v>35</v>
      </c>
    </row>
    <row r="99" spans="1:11" x14ac:dyDescent="0.25">
      <c r="A99" s="1">
        <v>44686</v>
      </c>
      <c r="B99" t="s">
        <v>28</v>
      </c>
      <c r="C99" t="s">
        <v>29</v>
      </c>
      <c r="D99" t="s">
        <v>25</v>
      </c>
      <c r="E99" t="s">
        <v>14</v>
      </c>
      <c r="F99" t="s">
        <v>40</v>
      </c>
      <c r="G99" t="s">
        <v>16</v>
      </c>
      <c r="H99">
        <v>3</v>
      </c>
      <c r="I99">
        <v>257.92</v>
      </c>
      <c r="J99" s="10">
        <v>773.76</v>
      </c>
      <c r="K99" t="s">
        <v>36</v>
      </c>
    </row>
    <row r="100" spans="1:11" x14ac:dyDescent="0.25">
      <c r="A100" s="1">
        <v>44730</v>
      </c>
      <c r="B100" t="s">
        <v>18</v>
      </c>
      <c r="C100" t="s">
        <v>19</v>
      </c>
      <c r="D100" t="s">
        <v>20</v>
      </c>
      <c r="E100" t="s">
        <v>26</v>
      </c>
      <c r="F100" t="s">
        <v>15</v>
      </c>
      <c r="G100" t="s">
        <v>39</v>
      </c>
      <c r="H100">
        <v>1</v>
      </c>
      <c r="I100">
        <v>122.32</v>
      </c>
      <c r="J100" s="10">
        <v>122.32</v>
      </c>
      <c r="K100" t="s">
        <v>23</v>
      </c>
    </row>
    <row r="101" spans="1:11" x14ac:dyDescent="0.25">
      <c r="A101" s="1">
        <v>44707</v>
      </c>
      <c r="B101" t="s">
        <v>11</v>
      </c>
      <c r="C101" t="s">
        <v>12</v>
      </c>
      <c r="D101" t="s">
        <v>13</v>
      </c>
      <c r="E101" t="s">
        <v>14</v>
      </c>
      <c r="F101" t="s">
        <v>32</v>
      </c>
      <c r="G101" t="s">
        <v>22</v>
      </c>
      <c r="H101">
        <v>1</v>
      </c>
      <c r="I101">
        <v>203.63</v>
      </c>
      <c r="J101" s="10">
        <v>203.63</v>
      </c>
      <c r="K101" t="s">
        <v>23</v>
      </c>
    </row>
    <row r="102" spans="1:11" x14ac:dyDescent="0.25">
      <c r="A102" s="1">
        <v>44709</v>
      </c>
      <c r="B102" t="s">
        <v>31</v>
      </c>
      <c r="C102" t="s">
        <v>19</v>
      </c>
      <c r="D102" t="s">
        <v>25</v>
      </c>
      <c r="E102" t="s">
        <v>30</v>
      </c>
      <c r="F102" t="s">
        <v>40</v>
      </c>
      <c r="G102" t="s">
        <v>39</v>
      </c>
      <c r="H102">
        <v>3</v>
      </c>
      <c r="I102">
        <v>278.14999999999998</v>
      </c>
      <c r="J102" s="10">
        <v>834.45</v>
      </c>
      <c r="K102" t="s">
        <v>36</v>
      </c>
    </row>
    <row r="103" spans="1:11" x14ac:dyDescent="0.25">
      <c r="A103" s="1">
        <v>44745</v>
      </c>
      <c r="B103" t="s">
        <v>28</v>
      </c>
      <c r="C103" t="s">
        <v>29</v>
      </c>
      <c r="D103" t="s">
        <v>25</v>
      </c>
      <c r="E103" t="s">
        <v>30</v>
      </c>
      <c r="F103" t="s">
        <v>40</v>
      </c>
      <c r="G103" t="s">
        <v>27</v>
      </c>
      <c r="H103">
        <v>3</v>
      </c>
      <c r="I103">
        <v>129.78</v>
      </c>
      <c r="J103" s="10">
        <v>389.34</v>
      </c>
      <c r="K103" t="s">
        <v>17</v>
      </c>
    </row>
    <row r="104" spans="1:11" x14ac:dyDescent="0.25">
      <c r="A104" s="1">
        <v>44717</v>
      </c>
      <c r="B104" t="s">
        <v>31</v>
      </c>
      <c r="C104" t="s">
        <v>19</v>
      </c>
      <c r="D104" t="s">
        <v>25</v>
      </c>
      <c r="E104" t="s">
        <v>30</v>
      </c>
      <c r="F104" t="s">
        <v>32</v>
      </c>
      <c r="G104" t="s">
        <v>33</v>
      </c>
      <c r="H104">
        <v>5</v>
      </c>
      <c r="I104">
        <v>199.42</v>
      </c>
      <c r="J104" s="10">
        <v>997.1</v>
      </c>
      <c r="K104" t="s">
        <v>23</v>
      </c>
    </row>
    <row r="105" spans="1:11" x14ac:dyDescent="0.25">
      <c r="A105" s="1">
        <v>44738</v>
      </c>
      <c r="B105" t="s">
        <v>44</v>
      </c>
      <c r="C105" t="s">
        <v>19</v>
      </c>
      <c r="D105" t="s">
        <v>20</v>
      </c>
      <c r="E105" t="s">
        <v>30</v>
      </c>
      <c r="F105" t="s">
        <v>15</v>
      </c>
      <c r="G105" t="s">
        <v>16</v>
      </c>
      <c r="H105">
        <v>5</v>
      </c>
      <c r="I105">
        <v>98.23</v>
      </c>
      <c r="J105" s="10">
        <v>491.15</v>
      </c>
      <c r="K105" t="s">
        <v>23</v>
      </c>
    </row>
    <row r="106" spans="1:11" x14ac:dyDescent="0.25">
      <c r="A106" s="1">
        <v>44688</v>
      </c>
      <c r="B106" t="s">
        <v>24</v>
      </c>
      <c r="C106" t="s">
        <v>19</v>
      </c>
      <c r="D106" t="s">
        <v>25</v>
      </c>
      <c r="E106" t="s">
        <v>14</v>
      </c>
      <c r="F106" t="s">
        <v>21</v>
      </c>
      <c r="G106" t="s">
        <v>33</v>
      </c>
      <c r="H106">
        <v>1</v>
      </c>
      <c r="I106">
        <v>114.47</v>
      </c>
      <c r="J106" s="10">
        <v>114.47</v>
      </c>
      <c r="K106" t="s">
        <v>36</v>
      </c>
    </row>
    <row r="107" spans="1:11" hidden="1" x14ac:dyDescent="0.25">
      <c r="A107" s="1">
        <v>44624</v>
      </c>
      <c r="B107" t="s">
        <v>48</v>
      </c>
      <c r="C107" t="s">
        <v>49</v>
      </c>
      <c r="D107" t="s">
        <v>50</v>
      </c>
      <c r="E107" t="s">
        <v>26</v>
      </c>
      <c r="F107" t="s">
        <v>21</v>
      </c>
      <c r="G107" t="s">
        <v>16</v>
      </c>
      <c r="H107">
        <v>5</v>
      </c>
      <c r="I107">
        <v>224.71</v>
      </c>
      <c r="J107">
        <v>1123.55</v>
      </c>
      <c r="K107" t="s">
        <v>35</v>
      </c>
    </row>
    <row r="108" spans="1:11" x14ac:dyDescent="0.25">
      <c r="A108" s="1">
        <v>44590</v>
      </c>
      <c r="B108" t="s">
        <v>31</v>
      </c>
      <c r="C108" t="s">
        <v>19</v>
      </c>
      <c r="D108" t="s">
        <v>25</v>
      </c>
      <c r="E108" t="s">
        <v>14</v>
      </c>
      <c r="F108" t="s">
        <v>15</v>
      </c>
      <c r="G108" t="s">
        <v>43</v>
      </c>
      <c r="H108">
        <v>3</v>
      </c>
      <c r="I108">
        <v>104.04</v>
      </c>
      <c r="J108" s="10">
        <v>312.12</v>
      </c>
      <c r="K108" t="s">
        <v>23</v>
      </c>
    </row>
    <row r="109" spans="1:11" hidden="1" x14ac:dyDescent="0.25">
      <c r="A109" s="1">
        <v>44622</v>
      </c>
      <c r="B109" t="s">
        <v>48</v>
      </c>
      <c r="C109" t="s">
        <v>49</v>
      </c>
      <c r="D109" t="s">
        <v>50</v>
      </c>
      <c r="E109" t="s">
        <v>30</v>
      </c>
      <c r="F109" t="s">
        <v>40</v>
      </c>
      <c r="G109" t="s">
        <v>34</v>
      </c>
      <c r="H109">
        <v>5</v>
      </c>
      <c r="I109">
        <v>140.26</v>
      </c>
      <c r="J109">
        <v>701.3</v>
      </c>
      <c r="K109" t="s">
        <v>17</v>
      </c>
    </row>
    <row r="110" spans="1:11" x14ac:dyDescent="0.25">
      <c r="A110" s="1">
        <v>44713</v>
      </c>
      <c r="B110" t="s">
        <v>44</v>
      </c>
      <c r="C110" t="s">
        <v>19</v>
      </c>
      <c r="D110" t="s">
        <v>20</v>
      </c>
      <c r="E110" t="s">
        <v>30</v>
      </c>
      <c r="F110" t="s">
        <v>21</v>
      </c>
      <c r="G110" t="s">
        <v>34</v>
      </c>
      <c r="H110">
        <v>5</v>
      </c>
      <c r="I110">
        <v>215.38</v>
      </c>
      <c r="J110" s="10">
        <v>1076.9000000000001</v>
      </c>
      <c r="K110" t="s">
        <v>17</v>
      </c>
    </row>
    <row r="111" spans="1:11" x14ac:dyDescent="0.25">
      <c r="A111" s="1">
        <v>44696</v>
      </c>
      <c r="B111" t="s">
        <v>18</v>
      </c>
      <c r="C111" t="s">
        <v>19</v>
      </c>
      <c r="D111" t="s">
        <v>20</v>
      </c>
      <c r="E111" t="s">
        <v>26</v>
      </c>
      <c r="F111" t="s">
        <v>15</v>
      </c>
      <c r="G111" t="s">
        <v>33</v>
      </c>
      <c r="H111">
        <v>4</v>
      </c>
      <c r="I111">
        <v>127.55</v>
      </c>
      <c r="J111" s="10">
        <v>510.2</v>
      </c>
      <c r="K111" t="s">
        <v>23</v>
      </c>
    </row>
    <row r="112" spans="1:11" x14ac:dyDescent="0.25">
      <c r="A112" s="1">
        <v>44803</v>
      </c>
      <c r="B112" t="s">
        <v>31</v>
      </c>
      <c r="C112" t="s">
        <v>19</v>
      </c>
      <c r="D112" t="s">
        <v>25</v>
      </c>
      <c r="E112" t="s">
        <v>26</v>
      </c>
      <c r="F112" t="s">
        <v>15</v>
      </c>
      <c r="G112" t="s">
        <v>34</v>
      </c>
      <c r="H112">
        <v>3</v>
      </c>
      <c r="I112">
        <v>182.2</v>
      </c>
      <c r="J112" s="10">
        <v>546.6</v>
      </c>
      <c r="K112" t="s">
        <v>17</v>
      </c>
    </row>
    <row r="113" spans="1:11" x14ac:dyDescent="0.25">
      <c r="A113" s="1">
        <v>44655</v>
      </c>
      <c r="B113" t="s">
        <v>28</v>
      </c>
      <c r="C113" t="s">
        <v>29</v>
      </c>
      <c r="D113" t="s">
        <v>25</v>
      </c>
      <c r="E113" t="s">
        <v>30</v>
      </c>
      <c r="F113" t="s">
        <v>32</v>
      </c>
      <c r="G113" t="s">
        <v>27</v>
      </c>
      <c r="H113">
        <v>4</v>
      </c>
      <c r="I113">
        <v>246.66</v>
      </c>
      <c r="J113" s="10">
        <v>986.64</v>
      </c>
      <c r="K113" t="s">
        <v>23</v>
      </c>
    </row>
    <row r="114" spans="1:11" x14ac:dyDescent="0.25">
      <c r="A114" s="1">
        <v>44728</v>
      </c>
      <c r="B114" t="s">
        <v>18</v>
      </c>
      <c r="C114" t="s">
        <v>19</v>
      </c>
      <c r="D114" t="s">
        <v>20</v>
      </c>
      <c r="E114" t="s">
        <v>26</v>
      </c>
      <c r="F114" t="s">
        <v>32</v>
      </c>
      <c r="G114" t="s">
        <v>16</v>
      </c>
      <c r="H114">
        <v>5</v>
      </c>
      <c r="I114">
        <v>262.68</v>
      </c>
      <c r="J114" s="10">
        <v>1313.4</v>
      </c>
      <c r="K114" t="s">
        <v>36</v>
      </c>
    </row>
    <row r="115" spans="1:11" x14ac:dyDescent="0.25">
      <c r="A115" s="1">
        <v>44585</v>
      </c>
      <c r="B115" t="s">
        <v>44</v>
      </c>
      <c r="C115" t="s">
        <v>19</v>
      </c>
      <c r="D115" t="s">
        <v>20</v>
      </c>
      <c r="E115" t="s">
        <v>30</v>
      </c>
      <c r="F115" t="s">
        <v>15</v>
      </c>
      <c r="G115" t="s">
        <v>22</v>
      </c>
      <c r="H115">
        <v>3</v>
      </c>
      <c r="I115">
        <v>101.39</v>
      </c>
      <c r="J115" s="10">
        <v>304.17</v>
      </c>
      <c r="K115" t="s">
        <v>23</v>
      </c>
    </row>
    <row r="116" spans="1:11" x14ac:dyDescent="0.25">
      <c r="A116" s="1">
        <v>44606</v>
      </c>
      <c r="B116" t="s">
        <v>37</v>
      </c>
      <c r="C116" t="s">
        <v>29</v>
      </c>
      <c r="D116" t="s">
        <v>38</v>
      </c>
      <c r="E116" t="s">
        <v>26</v>
      </c>
      <c r="F116" t="s">
        <v>32</v>
      </c>
      <c r="G116" t="s">
        <v>16</v>
      </c>
      <c r="H116">
        <v>1</v>
      </c>
      <c r="I116">
        <v>59.05</v>
      </c>
      <c r="J116" s="10">
        <v>59.05</v>
      </c>
      <c r="K116" t="s">
        <v>23</v>
      </c>
    </row>
    <row r="117" spans="1:11" x14ac:dyDescent="0.25">
      <c r="A117" s="1">
        <v>44629</v>
      </c>
      <c r="B117" t="s">
        <v>37</v>
      </c>
      <c r="C117" t="s">
        <v>29</v>
      </c>
      <c r="D117" t="s">
        <v>38</v>
      </c>
      <c r="E117" t="s">
        <v>14</v>
      </c>
      <c r="F117" t="s">
        <v>21</v>
      </c>
      <c r="G117" t="s">
        <v>39</v>
      </c>
      <c r="H117">
        <v>1</v>
      </c>
      <c r="I117">
        <v>101.32</v>
      </c>
      <c r="J117" s="10">
        <v>101.32</v>
      </c>
      <c r="K117" t="s">
        <v>35</v>
      </c>
    </row>
    <row r="118" spans="1:11" x14ac:dyDescent="0.25">
      <c r="A118" s="1">
        <v>44758</v>
      </c>
      <c r="B118" t="s">
        <v>24</v>
      </c>
      <c r="C118" t="s">
        <v>19</v>
      </c>
      <c r="D118" t="s">
        <v>25</v>
      </c>
      <c r="E118" t="s">
        <v>30</v>
      </c>
      <c r="F118" t="s">
        <v>40</v>
      </c>
      <c r="G118" t="s">
        <v>33</v>
      </c>
      <c r="H118">
        <v>4</v>
      </c>
      <c r="I118">
        <v>228.88</v>
      </c>
      <c r="J118" s="10">
        <v>915.52</v>
      </c>
      <c r="K118" t="s">
        <v>17</v>
      </c>
    </row>
    <row r="119" spans="1:11" x14ac:dyDescent="0.25">
      <c r="A119" s="1">
        <v>44727</v>
      </c>
      <c r="B119" t="s">
        <v>24</v>
      </c>
      <c r="C119" t="s">
        <v>19</v>
      </c>
      <c r="D119" t="s">
        <v>25</v>
      </c>
      <c r="E119" t="s">
        <v>26</v>
      </c>
      <c r="F119" t="s">
        <v>15</v>
      </c>
      <c r="G119" t="s">
        <v>16</v>
      </c>
      <c r="H119">
        <v>4</v>
      </c>
      <c r="I119">
        <v>258.60000000000002</v>
      </c>
      <c r="J119" s="10">
        <v>1034.4000000000001</v>
      </c>
      <c r="K119" t="s">
        <v>17</v>
      </c>
    </row>
    <row r="120" spans="1:11" x14ac:dyDescent="0.25">
      <c r="A120" s="1">
        <v>44611</v>
      </c>
      <c r="B120" t="s">
        <v>44</v>
      </c>
      <c r="C120" t="s">
        <v>19</v>
      </c>
      <c r="D120" t="s">
        <v>20</v>
      </c>
      <c r="E120" t="s">
        <v>14</v>
      </c>
      <c r="F120" t="s">
        <v>21</v>
      </c>
      <c r="G120" t="s">
        <v>33</v>
      </c>
      <c r="H120">
        <v>4</v>
      </c>
      <c r="I120">
        <v>129.94999999999999</v>
      </c>
      <c r="J120" s="10">
        <v>519.79999999999995</v>
      </c>
      <c r="K120" t="s">
        <v>23</v>
      </c>
    </row>
    <row r="121" spans="1:11" x14ac:dyDescent="0.25">
      <c r="A121" s="1">
        <v>44748</v>
      </c>
      <c r="B121" t="s">
        <v>44</v>
      </c>
      <c r="C121" t="s">
        <v>19</v>
      </c>
      <c r="D121" t="s">
        <v>20</v>
      </c>
      <c r="E121" t="s">
        <v>26</v>
      </c>
      <c r="F121" t="s">
        <v>32</v>
      </c>
      <c r="G121" t="s">
        <v>27</v>
      </c>
      <c r="H121">
        <v>5</v>
      </c>
      <c r="I121">
        <v>190.03</v>
      </c>
      <c r="J121" s="10">
        <v>950.15</v>
      </c>
      <c r="K121" t="s">
        <v>23</v>
      </c>
    </row>
    <row r="122" spans="1:11" hidden="1" x14ac:dyDescent="0.25">
      <c r="A122" s="1">
        <v>44593</v>
      </c>
      <c r="B122" t="s">
        <v>45</v>
      </c>
      <c r="C122" t="s">
        <v>46</v>
      </c>
      <c r="D122" t="s">
        <v>47</v>
      </c>
      <c r="E122" t="s">
        <v>14</v>
      </c>
      <c r="F122" t="s">
        <v>32</v>
      </c>
      <c r="G122" t="s">
        <v>39</v>
      </c>
      <c r="H122">
        <v>1</v>
      </c>
      <c r="I122">
        <v>239.21</v>
      </c>
      <c r="J122">
        <v>239.21</v>
      </c>
      <c r="K122" t="s">
        <v>36</v>
      </c>
    </row>
    <row r="123" spans="1:11" x14ac:dyDescent="0.25">
      <c r="A123" s="1">
        <v>44645</v>
      </c>
      <c r="B123" t="s">
        <v>11</v>
      </c>
      <c r="C123" t="s">
        <v>12</v>
      </c>
      <c r="D123" t="s">
        <v>13</v>
      </c>
      <c r="E123" t="s">
        <v>14</v>
      </c>
      <c r="F123" t="s">
        <v>21</v>
      </c>
      <c r="G123" t="s">
        <v>33</v>
      </c>
      <c r="H123">
        <v>1</v>
      </c>
      <c r="I123">
        <v>271.18</v>
      </c>
      <c r="J123" s="10">
        <v>271.18</v>
      </c>
      <c r="K123" t="s">
        <v>23</v>
      </c>
    </row>
    <row r="124" spans="1:11" hidden="1" x14ac:dyDescent="0.25">
      <c r="A124" s="1">
        <v>44595</v>
      </c>
      <c r="B124" t="s">
        <v>48</v>
      </c>
      <c r="C124" t="s">
        <v>49</v>
      </c>
      <c r="D124" t="s">
        <v>50</v>
      </c>
      <c r="E124" t="s">
        <v>26</v>
      </c>
      <c r="F124" t="s">
        <v>21</v>
      </c>
      <c r="G124" t="s">
        <v>16</v>
      </c>
      <c r="H124">
        <v>5</v>
      </c>
      <c r="I124">
        <v>140.65</v>
      </c>
      <c r="J124">
        <v>703.25</v>
      </c>
      <c r="K124" t="s">
        <v>36</v>
      </c>
    </row>
    <row r="125" spans="1:11" x14ac:dyDescent="0.25">
      <c r="A125" s="1">
        <v>44742</v>
      </c>
      <c r="B125" t="s">
        <v>11</v>
      </c>
      <c r="C125" t="s">
        <v>12</v>
      </c>
      <c r="D125" t="s">
        <v>13</v>
      </c>
      <c r="E125" t="s">
        <v>14</v>
      </c>
      <c r="F125" t="s">
        <v>21</v>
      </c>
      <c r="G125" t="s">
        <v>34</v>
      </c>
      <c r="H125">
        <v>3</v>
      </c>
      <c r="I125">
        <v>97.21</v>
      </c>
      <c r="J125" s="10">
        <v>291.63</v>
      </c>
      <c r="K125" t="s">
        <v>23</v>
      </c>
    </row>
    <row r="126" spans="1:11" x14ac:dyDescent="0.25">
      <c r="A126" s="1">
        <v>44604</v>
      </c>
      <c r="B126" t="s">
        <v>41</v>
      </c>
      <c r="C126" t="s">
        <v>29</v>
      </c>
      <c r="D126" t="s">
        <v>42</v>
      </c>
      <c r="E126" t="s">
        <v>30</v>
      </c>
      <c r="F126" t="s">
        <v>40</v>
      </c>
      <c r="G126" t="s">
        <v>34</v>
      </c>
      <c r="H126">
        <v>5</v>
      </c>
      <c r="I126">
        <v>110.05</v>
      </c>
      <c r="J126" s="10">
        <v>550.25</v>
      </c>
      <c r="K126" t="s">
        <v>17</v>
      </c>
    </row>
    <row r="127" spans="1:11" x14ac:dyDescent="0.25">
      <c r="A127" s="1">
        <v>44757</v>
      </c>
      <c r="B127" t="s">
        <v>44</v>
      </c>
      <c r="C127" t="s">
        <v>19</v>
      </c>
      <c r="D127" t="s">
        <v>20</v>
      </c>
      <c r="E127" t="s">
        <v>14</v>
      </c>
      <c r="F127" t="s">
        <v>32</v>
      </c>
      <c r="G127" t="s">
        <v>27</v>
      </c>
      <c r="H127">
        <v>1</v>
      </c>
      <c r="I127">
        <v>209.13</v>
      </c>
      <c r="J127" s="10">
        <v>209.13</v>
      </c>
      <c r="K127" t="s">
        <v>23</v>
      </c>
    </row>
    <row r="128" spans="1:11" x14ac:dyDescent="0.25">
      <c r="A128" s="1">
        <v>44598</v>
      </c>
      <c r="B128" t="s">
        <v>24</v>
      </c>
      <c r="C128" t="s">
        <v>19</v>
      </c>
      <c r="D128" t="s">
        <v>25</v>
      </c>
      <c r="E128" t="s">
        <v>26</v>
      </c>
      <c r="F128" t="s">
        <v>40</v>
      </c>
      <c r="G128" t="s">
        <v>33</v>
      </c>
      <c r="H128">
        <v>1</v>
      </c>
      <c r="I128">
        <v>256.81</v>
      </c>
      <c r="J128" s="10">
        <v>256.81</v>
      </c>
      <c r="K128" t="s">
        <v>17</v>
      </c>
    </row>
    <row r="129" spans="1:11" x14ac:dyDescent="0.25">
      <c r="A129" s="1">
        <v>44581</v>
      </c>
      <c r="B129" t="s">
        <v>41</v>
      </c>
      <c r="C129" t="s">
        <v>29</v>
      </c>
      <c r="D129" t="s">
        <v>42</v>
      </c>
      <c r="E129" t="s">
        <v>26</v>
      </c>
      <c r="F129" t="s">
        <v>15</v>
      </c>
      <c r="G129" t="s">
        <v>27</v>
      </c>
      <c r="H129">
        <v>2</v>
      </c>
      <c r="I129">
        <v>53.05</v>
      </c>
      <c r="J129" s="10">
        <v>106.1</v>
      </c>
      <c r="K129" t="s">
        <v>23</v>
      </c>
    </row>
    <row r="130" spans="1:11" x14ac:dyDescent="0.25">
      <c r="A130" s="1">
        <v>44654</v>
      </c>
      <c r="B130" t="s">
        <v>18</v>
      </c>
      <c r="C130" t="s">
        <v>19</v>
      </c>
      <c r="D130" t="s">
        <v>20</v>
      </c>
      <c r="E130" t="s">
        <v>30</v>
      </c>
      <c r="F130" t="s">
        <v>40</v>
      </c>
      <c r="G130" t="s">
        <v>34</v>
      </c>
      <c r="H130">
        <v>4</v>
      </c>
      <c r="I130">
        <v>127.11</v>
      </c>
      <c r="J130" s="10">
        <v>508.44</v>
      </c>
      <c r="K130" t="s">
        <v>23</v>
      </c>
    </row>
    <row r="131" spans="1:11" x14ac:dyDescent="0.25">
      <c r="A131" s="1">
        <v>44744</v>
      </c>
      <c r="B131" t="s">
        <v>28</v>
      </c>
      <c r="C131" t="s">
        <v>29</v>
      </c>
      <c r="D131" t="s">
        <v>25</v>
      </c>
      <c r="E131" t="s">
        <v>26</v>
      </c>
      <c r="F131" t="s">
        <v>40</v>
      </c>
      <c r="G131" t="s">
        <v>16</v>
      </c>
      <c r="H131">
        <v>2</v>
      </c>
      <c r="I131">
        <v>259.45999999999998</v>
      </c>
      <c r="J131" s="10">
        <v>518.91999999999996</v>
      </c>
      <c r="K131" t="s">
        <v>36</v>
      </c>
    </row>
    <row r="132" spans="1:11" x14ac:dyDescent="0.25">
      <c r="A132" s="1">
        <v>44632</v>
      </c>
      <c r="B132" t="s">
        <v>37</v>
      </c>
      <c r="C132" t="s">
        <v>29</v>
      </c>
      <c r="D132" t="s">
        <v>38</v>
      </c>
      <c r="E132" t="s">
        <v>14</v>
      </c>
      <c r="F132" t="s">
        <v>32</v>
      </c>
      <c r="G132" t="s">
        <v>34</v>
      </c>
      <c r="H132">
        <v>2</v>
      </c>
      <c r="I132">
        <v>183.29</v>
      </c>
      <c r="J132" s="10">
        <v>366.58</v>
      </c>
      <c r="K132" t="s">
        <v>36</v>
      </c>
    </row>
    <row r="133" spans="1:11" x14ac:dyDescent="0.25">
      <c r="A133" s="1">
        <v>44577</v>
      </c>
      <c r="B133" t="s">
        <v>37</v>
      </c>
      <c r="C133" t="s">
        <v>29</v>
      </c>
      <c r="D133" t="s">
        <v>38</v>
      </c>
      <c r="E133" t="s">
        <v>26</v>
      </c>
      <c r="F133" t="s">
        <v>40</v>
      </c>
      <c r="G133" t="s">
        <v>39</v>
      </c>
      <c r="H133">
        <v>2</v>
      </c>
      <c r="I133">
        <v>130.4</v>
      </c>
      <c r="J133" s="10">
        <v>260.8</v>
      </c>
      <c r="K133" t="s">
        <v>23</v>
      </c>
    </row>
    <row r="134" spans="1:11" x14ac:dyDescent="0.25">
      <c r="A134" s="1">
        <v>44621</v>
      </c>
      <c r="B134" t="s">
        <v>18</v>
      </c>
      <c r="C134" t="s">
        <v>19</v>
      </c>
      <c r="D134" t="s">
        <v>20</v>
      </c>
      <c r="E134" t="s">
        <v>30</v>
      </c>
      <c r="F134" t="s">
        <v>21</v>
      </c>
      <c r="G134" t="s">
        <v>39</v>
      </c>
      <c r="H134">
        <v>5</v>
      </c>
      <c r="I134">
        <v>112.04</v>
      </c>
      <c r="J134" s="10">
        <v>560.20000000000005</v>
      </c>
      <c r="K134" t="s">
        <v>36</v>
      </c>
    </row>
    <row r="135" spans="1:11" hidden="1" x14ac:dyDescent="0.25">
      <c r="A135" s="1">
        <v>44619</v>
      </c>
      <c r="B135" t="s">
        <v>48</v>
      </c>
      <c r="C135" t="s">
        <v>49</v>
      </c>
      <c r="D135" t="s">
        <v>50</v>
      </c>
      <c r="E135" t="s">
        <v>26</v>
      </c>
      <c r="F135" t="s">
        <v>32</v>
      </c>
      <c r="G135" t="s">
        <v>16</v>
      </c>
      <c r="H135">
        <v>5</v>
      </c>
      <c r="I135">
        <v>85.1</v>
      </c>
      <c r="J135">
        <v>425.5</v>
      </c>
      <c r="K135" t="s">
        <v>23</v>
      </c>
    </row>
    <row r="136" spans="1:11" hidden="1" x14ac:dyDescent="0.25">
      <c r="A136" s="1">
        <v>44744</v>
      </c>
      <c r="B136" t="s">
        <v>48</v>
      </c>
      <c r="C136" t="s">
        <v>49</v>
      </c>
      <c r="D136" t="s">
        <v>50</v>
      </c>
      <c r="E136" t="s">
        <v>14</v>
      </c>
      <c r="F136" t="s">
        <v>21</v>
      </c>
      <c r="G136" t="s">
        <v>33</v>
      </c>
      <c r="H136">
        <v>1</v>
      </c>
      <c r="I136">
        <v>180.65</v>
      </c>
      <c r="J136">
        <v>180.65</v>
      </c>
      <c r="K136" t="s">
        <v>23</v>
      </c>
    </row>
    <row r="137" spans="1:11" hidden="1" x14ac:dyDescent="0.25">
      <c r="A137" s="1">
        <v>44600</v>
      </c>
      <c r="B137" t="s">
        <v>45</v>
      </c>
      <c r="C137" t="s">
        <v>46</v>
      </c>
      <c r="D137" t="s">
        <v>47</v>
      </c>
      <c r="E137" t="s">
        <v>26</v>
      </c>
      <c r="F137" t="s">
        <v>32</v>
      </c>
      <c r="G137" t="s">
        <v>34</v>
      </c>
      <c r="H137">
        <v>5</v>
      </c>
      <c r="I137">
        <v>147.13</v>
      </c>
      <c r="J137">
        <v>735.65</v>
      </c>
      <c r="K137" t="s">
        <v>36</v>
      </c>
    </row>
    <row r="138" spans="1:11" hidden="1" x14ac:dyDescent="0.25">
      <c r="A138" s="1">
        <v>44583</v>
      </c>
      <c r="B138" t="s">
        <v>48</v>
      </c>
      <c r="C138" t="s">
        <v>49</v>
      </c>
      <c r="D138" t="s">
        <v>50</v>
      </c>
      <c r="E138" t="s">
        <v>26</v>
      </c>
      <c r="F138" t="s">
        <v>15</v>
      </c>
      <c r="G138" t="s">
        <v>33</v>
      </c>
      <c r="H138">
        <v>3</v>
      </c>
      <c r="I138">
        <v>110.78</v>
      </c>
      <c r="J138">
        <v>332.34</v>
      </c>
      <c r="K138" t="s">
        <v>23</v>
      </c>
    </row>
    <row r="139" spans="1:11" x14ac:dyDescent="0.25">
      <c r="A139" s="1">
        <v>44736</v>
      </c>
      <c r="B139" t="s">
        <v>28</v>
      </c>
      <c r="C139" t="s">
        <v>29</v>
      </c>
      <c r="D139" t="s">
        <v>25</v>
      </c>
      <c r="E139" t="s">
        <v>26</v>
      </c>
      <c r="F139" t="s">
        <v>21</v>
      </c>
      <c r="G139" t="s">
        <v>43</v>
      </c>
      <c r="H139">
        <v>5</v>
      </c>
      <c r="I139">
        <v>58.37</v>
      </c>
      <c r="J139" s="10">
        <v>291.85000000000002</v>
      </c>
      <c r="K139" t="s">
        <v>35</v>
      </c>
    </row>
    <row r="140" spans="1:11" x14ac:dyDescent="0.25">
      <c r="A140" s="1">
        <v>44765</v>
      </c>
      <c r="B140" t="s">
        <v>41</v>
      </c>
      <c r="C140" t="s">
        <v>29</v>
      </c>
      <c r="D140" t="s">
        <v>42</v>
      </c>
      <c r="E140" t="s">
        <v>26</v>
      </c>
      <c r="F140" t="s">
        <v>32</v>
      </c>
      <c r="G140" t="s">
        <v>27</v>
      </c>
      <c r="H140">
        <v>5</v>
      </c>
      <c r="I140">
        <v>241.67</v>
      </c>
      <c r="J140" s="10">
        <v>1208.3499999999999</v>
      </c>
      <c r="K140" t="s">
        <v>17</v>
      </c>
    </row>
    <row r="141" spans="1:11" x14ac:dyDescent="0.25">
      <c r="A141" s="1">
        <v>44767</v>
      </c>
      <c r="B141" t="s">
        <v>37</v>
      </c>
      <c r="C141" t="s">
        <v>29</v>
      </c>
      <c r="D141" t="s">
        <v>38</v>
      </c>
      <c r="E141" t="s">
        <v>26</v>
      </c>
      <c r="F141" t="s">
        <v>15</v>
      </c>
      <c r="G141" t="s">
        <v>22</v>
      </c>
      <c r="H141">
        <v>2</v>
      </c>
      <c r="I141">
        <v>89.67</v>
      </c>
      <c r="J141" s="10">
        <v>179.34</v>
      </c>
      <c r="K141" t="s">
        <v>35</v>
      </c>
    </row>
    <row r="142" spans="1:11" x14ac:dyDescent="0.25">
      <c r="A142" s="1">
        <v>44710</v>
      </c>
      <c r="B142" t="s">
        <v>24</v>
      </c>
      <c r="C142" t="s">
        <v>19</v>
      </c>
      <c r="D142" t="s">
        <v>25</v>
      </c>
      <c r="E142" t="s">
        <v>26</v>
      </c>
      <c r="F142" t="s">
        <v>21</v>
      </c>
      <c r="G142" t="s">
        <v>39</v>
      </c>
      <c r="H142">
        <v>1</v>
      </c>
      <c r="I142">
        <v>132.09</v>
      </c>
      <c r="J142" s="10">
        <v>132.09</v>
      </c>
      <c r="K142" t="s">
        <v>35</v>
      </c>
    </row>
    <row r="143" spans="1:11" hidden="1" x14ac:dyDescent="0.25">
      <c r="A143" s="1">
        <v>44777</v>
      </c>
      <c r="B143" t="s">
        <v>45</v>
      </c>
      <c r="C143" t="s">
        <v>46</v>
      </c>
      <c r="D143" t="s">
        <v>47</v>
      </c>
      <c r="E143" t="s">
        <v>26</v>
      </c>
      <c r="F143" t="s">
        <v>32</v>
      </c>
      <c r="G143" t="s">
        <v>16</v>
      </c>
      <c r="H143">
        <v>2</v>
      </c>
      <c r="I143">
        <v>202.18</v>
      </c>
      <c r="J143">
        <v>404.36</v>
      </c>
      <c r="K143" t="s">
        <v>35</v>
      </c>
    </row>
    <row r="144" spans="1:11" x14ac:dyDescent="0.25">
      <c r="A144" s="1">
        <v>44604</v>
      </c>
      <c r="B144" t="s">
        <v>18</v>
      </c>
      <c r="C144" t="s">
        <v>19</v>
      </c>
      <c r="D144" t="s">
        <v>20</v>
      </c>
      <c r="E144" t="s">
        <v>30</v>
      </c>
      <c r="F144" t="s">
        <v>32</v>
      </c>
      <c r="G144" t="s">
        <v>34</v>
      </c>
      <c r="H144">
        <v>3</v>
      </c>
      <c r="I144">
        <v>90.19</v>
      </c>
      <c r="J144" s="10">
        <v>270.57</v>
      </c>
      <c r="K144" t="s">
        <v>23</v>
      </c>
    </row>
    <row r="145" spans="1:11" x14ac:dyDescent="0.25">
      <c r="A145" s="1">
        <v>44621</v>
      </c>
      <c r="B145" t="s">
        <v>28</v>
      </c>
      <c r="C145" t="s">
        <v>29</v>
      </c>
      <c r="D145" t="s">
        <v>25</v>
      </c>
      <c r="E145" t="s">
        <v>14</v>
      </c>
      <c r="F145" t="s">
        <v>21</v>
      </c>
      <c r="G145" t="s">
        <v>22</v>
      </c>
      <c r="H145">
        <v>2</v>
      </c>
      <c r="I145">
        <v>179.28</v>
      </c>
      <c r="J145" s="10">
        <v>358.56</v>
      </c>
      <c r="K145" t="s">
        <v>23</v>
      </c>
    </row>
    <row r="146" spans="1:11" x14ac:dyDescent="0.25">
      <c r="A146" s="1">
        <v>44643</v>
      </c>
      <c r="B146" t="s">
        <v>28</v>
      </c>
      <c r="C146" t="s">
        <v>29</v>
      </c>
      <c r="D146" t="s">
        <v>25</v>
      </c>
      <c r="E146" t="s">
        <v>30</v>
      </c>
      <c r="F146" t="s">
        <v>40</v>
      </c>
      <c r="G146" t="s">
        <v>22</v>
      </c>
      <c r="H146">
        <v>5</v>
      </c>
      <c r="I146">
        <v>188.61</v>
      </c>
      <c r="J146" s="10">
        <v>943.05</v>
      </c>
      <c r="K146" t="s">
        <v>36</v>
      </c>
    </row>
    <row r="147" spans="1:11" x14ac:dyDescent="0.25">
      <c r="A147" s="1">
        <v>44803</v>
      </c>
      <c r="B147" t="s">
        <v>11</v>
      </c>
      <c r="C147" t="s">
        <v>12</v>
      </c>
      <c r="D147" t="s">
        <v>13</v>
      </c>
      <c r="E147" t="s">
        <v>30</v>
      </c>
      <c r="F147" t="s">
        <v>40</v>
      </c>
      <c r="G147" t="s">
        <v>34</v>
      </c>
      <c r="H147">
        <v>2</v>
      </c>
      <c r="I147">
        <v>111.36</v>
      </c>
      <c r="J147" s="10">
        <v>222.72</v>
      </c>
      <c r="K147" t="s">
        <v>17</v>
      </c>
    </row>
    <row r="148" spans="1:11" hidden="1" x14ac:dyDescent="0.25">
      <c r="A148" s="1">
        <v>44610</v>
      </c>
      <c r="B148" t="s">
        <v>45</v>
      </c>
      <c r="C148" t="s">
        <v>46</v>
      </c>
      <c r="D148" t="s">
        <v>47</v>
      </c>
      <c r="E148" t="s">
        <v>26</v>
      </c>
      <c r="F148" t="s">
        <v>40</v>
      </c>
      <c r="G148" t="s">
        <v>34</v>
      </c>
      <c r="H148">
        <v>3</v>
      </c>
      <c r="I148">
        <v>53.98</v>
      </c>
      <c r="J148">
        <v>161.94</v>
      </c>
      <c r="K148" t="s">
        <v>23</v>
      </c>
    </row>
    <row r="149" spans="1:11" x14ac:dyDescent="0.25">
      <c r="A149" s="1">
        <v>44709</v>
      </c>
      <c r="B149" t="s">
        <v>37</v>
      </c>
      <c r="C149" t="s">
        <v>29</v>
      </c>
      <c r="D149" t="s">
        <v>38</v>
      </c>
      <c r="E149" t="s">
        <v>14</v>
      </c>
      <c r="F149" t="s">
        <v>21</v>
      </c>
      <c r="G149" t="s">
        <v>39</v>
      </c>
      <c r="H149">
        <v>4</v>
      </c>
      <c r="I149">
        <v>240.64</v>
      </c>
      <c r="J149" s="10">
        <v>962.56</v>
      </c>
      <c r="K149" t="s">
        <v>23</v>
      </c>
    </row>
    <row r="150" spans="1:11" x14ac:dyDescent="0.25">
      <c r="A150" s="1">
        <v>44620</v>
      </c>
      <c r="B150" t="s">
        <v>37</v>
      </c>
      <c r="C150" t="s">
        <v>29</v>
      </c>
      <c r="D150" t="s">
        <v>38</v>
      </c>
      <c r="E150" t="s">
        <v>26</v>
      </c>
      <c r="F150" t="s">
        <v>32</v>
      </c>
      <c r="G150" t="s">
        <v>22</v>
      </c>
      <c r="H150">
        <v>5</v>
      </c>
      <c r="I150">
        <v>195.57</v>
      </c>
      <c r="J150" s="10">
        <v>977.85</v>
      </c>
      <c r="K150" t="s">
        <v>23</v>
      </c>
    </row>
    <row r="151" spans="1:11" x14ac:dyDescent="0.25">
      <c r="A151" s="1">
        <v>44629</v>
      </c>
      <c r="B151" t="s">
        <v>28</v>
      </c>
      <c r="C151" t="s">
        <v>29</v>
      </c>
      <c r="D151" t="s">
        <v>25</v>
      </c>
      <c r="E151" t="s">
        <v>14</v>
      </c>
      <c r="F151" t="s">
        <v>21</v>
      </c>
      <c r="G151" t="s">
        <v>39</v>
      </c>
      <c r="H151">
        <v>3</v>
      </c>
      <c r="I151">
        <v>224.66</v>
      </c>
      <c r="J151" s="10">
        <v>673.98</v>
      </c>
      <c r="K151" t="s">
        <v>23</v>
      </c>
    </row>
    <row r="152" spans="1:11" hidden="1" x14ac:dyDescent="0.25">
      <c r="A152" s="1">
        <v>44679</v>
      </c>
      <c r="B152" t="s">
        <v>48</v>
      </c>
      <c r="C152" t="s">
        <v>49</v>
      </c>
      <c r="D152" t="s">
        <v>50</v>
      </c>
      <c r="E152" t="s">
        <v>26</v>
      </c>
      <c r="F152" t="s">
        <v>40</v>
      </c>
      <c r="G152" t="s">
        <v>39</v>
      </c>
      <c r="H152">
        <v>3</v>
      </c>
      <c r="I152">
        <v>65.2</v>
      </c>
      <c r="J152">
        <v>195.6</v>
      </c>
      <c r="K152" t="s">
        <v>36</v>
      </c>
    </row>
    <row r="153" spans="1:11" x14ac:dyDescent="0.25">
      <c r="A153" s="1">
        <v>44755</v>
      </c>
      <c r="B153" t="s">
        <v>44</v>
      </c>
      <c r="C153" t="s">
        <v>19</v>
      </c>
      <c r="D153" t="s">
        <v>20</v>
      </c>
      <c r="E153" t="s">
        <v>26</v>
      </c>
      <c r="F153" t="s">
        <v>15</v>
      </c>
      <c r="G153" t="s">
        <v>39</v>
      </c>
      <c r="H153">
        <v>4</v>
      </c>
      <c r="I153">
        <v>117.78</v>
      </c>
      <c r="J153" s="10">
        <v>471.12</v>
      </c>
      <c r="K153" t="s">
        <v>35</v>
      </c>
    </row>
    <row r="154" spans="1:11" x14ac:dyDescent="0.25">
      <c r="A154" s="1">
        <v>44601</v>
      </c>
      <c r="B154" t="s">
        <v>31</v>
      </c>
      <c r="C154" t="s">
        <v>19</v>
      </c>
      <c r="D154" t="s">
        <v>25</v>
      </c>
      <c r="E154" t="s">
        <v>26</v>
      </c>
      <c r="F154" t="s">
        <v>21</v>
      </c>
      <c r="G154" t="s">
        <v>43</v>
      </c>
      <c r="H154">
        <v>4</v>
      </c>
      <c r="I154">
        <v>214.93</v>
      </c>
      <c r="J154" s="10">
        <v>859.72</v>
      </c>
      <c r="K154" t="s">
        <v>17</v>
      </c>
    </row>
    <row r="155" spans="1:11" hidden="1" x14ac:dyDescent="0.25">
      <c r="A155" s="1">
        <v>44789</v>
      </c>
      <c r="B155" t="s">
        <v>48</v>
      </c>
      <c r="C155" t="s">
        <v>49</v>
      </c>
      <c r="D155" t="s">
        <v>50</v>
      </c>
      <c r="E155" t="s">
        <v>14</v>
      </c>
      <c r="F155" t="s">
        <v>15</v>
      </c>
      <c r="G155" t="s">
        <v>16</v>
      </c>
      <c r="H155">
        <v>2</v>
      </c>
      <c r="I155">
        <v>249.49</v>
      </c>
      <c r="J155">
        <v>498.98</v>
      </c>
      <c r="K155" t="s">
        <v>23</v>
      </c>
    </row>
    <row r="156" spans="1:11" x14ac:dyDescent="0.25">
      <c r="A156" s="1">
        <v>44725</v>
      </c>
      <c r="B156" t="s">
        <v>18</v>
      </c>
      <c r="C156" t="s">
        <v>19</v>
      </c>
      <c r="D156" t="s">
        <v>20</v>
      </c>
      <c r="E156" t="s">
        <v>30</v>
      </c>
      <c r="F156" t="s">
        <v>32</v>
      </c>
      <c r="G156" t="s">
        <v>43</v>
      </c>
      <c r="H156">
        <v>4</v>
      </c>
      <c r="I156">
        <v>141.35</v>
      </c>
      <c r="J156" s="10">
        <v>565.4</v>
      </c>
      <c r="K156" t="s">
        <v>35</v>
      </c>
    </row>
    <row r="157" spans="1:11" hidden="1" x14ac:dyDescent="0.25">
      <c r="A157" s="1">
        <v>44623</v>
      </c>
      <c r="B157" t="s">
        <v>48</v>
      </c>
      <c r="C157" t="s">
        <v>49</v>
      </c>
      <c r="D157" t="s">
        <v>50</v>
      </c>
      <c r="E157" t="s">
        <v>14</v>
      </c>
      <c r="F157" t="s">
        <v>15</v>
      </c>
      <c r="G157" t="s">
        <v>16</v>
      </c>
      <c r="H157">
        <v>3</v>
      </c>
      <c r="I157">
        <v>264.14</v>
      </c>
      <c r="J157">
        <v>792.42</v>
      </c>
      <c r="K157" t="s">
        <v>17</v>
      </c>
    </row>
    <row r="158" spans="1:11" x14ac:dyDescent="0.25">
      <c r="A158" s="1">
        <v>44564</v>
      </c>
      <c r="B158" t="s">
        <v>11</v>
      </c>
      <c r="C158" t="s">
        <v>12</v>
      </c>
      <c r="D158" t="s">
        <v>13</v>
      </c>
      <c r="E158" t="s">
        <v>14</v>
      </c>
      <c r="F158" t="s">
        <v>32</v>
      </c>
      <c r="G158" t="s">
        <v>34</v>
      </c>
      <c r="H158">
        <v>5</v>
      </c>
      <c r="I158">
        <v>73.58</v>
      </c>
      <c r="J158" s="10">
        <v>367.9</v>
      </c>
      <c r="K158" t="s">
        <v>35</v>
      </c>
    </row>
    <row r="159" spans="1:11" x14ac:dyDescent="0.25">
      <c r="A159" s="1">
        <v>44768</v>
      </c>
      <c r="B159" t="s">
        <v>11</v>
      </c>
      <c r="C159" t="s">
        <v>12</v>
      </c>
      <c r="D159" t="s">
        <v>13</v>
      </c>
      <c r="E159" t="s">
        <v>14</v>
      </c>
      <c r="F159" t="s">
        <v>21</v>
      </c>
      <c r="G159" t="s">
        <v>22</v>
      </c>
      <c r="H159">
        <v>1</v>
      </c>
      <c r="I159">
        <v>106.59</v>
      </c>
      <c r="J159" s="10">
        <v>106.59</v>
      </c>
      <c r="K159" t="s">
        <v>17</v>
      </c>
    </row>
    <row r="160" spans="1:11" x14ac:dyDescent="0.25">
      <c r="A160" s="1">
        <v>44604</v>
      </c>
      <c r="B160" t="s">
        <v>28</v>
      </c>
      <c r="C160" t="s">
        <v>29</v>
      </c>
      <c r="D160" t="s">
        <v>25</v>
      </c>
      <c r="E160" t="s">
        <v>30</v>
      </c>
      <c r="F160" t="s">
        <v>21</v>
      </c>
      <c r="G160" t="s">
        <v>39</v>
      </c>
      <c r="H160">
        <v>3</v>
      </c>
      <c r="I160">
        <v>59.98</v>
      </c>
      <c r="J160" s="10">
        <v>179.94</v>
      </c>
      <c r="K160" t="s">
        <v>35</v>
      </c>
    </row>
    <row r="161" spans="1:11" hidden="1" x14ac:dyDescent="0.25">
      <c r="A161" s="1">
        <v>44622</v>
      </c>
      <c r="B161" t="s">
        <v>48</v>
      </c>
      <c r="C161" t="s">
        <v>49</v>
      </c>
      <c r="D161" t="s">
        <v>50</v>
      </c>
      <c r="E161" t="s">
        <v>26</v>
      </c>
      <c r="F161" t="s">
        <v>32</v>
      </c>
      <c r="G161" t="s">
        <v>16</v>
      </c>
      <c r="H161">
        <v>3</v>
      </c>
      <c r="I161">
        <v>87.81</v>
      </c>
      <c r="J161">
        <v>263.43</v>
      </c>
      <c r="K161" t="s">
        <v>17</v>
      </c>
    </row>
    <row r="162" spans="1:11" x14ac:dyDescent="0.25">
      <c r="A162" s="1">
        <v>44657</v>
      </c>
      <c r="B162" t="s">
        <v>28</v>
      </c>
      <c r="C162" t="s">
        <v>29</v>
      </c>
      <c r="D162" t="s">
        <v>25</v>
      </c>
      <c r="E162" t="s">
        <v>30</v>
      </c>
      <c r="F162" t="s">
        <v>40</v>
      </c>
      <c r="G162" t="s">
        <v>16</v>
      </c>
      <c r="H162">
        <v>2</v>
      </c>
      <c r="I162">
        <v>283.60000000000002</v>
      </c>
      <c r="J162" s="10">
        <v>567.20000000000005</v>
      </c>
      <c r="K162" t="s">
        <v>35</v>
      </c>
    </row>
    <row r="163" spans="1:11" hidden="1" x14ac:dyDescent="0.25">
      <c r="A163" s="1">
        <v>44784</v>
      </c>
      <c r="B163" t="s">
        <v>48</v>
      </c>
      <c r="C163" t="s">
        <v>49</v>
      </c>
      <c r="D163" t="s">
        <v>50</v>
      </c>
      <c r="E163" t="s">
        <v>30</v>
      </c>
      <c r="F163" t="s">
        <v>15</v>
      </c>
      <c r="G163" t="s">
        <v>16</v>
      </c>
      <c r="H163">
        <v>2</v>
      </c>
      <c r="I163">
        <v>194.31</v>
      </c>
      <c r="J163">
        <v>388.62</v>
      </c>
      <c r="K163" t="s">
        <v>35</v>
      </c>
    </row>
    <row r="164" spans="1:11" x14ac:dyDescent="0.25">
      <c r="A164" s="1">
        <v>44735</v>
      </c>
      <c r="B164" t="s">
        <v>41</v>
      </c>
      <c r="C164" t="s">
        <v>29</v>
      </c>
      <c r="D164" t="s">
        <v>42</v>
      </c>
      <c r="E164" t="s">
        <v>14</v>
      </c>
      <c r="F164" t="s">
        <v>15</v>
      </c>
      <c r="G164" t="s">
        <v>16</v>
      </c>
      <c r="H164">
        <v>4</v>
      </c>
      <c r="I164">
        <v>199.68</v>
      </c>
      <c r="J164" s="10">
        <v>798.72</v>
      </c>
      <c r="K164" t="s">
        <v>36</v>
      </c>
    </row>
    <row r="165" spans="1:11" x14ac:dyDescent="0.25">
      <c r="A165" s="1">
        <v>44659</v>
      </c>
      <c r="B165" t="s">
        <v>11</v>
      </c>
      <c r="C165" t="s">
        <v>12</v>
      </c>
      <c r="D165" t="s">
        <v>13</v>
      </c>
      <c r="E165" t="s">
        <v>26</v>
      </c>
      <c r="F165" t="s">
        <v>40</v>
      </c>
      <c r="G165" t="s">
        <v>16</v>
      </c>
      <c r="H165">
        <v>5</v>
      </c>
      <c r="I165">
        <v>145.47</v>
      </c>
      <c r="J165" s="10">
        <v>727.35</v>
      </c>
      <c r="K165" t="s">
        <v>17</v>
      </c>
    </row>
    <row r="166" spans="1:11" x14ac:dyDescent="0.25">
      <c r="A166" s="1">
        <v>44592</v>
      </c>
      <c r="B166" t="s">
        <v>41</v>
      </c>
      <c r="C166" t="s">
        <v>29</v>
      </c>
      <c r="D166" t="s">
        <v>42</v>
      </c>
      <c r="E166" t="s">
        <v>26</v>
      </c>
      <c r="F166" t="s">
        <v>15</v>
      </c>
      <c r="G166" t="s">
        <v>33</v>
      </c>
      <c r="H166">
        <v>1</v>
      </c>
      <c r="I166">
        <v>141.11000000000001</v>
      </c>
      <c r="J166" s="10">
        <v>141.11000000000001</v>
      </c>
      <c r="K166" t="s">
        <v>35</v>
      </c>
    </row>
    <row r="167" spans="1:11" x14ac:dyDescent="0.25">
      <c r="A167" s="1">
        <v>44667</v>
      </c>
      <c r="B167" t="s">
        <v>31</v>
      </c>
      <c r="C167" t="s">
        <v>19</v>
      </c>
      <c r="D167" t="s">
        <v>25</v>
      </c>
      <c r="E167" t="s">
        <v>26</v>
      </c>
      <c r="F167" t="s">
        <v>32</v>
      </c>
      <c r="G167" t="s">
        <v>34</v>
      </c>
      <c r="H167">
        <v>2</v>
      </c>
      <c r="I167">
        <v>188.4</v>
      </c>
      <c r="J167" s="10">
        <v>376.8</v>
      </c>
      <c r="K167" t="s">
        <v>17</v>
      </c>
    </row>
    <row r="168" spans="1:11" x14ac:dyDescent="0.25">
      <c r="A168" s="1">
        <v>44650</v>
      </c>
      <c r="B168" t="s">
        <v>41</v>
      </c>
      <c r="C168" t="s">
        <v>29</v>
      </c>
      <c r="D168" t="s">
        <v>42</v>
      </c>
      <c r="E168" t="s">
        <v>30</v>
      </c>
      <c r="F168" t="s">
        <v>15</v>
      </c>
      <c r="G168" t="s">
        <v>27</v>
      </c>
      <c r="H168">
        <v>4</v>
      </c>
      <c r="I168">
        <v>145.28</v>
      </c>
      <c r="J168" s="10">
        <v>581.12</v>
      </c>
      <c r="K168" t="s">
        <v>17</v>
      </c>
    </row>
    <row r="169" spans="1:11" x14ac:dyDescent="0.25">
      <c r="A169" s="1">
        <v>44757</v>
      </c>
      <c r="B169" t="s">
        <v>44</v>
      </c>
      <c r="C169" t="s">
        <v>19</v>
      </c>
      <c r="D169" t="s">
        <v>20</v>
      </c>
      <c r="E169" t="s">
        <v>30</v>
      </c>
      <c r="F169" t="s">
        <v>21</v>
      </c>
      <c r="G169" t="s">
        <v>33</v>
      </c>
      <c r="H169">
        <v>2</v>
      </c>
      <c r="I169">
        <v>277.48</v>
      </c>
      <c r="J169" s="10">
        <v>554.96</v>
      </c>
      <c r="K169" t="s">
        <v>17</v>
      </c>
    </row>
    <row r="170" spans="1:11" x14ac:dyDescent="0.25">
      <c r="A170" s="1">
        <v>44789</v>
      </c>
      <c r="B170" t="s">
        <v>28</v>
      </c>
      <c r="C170" t="s">
        <v>29</v>
      </c>
      <c r="D170" t="s">
        <v>25</v>
      </c>
      <c r="E170" t="s">
        <v>26</v>
      </c>
      <c r="F170" t="s">
        <v>15</v>
      </c>
      <c r="G170" t="s">
        <v>16</v>
      </c>
      <c r="H170">
        <v>4</v>
      </c>
      <c r="I170">
        <v>153.56</v>
      </c>
      <c r="J170" s="10">
        <v>614.24</v>
      </c>
      <c r="K170" t="s">
        <v>36</v>
      </c>
    </row>
    <row r="171" spans="1:11" x14ac:dyDescent="0.25">
      <c r="A171" s="1">
        <v>44635</v>
      </c>
      <c r="B171" t="s">
        <v>11</v>
      </c>
      <c r="C171" t="s">
        <v>12</v>
      </c>
      <c r="D171" t="s">
        <v>13</v>
      </c>
      <c r="E171" t="s">
        <v>30</v>
      </c>
      <c r="F171" t="s">
        <v>32</v>
      </c>
      <c r="G171" t="s">
        <v>16</v>
      </c>
      <c r="H171">
        <v>2</v>
      </c>
      <c r="I171">
        <v>74.83</v>
      </c>
      <c r="J171" s="10">
        <v>149.66</v>
      </c>
      <c r="K171" t="s">
        <v>17</v>
      </c>
    </row>
    <row r="172" spans="1:11" x14ac:dyDescent="0.25">
      <c r="A172" s="1">
        <v>44748</v>
      </c>
      <c r="B172" t="s">
        <v>41</v>
      </c>
      <c r="C172" t="s">
        <v>29</v>
      </c>
      <c r="D172" t="s">
        <v>42</v>
      </c>
      <c r="E172" t="s">
        <v>26</v>
      </c>
      <c r="F172" t="s">
        <v>15</v>
      </c>
      <c r="G172" t="s">
        <v>27</v>
      </c>
      <c r="H172">
        <v>1</v>
      </c>
      <c r="I172">
        <v>136.80000000000001</v>
      </c>
      <c r="J172" s="10">
        <v>136.80000000000001</v>
      </c>
      <c r="K172" t="s">
        <v>35</v>
      </c>
    </row>
    <row r="173" spans="1:11" x14ac:dyDescent="0.25">
      <c r="A173" s="1">
        <v>44738</v>
      </c>
      <c r="B173" t="s">
        <v>18</v>
      </c>
      <c r="C173" t="s">
        <v>19</v>
      </c>
      <c r="D173" t="s">
        <v>20</v>
      </c>
      <c r="E173" t="s">
        <v>14</v>
      </c>
      <c r="F173" t="s">
        <v>32</v>
      </c>
      <c r="G173" t="s">
        <v>22</v>
      </c>
      <c r="H173">
        <v>3</v>
      </c>
      <c r="I173">
        <v>209.69</v>
      </c>
      <c r="J173" s="10">
        <v>629.07000000000005</v>
      </c>
      <c r="K173" t="s">
        <v>36</v>
      </c>
    </row>
    <row r="174" spans="1:11" x14ac:dyDescent="0.25">
      <c r="A174" s="1">
        <v>44638</v>
      </c>
      <c r="B174" t="s">
        <v>41</v>
      </c>
      <c r="C174" t="s">
        <v>29</v>
      </c>
      <c r="D174" t="s">
        <v>42</v>
      </c>
      <c r="E174" t="s">
        <v>30</v>
      </c>
      <c r="F174" t="s">
        <v>32</v>
      </c>
      <c r="G174" t="s">
        <v>43</v>
      </c>
      <c r="H174">
        <v>3</v>
      </c>
      <c r="I174">
        <v>200.87</v>
      </c>
      <c r="J174" s="10">
        <v>602.61</v>
      </c>
      <c r="K174" t="s">
        <v>23</v>
      </c>
    </row>
    <row r="175" spans="1:11" hidden="1" x14ac:dyDescent="0.25">
      <c r="A175" s="1">
        <v>44596</v>
      </c>
      <c r="B175" t="s">
        <v>48</v>
      </c>
      <c r="C175" t="s">
        <v>49</v>
      </c>
      <c r="D175" t="s">
        <v>50</v>
      </c>
      <c r="E175" t="s">
        <v>30</v>
      </c>
      <c r="F175" t="s">
        <v>21</v>
      </c>
      <c r="G175" t="s">
        <v>16</v>
      </c>
      <c r="H175">
        <v>1</v>
      </c>
      <c r="I175">
        <v>221.26</v>
      </c>
      <c r="J175">
        <v>221.26</v>
      </c>
      <c r="K175" t="s">
        <v>17</v>
      </c>
    </row>
    <row r="176" spans="1:11" x14ac:dyDescent="0.25">
      <c r="A176" s="1">
        <v>44564</v>
      </c>
      <c r="B176" t="s">
        <v>24</v>
      </c>
      <c r="C176" t="s">
        <v>19</v>
      </c>
      <c r="D176" t="s">
        <v>25</v>
      </c>
      <c r="E176" t="s">
        <v>26</v>
      </c>
      <c r="F176" t="s">
        <v>21</v>
      </c>
      <c r="G176" t="s">
        <v>22</v>
      </c>
      <c r="H176">
        <v>5</v>
      </c>
      <c r="I176">
        <v>176.98</v>
      </c>
      <c r="J176" s="10">
        <v>884.9</v>
      </c>
      <c r="K176" t="s">
        <v>17</v>
      </c>
    </row>
    <row r="177" spans="1:11" hidden="1" x14ac:dyDescent="0.25">
      <c r="A177" s="1">
        <v>44779</v>
      </c>
      <c r="B177" t="s">
        <v>45</v>
      </c>
      <c r="C177" t="s">
        <v>46</v>
      </c>
      <c r="D177" t="s">
        <v>47</v>
      </c>
      <c r="E177" t="s">
        <v>30</v>
      </c>
      <c r="F177" t="s">
        <v>32</v>
      </c>
      <c r="G177" t="s">
        <v>34</v>
      </c>
      <c r="H177">
        <v>5</v>
      </c>
      <c r="I177">
        <v>77.08</v>
      </c>
      <c r="J177">
        <v>385.4</v>
      </c>
      <c r="K177" t="s">
        <v>36</v>
      </c>
    </row>
    <row r="178" spans="1:11" x14ac:dyDescent="0.25">
      <c r="A178" s="1">
        <v>44626</v>
      </c>
      <c r="B178" t="s">
        <v>31</v>
      </c>
      <c r="C178" t="s">
        <v>19</v>
      </c>
      <c r="D178" t="s">
        <v>25</v>
      </c>
      <c r="E178" t="s">
        <v>30</v>
      </c>
      <c r="F178" t="s">
        <v>32</v>
      </c>
      <c r="G178" t="s">
        <v>39</v>
      </c>
      <c r="H178">
        <v>4</v>
      </c>
      <c r="I178">
        <v>239.54</v>
      </c>
      <c r="J178" s="10">
        <v>958.16</v>
      </c>
      <c r="K178" t="s">
        <v>36</v>
      </c>
    </row>
    <row r="179" spans="1:11" x14ac:dyDescent="0.25">
      <c r="A179" s="1">
        <v>44639</v>
      </c>
      <c r="B179" t="s">
        <v>41</v>
      </c>
      <c r="C179" t="s">
        <v>29</v>
      </c>
      <c r="D179" t="s">
        <v>42</v>
      </c>
      <c r="E179" t="s">
        <v>30</v>
      </c>
      <c r="F179" t="s">
        <v>21</v>
      </c>
      <c r="G179" t="s">
        <v>43</v>
      </c>
      <c r="H179">
        <v>5</v>
      </c>
      <c r="I179">
        <v>179.54</v>
      </c>
      <c r="J179" s="10">
        <v>897.7</v>
      </c>
      <c r="K179" t="s">
        <v>35</v>
      </c>
    </row>
    <row r="180" spans="1:11" x14ac:dyDescent="0.25">
      <c r="A180" s="1">
        <v>44656</v>
      </c>
      <c r="B180" t="s">
        <v>37</v>
      </c>
      <c r="C180" t="s">
        <v>29</v>
      </c>
      <c r="D180" t="s">
        <v>38</v>
      </c>
      <c r="E180" t="s">
        <v>26</v>
      </c>
      <c r="F180" t="s">
        <v>21</v>
      </c>
      <c r="G180" t="s">
        <v>39</v>
      </c>
      <c r="H180">
        <v>3</v>
      </c>
      <c r="I180">
        <v>274.23</v>
      </c>
      <c r="J180" s="10">
        <v>822.69</v>
      </c>
      <c r="K180" t="s">
        <v>23</v>
      </c>
    </row>
    <row r="181" spans="1:11" x14ac:dyDescent="0.25">
      <c r="A181" s="1">
        <v>44631</v>
      </c>
      <c r="B181" t="s">
        <v>28</v>
      </c>
      <c r="C181" t="s">
        <v>29</v>
      </c>
      <c r="D181" t="s">
        <v>25</v>
      </c>
      <c r="E181" t="s">
        <v>26</v>
      </c>
      <c r="F181" t="s">
        <v>15</v>
      </c>
      <c r="G181" t="s">
        <v>43</v>
      </c>
      <c r="H181">
        <v>5</v>
      </c>
      <c r="I181">
        <v>99.89</v>
      </c>
      <c r="J181" s="10">
        <v>499.45</v>
      </c>
      <c r="K181" t="s">
        <v>23</v>
      </c>
    </row>
    <row r="182" spans="1:11" x14ac:dyDescent="0.25">
      <c r="A182" s="1">
        <v>44654</v>
      </c>
      <c r="B182" t="s">
        <v>18</v>
      </c>
      <c r="C182" t="s">
        <v>19</v>
      </c>
      <c r="D182" t="s">
        <v>20</v>
      </c>
      <c r="E182" t="s">
        <v>26</v>
      </c>
      <c r="F182" t="s">
        <v>40</v>
      </c>
      <c r="G182" t="s">
        <v>34</v>
      </c>
      <c r="H182">
        <v>4</v>
      </c>
      <c r="I182">
        <v>148.11000000000001</v>
      </c>
      <c r="J182" s="10">
        <v>592.44000000000005</v>
      </c>
      <c r="K182" t="s">
        <v>23</v>
      </c>
    </row>
    <row r="183" spans="1:11" x14ac:dyDescent="0.25">
      <c r="A183" s="1">
        <v>44742</v>
      </c>
      <c r="B183" t="s">
        <v>31</v>
      </c>
      <c r="C183" t="s">
        <v>19</v>
      </c>
      <c r="D183" t="s">
        <v>25</v>
      </c>
      <c r="E183" t="s">
        <v>14</v>
      </c>
      <c r="F183" t="s">
        <v>40</v>
      </c>
      <c r="G183" t="s">
        <v>43</v>
      </c>
      <c r="H183">
        <v>5</v>
      </c>
      <c r="I183">
        <v>81.97</v>
      </c>
      <c r="J183" s="10">
        <v>409.85</v>
      </c>
      <c r="K183" t="s">
        <v>23</v>
      </c>
    </row>
    <row r="184" spans="1:11" x14ac:dyDescent="0.25">
      <c r="A184" s="1">
        <v>44570</v>
      </c>
      <c r="B184" t="s">
        <v>18</v>
      </c>
      <c r="C184" t="s">
        <v>19</v>
      </c>
      <c r="D184" t="s">
        <v>20</v>
      </c>
      <c r="E184" t="s">
        <v>26</v>
      </c>
      <c r="F184" t="s">
        <v>15</v>
      </c>
      <c r="G184" t="s">
        <v>43</v>
      </c>
      <c r="H184">
        <v>3</v>
      </c>
      <c r="I184">
        <v>291.29000000000002</v>
      </c>
      <c r="J184" s="10">
        <v>873.87</v>
      </c>
      <c r="K184" t="s">
        <v>36</v>
      </c>
    </row>
    <row r="185" spans="1:11" x14ac:dyDescent="0.25">
      <c r="A185" s="1">
        <v>44683</v>
      </c>
      <c r="B185" t="s">
        <v>44</v>
      </c>
      <c r="C185" t="s">
        <v>19</v>
      </c>
      <c r="D185" t="s">
        <v>20</v>
      </c>
      <c r="E185" t="s">
        <v>30</v>
      </c>
      <c r="F185" t="s">
        <v>21</v>
      </c>
      <c r="G185" t="s">
        <v>39</v>
      </c>
      <c r="H185">
        <v>5</v>
      </c>
      <c r="I185">
        <v>138.94999999999999</v>
      </c>
      <c r="J185" s="10">
        <v>694.75</v>
      </c>
      <c r="K185" t="s">
        <v>35</v>
      </c>
    </row>
    <row r="186" spans="1:11" x14ac:dyDescent="0.25">
      <c r="A186" s="1">
        <v>44588</v>
      </c>
      <c r="B186" t="s">
        <v>44</v>
      </c>
      <c r="C186" t="s">
        <v>19</v>
      </c>
      <c r="D186" t="s">
        <v>20</v>
      </c>
      <c r="E186" t="s">
        <v>30</v>
      </c>
      <c r="F186" t="s">
        <v>21</v>
      </c>
      <c r="G186" t="s">
        <v>16</v>
      </c>
      <c r="H186">
        <v>4</v>
      </c>
      <c r="I186">
        <v>208.19</v>
      </c>
      <c r="J186" s="10">
        <v>832.76</v>
      </c>
      <c r="K186" t="s">
        <v>36</v>
      </c>
    </row>
    <row r="187" spans="1:11" x14ac:dyDescent="0.25">
      <c r="A187" s="1">
        <v>44769</v>
      </c>
      <c r="B187" t="s">
        <v>31</v>
      </c>
      <c r="C187" t="s">
        <v>19</v>
      </c>
      <c r="D187" t="s">
        <v>25</v>
      </c>
      <c r="E187" t="s">
        <v>30</v>
      </c>
      <c r="F187" t="s">
        <v>15</v>
      </c>
      <c r="G187" t="s">
        <v>43</v>
      </c>
      <c r="H187">
        <v>5</v>
      </c>
      <c r="I187">
        <v>291.7</v>
      </c>
      <c r="J187" s="10">
        <v>1458.5</v>
      </c>
      <c r="K187" t="s">
        <v>36</v>
      </c>
    </row>
    <row r="188" spans="1:11" x14ac:dyDescent="0.25">
      <c r="A188" s="1">
        <v>44722</v>
      </c>
      <c r="B188" t="s">
        <v>11</v>
      </c>
      <c r="C188" t="s">
        <v>12</v>
      </c>
      <c r="D188" t="s">
        <v>13</v>
      </c>
      <c r="E188" t="s">
        <v>26</v>
      </c>
      <c r="F188" t="s">
        <v>40</v>
      </c>
      <c r="G188" t="s">
        <v>33</v>
      </c>
      <c r="H188">
        <v>3</v>
      </c>
      <c r="I188">
        <v>209.89</v>
      </c>
      <c r="J188" s="10">
        <v>629.66999999999996</v>
      </c>
      <c r="K188" t="s">
        <v>35</v>
      </c>
    </row>
    <row r="189" spans="1:11" x14ac:dyDescent="0.25">
      <c r="A189" s="1">
        <v>44685</v>
      </c>
      <c r="B189" t="s">
        <v>31</v>
      </c>
      <c r="C189" t="s">
        <v>19</v>
      </c>
      <c r="D189" t="s">
        <v>25</v>
      </c>
      <c r="E189" t="s">
        <v>14</v>
      </c>
      <c r="F189" t="s">
        <v>32</v>
      </c>
      <c r="G189" t="s">
        <v>16</v>
      </c>
      <c r="H189">
        <v>4</v>
      </c>
      <c r="I189">
        <v>171.49</v>
      </c>
      <c r="J189" s="10">
        <v>685.96</v>
      </c>
      <c r="K189" t="s">
        <v>23</v>
      </c>
    </row>
    <row r="190" spans="1:11" x14ac:dyDescent="0.25">
      <c r="A190" s="1">
        <v>44578</v>
      </c>
      <c r="B190" t="s">
        <v>28</v>
      </c>
      <c r="C190" t="s">
        <v>29</v>
      </c>
      <c r="D190" t="s">
        <v>25</v>
      </c>
      <c r="E190" t="s">
        <v>30</v>
      </c>
      <c r="F190" t="s">
        <v>32</v>
      </c>
      <c r="G190" t="s">
        <v>27</v>
      </c>
      <c r="H190">
        <v>3</v>
      </c>
      <c r="I190">
        <v>156.22</v>
      </c>
      <c r="J190" s="10">
        <v>468.66</v>
      </c>
      <c r="K190" t="s">
        <v>36</v>
      </c>
    </row>
    <row r="191" spans="1:11" x14ac:dyDescent="0.25">
      <c r="A191" s="1">
        <v>44719</v>
      </c>
      <c r="B191" t="s">
        <v>18</v>
      </c>
      <c r="C191" t="s">
        <v>19</v>
      </c>
      <c r="D191" t="s">
        <v>20</v>
      </c>
      <c r="E191" t="s">
        <v>30</v>
      </c>
      <c r="F191" t="s">
        <v>21</v>
      </c>
      <c r="G191" t="s">
        <v>16</v>
      </c>
      <c r="H191">
        <v>4</v>
      </c>
      <c r="I191">
        <v>158.82</v>
      </c>
      <c r="J191" s="10">
        <v>635.28</v>
      </c>
      <c r="K191" t="s">
        <v>35</v>
      </c>
    </row>
    <row r="192" spans="1:11" x14ac:dyDescent="0.25">
      <c r="A192" s="1">
        <v>44754</v>
      </c>
      <c r="B192" t="s">
        <v>37</v>
      </c>
      <c r="C192" t="s">
        <v>29</v>
      </c>
      <c r="D192" t="s">
        <v>38</v>
      </c>
      <c r="E192" t="s">
        <v>30</v>
      </c>
      <c r="F192" t="s">
        <v>40</v>
      </c>
      <c r="G192" t="s">
        <v>34</v>
      </c>
      <c r="H192">
        <v>3</v>
      </c>
      <c r="I192">
        <v>218.91</v>
      </c>
      <c r="J192" s="10">
        <v>656.73</v>
      </c>
      <c r="K192" t="s">
        <v>36</v>
      </c>
    </row>
    <row r="193" spans="1:11" x14ac:dyDescent="0.25">
      <c r="A193" s="1">
        <v>44769</v>
      </c>
      <c r="B193" t="s">
        <v>41</v>
      </c>
      <c r="C193" t="s">
        <v>29</v>
      </c>
      <c r="D193" t="s">
        <v>42</v>
      </c>
      <c r="E193" t="s">
        <v>26</v>
      </c>
      <c r="F193" t="s">
        <v>15</v>
      </c>
      <c r="G193" t="s">
        <v>33</v>
      </c>
      <c r="H193">
        <v>5</v>
      </c>
      <c r="I193">
        <v>54.88</v>
      </c>
      <c r="J193" s="10">
        <v>274.39999999999998</v>
      </c>
      <c r="K193" t="s">
        <v>36</v>
      </c>
    </row>
    <row r="194" spans="1:11" hidden="1" x14ac:dyDescent="0.25">
      <c r="A194" s="1">
        <v>44689</v>
      </c>
      <c r="B194" t="s">
        <v>45</v>
      </c>
      <c r="C194" t="s">
        <v>46</v>
      </c>
      <c r="D194" t="s">
        <v>47</v>
      </c>
      <c r="E194" t="s">
        <v>26</v>
      </c>
      <c r="F194" t="s">
        <v>40</v>
      </c>
      <c r="G194" t="s">
        <v>39</v>
      </c>
      <c r="H194">
        <v>1</v>
      </c>
      <c r="I194">
        <v>75.27</v>
      </c>
      <c r="J194">
        <v>75.27</v>
      </c>
      <c r="K194" t="s">
        <v>17</v>
      </c>
    </row>
    <row r="195" spans="1:11" hidden="1" x14ac:dyDescent="0.25">
      <c r="A195" s="1">
        <v>44724</v>
      </c>
      <c r="B195" t="s">
        <v>48</v>
      </c>
      <c r="C195" t="s">
        <v>49</v>
      </c>
      <c r="D195" t="s">
        <v>50</v>
      </c>
      <c r="E195" t="s">
        <v>30</v>
      </c>
      <c r="F195" t="s">
        <v>15</v>
      </c>
      <c r="G195" t="s">
        <v>43</v>
      </c>
      <c r="H195">
        <v>1</v>
      </c>
      <c r="I195">
        <v>144.04</v>
      </c>
      <c r="J195">
        <v>144.04</v>
      </c>
      <c r="K195" t="s">
        <v>23</v>
      </c>
    </row>
    <row r="196" spans="1:11" x14ac:dyDescent="0.25">
      <c r="A196" s="1">
        <v>44768</v>
      </c>
      <c r="B196" t="s">
        <v>31</v>
      </c>
      <c r="C196" t="s">
        <v>19</v>
      </c>
      <c r="D196" t="s">
        <v>25</v>
      </c>
      <c r="E196" t="s">
        <v>30</v>
      </c>
      <c r="F196" t="s">
        <v>21</v>
      </c>
      <c r="G196" t="s">
        <v>27</v>
      </c>
      <c r="H196">
        <v>4</v>
      </c>
      <c r="I196">
        <v>196.45</v>
      </c>
      <c r="J196" s="10">
        <v>785.8</v>
      </c>
      <c r="K196" t="s">
        <v>35</v>
      </c>
    </row>
    <row r="197" spans="1:11" x14ac:dyDescent="0.25">
      <c r="A197" s="1">
        <v>44578</v>
      </c>
      <c r="B197" t="s">
        <v>24</v>
      </c>
      <c r="C197" t="s">
        <v>19</v>
      </c>
      <c r="D197" t="s">
        <v>25</v>
      </c>
      <c r="E197" t="s">
        <v>30</v>
      </c>
      <c r="F197" t="s">
        <v>15</v>
      </c>
      <c r="G197" t="s">
        <v>22</v>
      </c>
      <c r="H197">
        <v>3</v>
      </c>
      <c r="I197">
        <v>213.66</v>
      </c>
      <c r="J197" s="10">
        <v>640.98</v>
      </c>
      <c r="K197" t="s">
        <v>17</v>
      </c>
    </row>
    <row r="198" spans="1:11" x14ac:dyDescent="0.25">
      <c r="A198" s="1">
        <v>44789</v>
      </c>
      <c r="B198" t="s">
        <v>18</v>
      </c>
      <c r="C198" t="s">
        <v>19</v>
      </c>
      <c r="D198" t="s">
        <v>20</v>
      </c>
      <c r="E198" t="s">
        <v>30</v>
      </c>
      <c r="F198" t="s">
        <v>21</v>
      </c>
      <c r="G198" t="s">
        <v>34</v>
      </c>
      <c r="H198">
        <v>1</v>
      </c>
      <c r="I198">
        <v>164.57</v>
      </c>
      <c r="J198" s="10">
        <v>164.57</v>
      </c>
      <c r="K198" t="s">
        <v>23</v>
      </c>
    </row>
    <row r="199" spans="1:11" x14ac:dyDescent="0.25">
      <c r="A199" s="1">
        <v>44664</v>
      </c>
      <c r="B199" t="s">
        <v>31</v>
      </c>
      <c r="C199" t="s">
        <v>19</v>
      </c>
      <c r="D199" t="s">
        <v>25</v>
      </c>
      <c r="E199" t="s">
        <v>30</v>
      </c>
      <c r="F199" t="s">
        <v>32</v>
      </c>
      <c r="G199" t="s">
        <v>39</v>
      </c>
      <c r="H199">
        <v>4</v>
      </c>
      <c r="I199">
        <v>203.25</v>
      </c>
      <c r="J199" s="10">
        <v>813</v>
      </c>
      <c r="K199" t="s">
        <v>36</v>
      </c>
    </row>
    <row r="200" spans="1:11" x14ac:dyDescent="0.25">
      <c r="A200" s="1">
        <v>44694</v>
      </c>
      <c r="B200" t="s">
        <v>37</v>
      </c>
      <c r="C200" t="s">
        <v>29</v>
      </c>
      <c r="D200" t="s">
        <v>38</v>
      </c>
      <c r="E200" t="s">
        <v>26</v>
      </c>
      <c r="F200" t="s">
        <v>40</v>
      </c>
      <c r="G200" t="s">
        <v>34</v>
      </c>
      <c r="H200">
        <v>5</v>
      </c>
      <c r="I200">
        <v>91.11</v>
      </c>
      <c r="J200" s="10">
        <v>455.55</v>
      </c>
      <c r="K200" t="s">
        <v>23</v>
      </c>
    </row>
    <row r="201" spans="1:11" x14ac:dyDescent="0.25">
      <c r="A201" s="1">
        <v>44609</v>
      </c>
      <c r="B201" t="s">
        <v>37</v>
      </c>
      <c r="C201" t="s">
        <v>29</v>
      </c>
      <c r="D201" t="s">
        <v>38</v>
      </c>
      <c r="E201" t="s">
        <v>14</v>
      </c>
      <c r="F201" t="s">
        <v>21</v>
      </c>
      <c r="G201" t="s">
        <v>22</v>
      </c>
      <c r="H201">
        <v>3</v>
      </c>
      <c r="I201">
        <v>57.92</v>
      </c>
      <c r="J201" s="10">
        <v>173.76</v>
      </c>
      <c r="K201" t="s">
        <v>23</v>
      </c>
    </row>
    <row r="202" spans="1:11" x14ac:dyDescent="0.25">
      <c r="A202" s="1">
        <v>44773</v>
      </c>
      <c r="B202" t="s">
        <v>31</v>
      </c>
      <c r="C202" t="s">
        <v>19</v>
      </c>
      <c r="D202" t="s">
        <v>25</v>
      </c>
      <c r="E202" t="s">
        <v>26</v>
      </c>
      <c r="F202" t="s">
        <v>15</v>
      </c>
      <c r="G202" t="s">
        <v>16</v>
      </c>
      <c r="H202">
        <v>3</v>
      </c>
      <c r="I202">
        <v>209.3</v>
      </c>
      <c r="J202" s="10">
        <v>627.9</v>
      </c>
      <c r="K202" t="s">
        <v>36</v>
      </c>
    </row>
    <row r="203" spans="1:11" x14ac:dyDescent="0.25">
      <c r="A203" s="1">
        <v>44798</v>
      </c>
      <c r="B203" t="s">
        <v>44</v>
      </c>
      <c r="C203" t="s">
        <v>19</v>
      </c>
      <c r="D203" t="s">
        <v>20</v>
      </c>
      <c r="E203" t="s">
        <v>14</v>
      </c>
      <c r="F203" t="s">
        <v>32</v>
      </c>
      <c r="G203" t="s">
        <v>27</v>
      </c>
      <c r="H203">
        <v>1</v>
      </c>
      <c r="I203">
        <v>112.26</v>
      </c>
      <c r="J203" s="10">
        <v>112.26</v>
      </c>
      <c r="K203" t="s">
        <v>35</v>
      </c>
    </row>
    <row r="204" spans="1:11" x14ac:dyDescent="0.25">
      <c r="A204" s="1">
        <v>44803</v>
      </c>
      <c r="B204" t="s">
        <v>24</v>
      </c>
      <c r="C204" t="s">
        <v>19</v>
      </c>
      <c r="D204" t="s">
        <v>25</v>
      </c>
      <c r="E204" t="s">
        <v>26</v>
      </c>
      <c r="F204" t="s">
        <v>15</v>
      </c>
      <c r="G204" t="s">
        <v>39</v>
      </c>
      <c r="H204">
        <v>2</v>
      </c>
      <c r="I204">
        <v>216.83</v>
      </c>
      <c r="J204" s="10">
        <v>433.66</v>
      </c>
      <c r="K204" t="s">
        <v>35</v>
      </c>
    </row>
    <row r="205" spans="1:11" hidden="1" x14ac:dyDescent="0.25">
      <c r="A205" s="1">
        <v>44763</v>
      </c>
      <c r="B205" t="s">
        <v>48</v>
      </c>
      <c r="C205" t="s">
        <v>49</v>
      </c>
      <c r="D205" t="s">
        <v>50</v>
      </c>
      <c r="E205" t="s">
        <v>14</v>
      </c>
      <c r="F205" t="s">
        <v>15</v>
      </c>
      <c r="G205" t="s">
        <v>39</v>
      </c>
      <c r="H205">
        <v>5</v>
      </c>
      <c r="I205">
        <v>68.52</v>
      </c>
      <c r="J205">
        <v>342.6</v>
      </c>
      <c r="K205" t="s">
        <v>35</v>
      </c>
    </row>
    <row r="206" spans="1:11" x14ac:dyDescent="0.25">
      <c r="A206" s="1">
        <v>44775</v>
      </c>
      <c r="B206" t="s">
        <v>41</v>
      </c>
      <c r="C206" t="s">
        <v>29</v>
      </c>
      <c r="D206" t="s">
        <v>42</v>
      </c>
      <c r="E206" t="s">
        <v>30</v>
      </c>
      <c r="F206" t="s">
        <v>32</v>
      </c>
      <c r="G206" t="s">
        <v>39</v>
      </c>
      <c r="H206">
        <v>1</v>
      </c>
      <c r="I206">
        <v>98.04</v>
      </c>
      <c r="J206" s="10">
        <v>98.04</v>
      </c>
      <c r="K206" t="s">
        <v>23</v>
      </c>
    </row>
    <row r="207" spans="1:11" x14ac:dyDescent="0.25">
      <c r="A207" s="1">
        <v>44742</v>
      </c>
      <c r="B207" t="s">
        <v>11</v>
      </c>
      <c r="C207" t="s">
        <v>12</v>
      </c>
      <c r="D207" t="s">
        <v>13</v>
      </c>
      <c r="E207" t="s">
        <v>30</v>
      </c>
      <c r="F207" t="s">
        <v>32</v>
      </c>
      <c r="G207" t="s">
        <v>43</v>
      </c>
      <c r="H207">
        <v>5</v>
      </c>
      <c r="I207">
        <v>204.35</v>
      </c>
      <c r="J207" s="10">
        <v>1021.75</v>
      </c>
      <c r="K207" t="s">
        <v>36</v>
      </c>
    </row>
    <row r="208" spans="1:11" x14ac:dyDescent="0.25">
      <c r="A208" s="1">
        <v>44661</v>
      </c>
      <c r="B208" t="s">
        <v>24</v>
      </c>
      <c r="C208" t="s">
        <v>19</v>
      </c>
      <c r="D208" t="s">
        <v>25</v>
      </c>
      <c r="E208" t="s">
        <v>26</v>
      </c>
      <c r="F208" t="s">
        <v>21</v>
      </c>
      <c r="G208" t="s">
        <v>27</v>
      </c>
      <c r="H208">
        <v>4</v>
      </c>
      <c r="I208">
        <v>283.7</v>
      </c>
      <c r="J208" s="10">
        <v>1134.8</v>
      </c>
      <c r="K208" t="s">
        <v>17</v>
      </c>
    </row>
    <row r="209" spans="1:11" x14ac:dyDescent="0.25">
      <c r="A209" s="1">
        <v>44745</v>
      </c>
      <c r="B209" t="s">
        <v>37</v>
      </c>
      <c r="C209" t="s">
        <v>29</v>
      </c>
      <c r="D209" t="s">
        <v>38</v>
      </c>
      <c r="E209" t="s">
        <v>26</v>
      </c>
      <c r="F209" t="s">
        <v>15</v>
      </c>
      <c r="G209" t="s">
        <v>43</v>
      </c>
      <c r="H209">
        <v>4</v>
      </c>
      <c r="I209">
        <v>172.52</v>
      </c>
      <c r="J209" s="10">
        <v>690.08</v>
      </c>
      <c r="K209" t="s">
        <v>35</v>
      </c>
    </row>
    <row r="210" spans="1:11" x14ac:dyDescent="0.25">
      <c r="A210" s="1">
        <v>44618</v>
      </c>
      <c r="B210" t="s">
        <v>31</v>
      </c>
      <c r="C210" t="s">
        <v>19</v>
      </c>
      <c r="D210" t="s">
        <v>25</v>
      </c>
      <c r="E210" t="s">
        <v>30</v>
      </c>
      <c r="F210" t="s">
        <v>15</v>
      </c>
      <c r="G210" t="s">
        <v>22</v>
      </c>
      <c r="H210">
        <v>3</v>
      </c>
      <c r="I210">
        <v>51.81</v>
      </c>
      <c r="J210" s="10">
        <v>155.43</v>
      </c>
      <c r="K210" t="s">
        <v>36</v>
      </c>
    </row>
    <row r="211" spans="1:11" x14ac:dyDescent="0.25">
      <c r="A211" s="1">
        <v>44680</v>
      </c>
      <c r="B211" t="s">
        <v>28</v>
      </c>
      <c r="C211" t="s">
        <v>29</v>
      </c>
      <c r="D211" t="s">
        <v>25</v>
      </c>
      <c r="E211" t="s">
        <v>30</v>
      </c>
      <c r="F211" t="s">
        <v>40</v>
      </c>
      <c r="G211" t="s">
        <v>16</v>
      </c>
      <c r="H211">
        <v>5</v>
      </c>
      <c r="I211">
        <v>71.28</v>
      </c>
      <c r="J211" s="10">
        <v>356.4</v>
      </c>
      <c r="K211" t="s">
        <v>23</v>
      </c>
    </row>
    <row r="212" spans="1:11" x14ac:dyDescent="0.25">
      <c r="A212" s="1">
        <v>44616</v>
      </c>
      <c r="B212" t="s">
        <v>18</v>
      </c>
      <c r="C212" t="s">
        <v>19</v>
      </c>
      <c r="D212" t="s">
        <v>20</v>
      </c>
      <c r="E212" t="s">
        <v>14</v>
      </c>
      <c r="F212" t="s">
        <v>40</v>
      </c>
      <c r="G212" t="s">
        <v>39</v>
      </c>
      <c r="H212">
        <v>2</v>
      </c>
      <c r="I212">
        <v>248.44</v>
      </c>
      <c r="J212" s="10">
        <v>496.88</v>
      </c>
      <c r="K212" t="s">
        <v>23</v>
      </c>
    </row>
    <row r="213" spans="1:11" x14ac:dyDescent="0.25">
      <c r="A213" s="1">
        <v>44745</v>
      </c>
      <c r="B213" t="s">
        <v>18</v>
      </c>
      <c r="C213" t="s">
        <v>19</v>
      </c>
      <c r="D213" t="s">
        <v>20</v>
      </c>
      <c r="E213" t="s">
        <v>26</v>
      </c>
      <c r="F213" t="s">
        <v>40</v>
      </c>
      <c r="G213" t="s">
        <v>43</v>
      </c>
      <c r="H213">
        <v>2</v>
      </c>
      <c r="I213">
        <v>107.04</v>
      </c>
      <c r="J213" s="10">
        <v>214.08</v>
      </c>
      <c r="K213" t="s">
        <v>17</v>
      </c>
    </row>
    <row r="214" spans="1:11" hidden="1" x14ac:dyDescent="0.25">
      <c r="A214" s="1">
        <v>44803</v>
      </c>
      <c r="B214" t="s">
        <v>48</v>
      </c>
      <c r="C214" t="s">
        <v>49</v>
      </c>
      <c r="D214" t="s">
        <v>50</v>
      </c>
      <c r="E214" t="s">
        <v>26</v>
      </c>
      <c r="F214" t="s">
        <v>40</v>
      </c>
      <c r="G214" t="s">
        <v>33</v>
      </c>
      <c r="H214">
        <v>1</v>
      </c>
      <c r="I214">
        <v>132.07</v>
      </c>
      <c r="J214">
        <v>132.07</v>
      </c>
      <c r="K214" t="s">
        <v>36</v>
      </c>
    </row>
    <row r="215" spans="1:11" x14ac:dyDescent="0.25">
      <c r="A215" s="1">
        <v>44751</v>
      </c>
      <c r="B215" t="s">
        <v>24</v>
      </c>
      <c r="C215" t="s">
        <v>19</v>
      </c>
      <c r="D215" t="s">
        <v>25</v>
      </c>
      <c r="E215" t="s">
        <v>30</v>
      </c>
      <c r="F215" t="s">
        <v>32</v>
      </c>
      <c r="G215" t="s">
        <v>16</v>
      </c>
      <c r="H215">
        <v>3</v>
      </c>
      <c r="I215">
        <v>118.37</v>
      </c>
      <c r="J215" s="10">
        <v>355.11</v>
      </c>
      <c r="K215" t="s">
        <v>17</v>
      </c>
    </row>
    <row r="216" spans="1:11" x14ac:dyDescent="0.25">
      <c r="A216" s="1">
        <v>44669</v>
      </c>
      <c r="B216" t="s">
        <v>28</v>
      </c>
      <c r="C216" t="s">
        <v>29</v>
      </c>
      <c r="D216" t="s">
        <v>25</v>
      </c>
      <c r="E216" t="s">
        <v>26</v>
      </c>
      <c r="F216" t="s">
        <v>21</v>
      </c>
      <c r="G216" t="s">
        <v>27</v>
      </c>
      <c r="H216">
        <v>5</v>
      </c>
      <c r="I216">
        <v>243.74</v>
      </c>
      <c r="J216" s="10">
        <v>1218.7</v>
      </c>
      <c r="K216" t="s">
        <v>36</v>
      </c>
    </row>
    <row r="217" spans="1:11" x14ac:dyDescent="0.25">
      <c r="A217" s="1">
        <v>44577</v>
      </c>
      <c r="B217" t="s">
        <v>24</v>
      </c>
      <c r="C217" t="s">
        <v>19</v>
      </c>
      <c r="D217" t="s">
        <v>25</v>
      </c>
      <c r="E217" t="s">
        <v>14</v>
      </c>
      <c r="F217" t="s">
        <v>15</v>
      </c>
      <c r="G217" t="s">
        <v>16</v>
      </c>
      <c r="H217">
        <v>5</v>
      </c>
      <c r="I217">
        <v>150.02000000000001</v>
      </c>
      <c r="J217" s="10">
        <v>750.1</v>
      </c>
      <c r="K217" t="s">
        <v>23</v>
      </c>
    </row>
    <row r="218" spans="1:11" x14ac:dyDescent="0.25">
      <c r="A218" s="1">
        <v>44653</v>
      </c>
      <c r="B218" t="s">
        <v>28</v>
      </c>
      <c r="C218" t="s">
        <v>29</v>
      </c>
      <c r="D218" t="s">
        <v>25</v>
      </c>
      <c r="E218" t="s">
        <v>26</v>
      </c>
      <c r="F218" t="s">
        <v>21</v>
      </c>
      <c r="G218" t="s">
        <v>33</v>
      </c>
      <c r="H218">
        <v>3</v>
      </c>
      <c r="I218">
        <v>73.31</v>
      </c>
      <c r="J218" s="10">
        <v>219.93</v>
      </c>
      <c r="K218" t="s">
        <v>36</v>
      </c>
    </row>
    <row r="219" spans="1:11" hidden="1" x14ac:dyDescent="0.25">
      <c r="A219" s="1">
        <v>44798</v>
      </c>
      <c r="B219" t="s">
        <v>48</v>
      </c>
      <c r="C219" t="s">
        <v>49</v>
      </c>
      <c r="D219" t="s">
        <v>50</v>
      </c>
      <c r="E219" t="s">
        <v>30</v>
      </c>
      <c r="F219" t="s">
        <v>32</v>
      </c>
      <c r="G219" t="s">
        <v>33</v>
      </c>
      <c r="H219">
        <v>2</v>
      </c>
      <c r="I219">
        <v>176.24</v>
      </c>
      <c r="J219">
        <v>352.48</v>
      </c>
      <c r="K219" t="s">
        <v>23</v>
      </c>
    </row>
    <row r="220" spans="1:11" x14ac:dyDescent="0.25">
      <c r="A220" s="1">
        <v>44708</v>
      </c>
      <c r="B220" t="s">
        <v>44</v>
      </c>
      <c r="C220" t="s">
        <v>19</v>
      </c>
      <c r="D220" t="s">
        <v>20</v>
      </c>
      <c r="E220" t="s">
        <v>26</v>
      </c>
      <c r="F220" t="s">
        <v>40</v>
      </c>
      <c r="G220" t="s">
        <v>34</v>
      </c>
      <c r="H220">
        <v>5</v>
      </c>
      <c r="I220">
        <v>135.5</v>
      </c>
      <c r="J220" s="10">
        <v>677.5</v>
      </c>
      <c r="K220" t="s">
        <v>35</v>
      </c>
    </row>
    <row r="221" spans="1:11" x14ac:dyDescent="0.25">
      <c r="A221" s="1">
        <v>44791</v>
      </c>
      <c r="B221" t="s">
        <v>11</v>
      </c>
      <c r="C221" t="s">
        <v>12</v>
      </c>
      <c r="D221" t="s">
        <v>13</v>
      </c>
      <c r="E221" t="s">
        <v>30</v>
      </c>
      <c r="F221" t="s">
        <v>40</v>
      </c>
      <c r="G221" t="s">
        <v>39</v>
      </c>
      <c r="H221">
        <v>4</v>
      </c>
      <c r="I221">
        <v>250.12</v>
      </c>
      <c r="J221" s="10">
        <v>1000.48</v>
      </c>
      <c r="K221" t="s">
        <v>17</v>
      </c>
    </row>
    <row r="222" spans="1:11" x14ac:dyDescent="0.25">
      <c r="A222" s="1">
        <v>44745</v>
      </c>
      <c r="B222" t="s">
        <v>18</v>
      </c>
      <c r="C222" t="s">
        <v>19</v>
      </c>
      <c r="D222" t="s">
        <v>20</v>
      </c>
      <c r="E222" t="s">
        <v>26</v>
      </c>
      <c r="F222" t="s">
        <v>32</v>
      </c>
      <c r="G222" t="s">
        <v>33</v>
      </c>
      <c r="H222">
        <v>4</v>
      </c>
      <c r="I222">
        <v>145.88999999999999</v>
      </c>
      <c r="J222" s="10">
        <v>583.55999999999995</v>
      </c>
      <c r="K222" t="s">
        <v>17</v>
      </c>
    </row>
    <row r="223" spans="1:11" x14ac:dyDescent="0.25">
      <c r="A223" s="1">
        <v>44688</v>
      </c>
      <c r="B223" t="s">
        <v>28</v>
      </c>
      <c r="C223" t="s">
        <v>29</v>
      </c>
      <c r="D223" t="s">
        <v>25</v>
      </c>
      <c r="E223" t="s">
        <v>14</v>
      </c>
      <c r="F223" t="s">
        <v>32</v>
      </c>
      <c r="G223" t="s">
        <v>22</v>
      </c>
      <c r="H223">
        <v>4</v>
      </c>
      <c r="I223">
        <v>281.54000000000002</v>
      </c>
      <c r="J223" s="10">
        <v>1126.1600000000001</v>
      </c>
      <c r="K223" t="s">
        <v>36</v>
      </c>
    </row>
    <row r="224" spans="1:11" x14ac:dyDescent="0.25">
      <c r="A224" s="1">
        <v>44737</v>
      </c>
      <c r="B224" t="s">
        <v>31</v>
      </c>
      <c r="C224" t="s">
        <v>19</v>
      </c>
      <c r="D224" t="s">
        <v>25</v>
      </c>
      <c r="E224" t="s">
        <v>14</v>
      </c>
      <c r="F224" t="s">
        <v>32</v>
      </c>
      <c r="G224" t="s">
        <v>33</v>
      </c>
      <c r="H224">
        <v>4</v>
      </c>
      <c r="I224">
        <v>121.42</v>
      </c>
      <c r="J224" s="10">
        <v>485.68</v>
      </c>
      <c r="K224" t="s">
        <v>17</v>
      </c>
    </row>
    <row r="225" spans="1:11" x14ac:dyDescent="0.25">
      <c r="A225" s="1">
        <v>44715</v>
      </c>
      <c r="B225" t="s">
        <v>31</v>
      </c>
      <c r="C225" t="s">
        <v>19</v>
      </c>
      <c r="D225" t="s">
        <v>25</v>
      </c>
      <c r="E225" t="s">
        <v>26</v>
      </c>
      <c r="F225" t="s">
        <v>21</v>
      </c>
      <c r="G225" t="s">
        <v>43</v>
      </c>
      <c r="H225">
        <v>4</v>
      </c>
      <c r="I225">
        <v>265.91000000000003</v>
      </c>
      <c r="J225" s="10">
        <v>1063.6400000000001</v>
      </c>
      <c r="K225" t="s">
        <v>35</v>
      </c>
    </row>
    <row r="226" spans="1:11" x14ac:dyDescent="0.25">
      <c r="A226" s="1">
        <v>44586</v>
      </c>
      <c r="B226" t="s">
        <v>11</v>
      </c>
      <c r="C226" t="s">
        <v>12</v>
      </c>
      <c r="D226" t="s">
        <v>13</v>
      </c>
      <c r="E226" t="s">
        <v>26</v>
      </c>
      <c r="F226" t="s">
        <v>15</v>
      </c>
      <c r="G226" t="s">
        <v>27</v>
      </c>
      <c r="H226">
        <v>1</v>
      </c>
      <c r="I226">
        <v>240.42</v>
      </c>
      <c r="J226" s="10">
        <v>240.42</v>
      </c>
      <c r="K226" t="s">
        <v>17</v>
      </c>
    </row>
    <row r="227" spans="1:11" x14ac:dyDescent="0.25">
      <c r="A227" s="1">
        <v>44569</v>
      </c>
      <c r="B227" t="s">
        <v>44</v>
      </c>
      <c r="C227" t="s">
        <v>19</v>
      </c>
      <c r="D227" t="s">
        <v>20</v>
      </c>
      <c r="E227" t="s">
        <v>26</v>
      </c>
      <c r="F227" t="s">
        <v>40</v>
      </c>
      <c r="G227" t="s">
        <v>22</v>
      </c>
      <c r="H227">
        <v>5</v>
      </c>
      <c r="I227">
        <v>275.27</v>
      </c>
      <c r="J227" s="10">
        <v>1376.35</v>
      </c>
      <c r="K227" t="s">
        <v>17</v>
      </c>
    </row>
    <row r="228" spans="1:11" x14ac:dyDescent="0.25">
      <c r="A228" s="1">
        <v>44782</v>
      </c>
      <c r="B228" t="s">
        <v>41</v>
      </c>
      <c r="C228" t="s">
        <v>29</v>
      </c>
      <c r="D228" t="s">
        <v>42</v>
      </c>
      <c r="E228" t="s">
        <v>26</v>
      </c>
      <c r="F228" t="s">
        <v>21</v>
      </c>
      <c r="G228" t="s">
        <v>43</v>
      </c>
      <c r="H228">
        <v>3</v>
      </c>
      <c r="I228">
        <v>154.79</v>
      </c>
      <c r="J228" s="10">
        <v>464.37</v>
      </c>
      <c r="K228" t="s">
        <v>17</v>
      </c>
    </row>
    <row r="229" spans="1:11" x14ac:dyDescent="0.25">
      <c r="A229" s="1">
        <v>44786</v>
      </c>
      <c r="B229" t="s">
        <v>41</v>
      </c>
      <c r="C229" t="s">
        <v>29</v>
      </c>
      <c r="D229" t="s">
        <v>42</v>
      </c>
      <c r="E229" t="s">
        <v>14</v>
      </c>
      <c r="F229" t="s">
        <v>40</v>
      </c>
      <c r="G229" t="s">
        <v>43</v>
      </c>
      <c r="H229">
        <v>5</v>
      </c>
      <c r="I229">
        <v>139</v>
      </c>
      <c r="J229" s="10">
        <v>695</v>
      </c>
      <c r="K229" t="s">
        <v>35</v>
      </c>
    </row>
    <row r="230" spans="1:11" x14ac:dyDescent="0.25">
      <c r="A230" s="1">
        <v>44733</v>
      </c>
      <c r="B230" t="s">
        <v>28</v>
      </c>
      <c r="C230" t="s">
        <v>29</v>
      </c>
      <c r="D230" t="s">
        <v>25</v>
      </c>
      <c r="E230" t="s">
        <v>14</v>
      </c>
      <c r="F230" t="s">
        <v>21</v>
      </c>
      <c r="G230" t="s">
        <v>33</v>
      </c>
      <c r="H230">
        <v>3</v>
      </c>
      <c r="I230">
        <v>79.27</v>
      </c>
      <c r="J230" s="10">
        <v>237.81</v>
      </c>
      <c r="K230" t="s">
        <v>17</v>
      </c>
    </row>
    <row r="231" spans="1:11" x14ac:dyDescent="0.25">
      <c r="A231" s="1">
        <v>44796</v>
      </c>
      <c r="B231" t="s">
        <v>37</v>
      </c>
      <c r="C231" t="s">
        <v>29</v>
      </c>
      <c r="D231" t="s">
        <v>38</v>
      </c>
      <c r="E231" t="s">
        <v>30</v>
      </c>
      <c r="F231" t="s">
        <v>32</v>
      </c>
      <c r="G231" t="s">
        <v>39</v>
      </c>
      <c r="H231">
        <v>2</v>
      </c>
      <c r="I231">
        <v>237.1</v>
      </c>
      <c r="J231" s="10">
        <v>474.2</v>
      </c>
      <c r="K231" t="s">
        <v>23</v>
      </c>
    </row>
    <row r="232" spans="1:11" x14ac:dyDescent="0.25">
      <c r="A232" s="1">
        <v>44590</v>
      </c>
      <c r="B232" t="s">
        <v>37</v>
      </c>
      <c r="C232" t="s">
        <v>29</v>
      </c>
      <c r="D232" t="s">
        <v>38</v>
      </c>
      <c r="E232" t="s">
        <v>30</v>
      </c>
      <c r="F232" t="s">
        <v>32</v>
      </c>
      <c r="G232" t="s">
        <v>34</v>
      </c>
      <c r="H232">
        <v>4</v>
      </c>
      <c r="I232">
        <v>228.46</v>
      </c>
      <c r="J232" s="10">
        <v>913.84</v>
      </c>
      <c r="K232" t="s">
        <v>23</v>
      </c>
    </row>
    <row r="233" spans="1:11" x14ac:dyDescent="0.25">
      <c r="A233" s="1">
        <v>44724</v>
      </c>
      <c r="B233" t="s">
        <v>41</v>
      </c>
      <c r="C233" t="s">
        <v>29</v>
      </c>
      <c r="D233" t="s">
        <v>42</v>
      </c>
      <c r="E233" t="s">
        <v>30</v>
      </c>
      <c r="F233" t="s">
        <v>40</v>
      </c>
      <c r="G233" t="s">
        <v>39</v>
      </c>
      <c r="H233">
        <v>4</v>
      </c>
      <c r="I233">
        <v>52.42</v>
      </c>
      <c r="J233" s="10">
        <v>209.68</v>
      </c>
      <c r="K233" t="s">
        <v>36</v>
      </c>
    </row>
    <row r="234" spans="1:11" x14ac:dyDescent="0.25">
      <c r="A234" s="1">
        <v>44799</v>
      </c>
      <c r="B234" t="s">
        <v>24</v>
      </c>
      <c r="C234" t="s">
        <v>19</v>
      </c>
      <c r="D234" t="s">
        <v>25</v>
      </c>
      <c r="E234" t="s">
        <v>30</v>
      </c>
      <c r="F234" t="s">
        <v>15</v>
      </c>
      <c r="G234" t="s">
        <v>16</v>
      </c>
      <c r="H234">
        <v>3</v>
      </c>
      <c r="I234">
        <v>270.52</v>
      </c>
      <c r="J234" s="10">
        <v>811.56</v>
      </c>
      <c r="K234" t="s">
        <v>35</v>
      </c>
    </row>
    <row r="235" spans="1:11" x14ac:dyDescent="0.25">
      <c r="A235" s="1">
        <v>44569</v>
      </c>
      <c r="B235" t="s">
        <v>31</v>
      </c>
      <c r="C235" t="s">
        <v>19</v>
      </c>
      <c r="D235" t="s">
        <v>25</v>
      </c>
      <c r="E235" t="s">
        <v>14</v>
      </c>
      <c r="F235" t="s">
        <v>15</v>
      </c>
      <c r="G235" t="s">
        <v>34</v>
      </c>
      <c r="H235">
        <v>4</v>
      </c>
      <c r="I235">
        <v>119.36</v>
      </c>
      <c r="J235" s="10">
        <v>477.44</v>
      </c>
      <c r="K235" t="s">
        <v>23</v>
      </c>
    </row>
    <row r="236" spans="1:11" hidden="1" x14ac:dyDescent="0.25">
      <c r="A236" s="1">
        <v>44584</v>
      </c>
      <c r="B236" t="s">
        <v>45</v>
      </c>
      <c r="C236" t="s">
        <v>46</v>
      </c>
      <c r="D236" t="s">
        <v>47</v>
      </c>
      <c r="E236" t="s">
        <v>26</v>
      </c>
      <c r="F236" t="s">
        <v>15</v>
      </c>
      <c r="G236" t="s">
        <v>34</v>
      </c>
      <c r="H236">
        <v>3</v>
      </c>
      <c r="I236">
        <v>125.26</v>
      </c>
      <c r="J236">
        <v>375.78</v>
      </c>
      <c r="K236" t="s">
        <v>36</v>
      </c>
    </row>
    <row r="237" spans="1:11" x14ac:dyDescent="0.25">
      <c r="A237" s="1">
        <v>44714</v>
      </c>
      <c r="B237" t="s">
        <v>37</v>
      </c>
      <c r="C237" t="s">
        <v>29</v>
      </c>
      <c r="D237" t="s">
        <v>38</v>
      </c>
      <c r="E237" t="s">
        <v>26</v>
      </c>
      <c r="F237" t="s">
        <v>32</v>
      </c>
      <c r="G237" t="s">
        <v>39</v>
      </c>
      <c r="H237">
        <v>3</v>
      </c>
      <c r="I237">
        <v>296.55</v>
      </c>
      <c r="J237" s="10">
        <v>889.65</v>
      </c>
      <c r="K237" t="s">
        <v>17</v>
      </c>
    </row>
    <row r="238" spans="1:11" hidden="1" x14ac:dyDescent="0.25">
      <c r="A238" s="1">
        <v>44725</v>
      </c>
      <c r="B238" t="s">
        <v>48</v>
      </c>
      <c r="C238" t="s">
        <v>49</v>
      </c>
      <c r="D238" t="s">
        <v>50</v>
      </c>
      <c r="E238" t="s">
        <v>26</v>
      </c>
      <c r="F238" t="s">
        <v>32</v>
      </c>
      <c r="G238" t="s">
        <v>34</v>
      </c>
      <c r="H238">
        <v>1</v>
      </c>
      <c r="I238">
        <v>56.73</v>
      </c>
      <c r="J238">
        <v>56.73</v>
      </c>
      <c r="K238" t="s">
        <v>36</v>
      </c>
    </row>
    <row r="239" spans="1:11" x14ac:dyDescent="0.25">
      <c r="A239" s="1">
        <v>44579</v>
      </c>
      <c r="B239" t="s">
        <v>41</v>
      </c>
      <c r="C239" t="s">
        <v>29</v>
      </c>
      <c r="D239" t="s">
        <v>42</v>
      </c>
      <c r="E239" t="s">
        <v>14</v>
      </c>
      <c r="F239" t="s">
        <v>32</v>
      </c>
      <c r="G239" t="s">
        <v>34</v>
      </c>
      <c r="H239">
        <v>1</v>
      </c>
      <c r="I239">
        <v>91.56</v>
      </c>
      <c r="J239" s="10">
        <v>91.56</v>
      </c>
      <c r="K239" t="s">
        <v>35</v>
      </c>
    </row>
    <row r="240" spans="1:11" hidden="1" x14ac:dyDescent="0.25">
      <c r="A240" s="1">
        <v>44662</v>
      </c>
      <c r="B240" t="s">
        <v>45</v>
      </c>
      <c r="C240" t="s">
        <v>46</v>
      </c>
      <c r="D240" t="s">
        <v>47</v>
      </c>
      <c r="E240" t="s">
        <v>26</v>
      </c>
      <c r="F240" t="s">
        <v>21</v>
      </c>
      <c r="G240" t="s">
        <v>22</v>
      </c>
      <c r="H240">
        <v>2</v>
      </c>
      <c r="I240">
        <v>152.54</v>
      </c>
      <c r="J240">
        <v>305.08</v>
      </c>
      <c r="K240" t="s">
        <v>17</v>
      </c>
    </row>
    <row r="241" spans="1:11" hidden="1" x14ac:dyDescent="0.25">
      <c r="A241" s="1">
        <v>44746</v>
      </c>
      <c r="B241" t="s">
        <v>45</v>
      </c>
      <c r="C241" t="s">
        <v>46</v>
      </c>
      <c r="D241" t="s">
        <v>47</v>
      </c>
      <c r="E241" t="s">
        <v>26</v>
      </c>
      <c r="F241" t="s">
        <v>32</v>
      </c>
      <c r="G241" t="s">
        <v>33</v>
      </c>
      <c r="H241">
        <v>4</v>
      </c>
      <c r="I241">
        <v>61.37</v>
      </c>
      <c r="J241">
        <v>245.48</v>
      </c>
      <c r="K241" t="s">
        <v>23</v>
      </c>
    </row>
    <row r="242" spans="1:11" x14ac:dyDescent="0.25">
      <c r="A242" s="1">
        <v>44627</v>
      </c>
      <c r="B242" t="s">
        <v>37</v>
      </c>
      <c r="C242" t="s">
        <v>29</v>
      </c>
      <c r="D242" t="s">
        <v>38</v>
      </c>
      <c r="E242" t="s">
        <v>30</v>
      </c>
      <c r="F242" t="s">
        <v>21</v>
      </c>
      <c r="G242" t="s">
        <v>16</v>
      </c>
      <c r="H242">
        <v>3</v>
      </c>
      <c r="I242">
        <v>162.36000000000001</v>
      </c>
      <c r="J242" s="10">
        <v>487.08</v>
      </c>
      <c r="K242" t="s">
        <v>36</v>
      </c>
    </row>
    <row r="243" spans="1:11" x14ac:dyDescent="0.25">
      <c r="A243" s="1">
        <v>44741</v>
      </c>
      <c r="B243" t="s">
        <v>41</v>
      </c>
      <c r="C243" t="s">
        <v>29</v>
      </c>
      <c r="D243" t="s">
        <v>42</v>
      </c>
      <c r="E243" t="s">
        <v>30</v>
      </c>
      <c r="F243" t="s">
        <v>21</v>
      </c>
      <c r="G243" t="s">
        <v>22</v>
      </c>
      <c r="H243">
        <v>2</v>
      </c>
      <c r="I243">
        <v>257.5</v>
      </c>
      <c r="J243" s="10">
        <v>515</v>
      </c>
      <c r="K243" t="s">
        <v>35</v>
      </c>
    </row>
    <row r="244" spans="1:11" x14ac:dyDescent="0.25">
      <c r="A244" s="1">
        <v>44702</v>
      </c>
      <c r="B244" t="s">
        <v>24</v>
      </c>
      <c r="C244" t="s">
        <v>19</v>
      </c>
      <c r="D244" t="s">
        <v>25</v>
      </c>
      <c r="E244" t="s">
        <v>26</v>
      </c>
      <c r="F244" t="s">
        <v>32</v>
      </c>
      <c r="G244" t="s">
        <v>27</v>
      </c>
      <c r="H244">
        <v>4</v>
      </c>
      <c r="I244">
        <v>202.28</v>
      </c>
      <c r="J244" s="10">
        <v>809.12</v>
      </c>
      <c r="K244" t="s">
        <v>17</v>
      </c>
    </row>
    <row r="245" spans="1:11" hidden="1" x14ac:dyDescent="0.25">
      <c r="A245" s="1">
        <v>44749</v>
      </c>
      <c r="B245" t="s">
        <v>45</v>
      </c>
      <c r="C245" t="s">
        <v>46</v>
      </c>
      <c r="D245" t="s">
        <v>47</v>
      </c>
      <c r="E245" t="s">
        <v>14</v>
      </c>
      <c r="F245" t="s">
        <v>32</v>
      </c>
      <c r="G245" t="s">
        <v>43</v>
      </c>
      <c r="H245">
        <v>1</v>
      </c>
      <c r="I245">
        <v>224.83</v>
      </c>
      <c r="J245">
        <v>224.83</v>
      </c>
      <c r="K245" t="s">
        <v>23</v>
      </c>
    </row>
    <row r="246" spans="1:11" hidden="1" x14ac:dyDescent="0.25">
      <c r="A246" s="1">
        <v>44653</v>
      </c>
      <c r="B246" t="s">
        <v>48</v>
      </c>
      <c r="C246" t="s">
        <v>49</v>
      </c>
      <c r="D246" t="s">
        <v>50</v>
      </c>
      <c r="E246" t="s">
        <v>30</v>
      </c>
      <c r="F246" t="s">
        <v>21</v>
      </c>
      <c r="G246" t="s">
        <v>39</v>
      </c>
      <c r="H246">
        <v>3</v>
      </c>
      <c r="I246">
        <v>256.27</v>
      </c>
      <c r="J246">
        <v>768.81</v>
      </c>
      <c r="K246" t="s">
        <v>23</v>
      </c>
    </row>
    <row r="247" spans="1:11" x14ac:dyDescent="0.25">
      <c r="A247" s="1">
        <v>44646</v>
      </c>
      <c r="B247" t="s">
        <v>18</v>
      </c>
      <c r="C247" t="s">
        <v>19</v>
      </c>
      <c r="D247" t="s">
        <v>20</v>
      </c>
      <c r="E247" t="s">
        <v>26</v>
      </c>
      <c r="F247" t="s">
        <v>15</v>
      </c>
      <c r="G247" t="s">
        <v>34</v>
      </c>
      <c r="H247">
        <v>2</v>
      </c>
      <c r="I247">
        <v>277.26</v>
      </c>
      <c r="J247" s="10">
        <v>554.52</v>
      </c>
      <c r="K247" t="s">
        <v>35</v>
      </c>
    </row>
    <row r="248" spans="1:11" hidden="1" x14ac:dyDescent="0.25">
      <c r="A248" s="1">
        <v>44746</v>
      </c>
      <c r="B248" t="s">
        <v>48</v>
      </c>
      <c r="C248" t="s">
        <v>49</v>
      </c>
      <c r="D248" t="s">
        <v>50</v>
      </c>
      <c r="E248" t="s">
        <v>14</v>
      </c>
      <c r="F248" t="s">
        <v>21</v>
      </c>
      <c r="G248" t="s">
        <v>39</v>
      </c>
      <c r="H248">
        <v>3</v>
      </c>
      <c r="I248">
        <v>271.19</v>
      </c>
      <c r="J248">
        <v>813.57</v>
      </c>
      <c r="K248" t="s">
        <v>23</v>
      </c>
    </row>
    <row r="249" spans="1:11" x14ac:dyDescent="0.25">
      <c r="A249" s="1">
        <v>44573</v>
      </c>
      <c r="B249" t="s">
        <v>37</v>
      </c>
      <c r="C249" t="s">
        <v>29</v>
      </c>
      <c r="D249" t="s">
        <v>38</v>
      </c>
      <c r="E249" t="s">
        <v>30</v>
      </c>
      <c r="F249" t="s">
        <v>21</v>
      </c>
      <c r="G249" t="s">
        <v>39</v>
      </c>
      <c r="H249">
        <v>3</v>
      </c>
      <c r="I249">
        <v>205.62</v>
      </c>
      <c r="J249" s="10">
        <v>616.86</v>
      </c>
      <c r="K249" t="s">
        <v>36</v>
      </c>
    </row>
    <row r="250" spans="1:11" x14ac:dyDescent="0.25">
      <c r="A250" s="1">
        <v>44774</v>
      </c>
      <c r="B250" t="s">
        <v>31</v>
      </c>
      <c r="C250" t="s">
        <v>19</v>
      </c>
      <c r="D250" t="s">
        <v>25</v>
      </c>
      <c r="E250" t="s">
        <v>30</v>
      </c>
      <c r="F250" t="s">
        <v>21</v>
      </c>
      <c r="G250" t="s">
        <v>22</v>
      </c>
      <c r="H250">
        <v>4</v>
      </c>
      <c r="I250">
        <v>130.97</v>
      </c>
      <c r="J250" s="10">
        <v>523.88</v>
      </c>
      <c r="K250" t="s">
        <v>17</v>
      </c>
    </row>
    <row r="251" spans="1:11" x14ac:dyDescent="0.25">
      <c r="A251" s="1">
        <v>44646</v>
      </c>
      <c r="B251" t="s">
        <v>11</v>
      </c>
      <c r="C251" t="s">
        <v>12</v>
      </c>
      <c r="D251" t="s">
        <v>13</v>
      </c>
      <c r="E251" t="s">
        <v>30</v>
      </c>
      <c r="F251" t="s">
        <v>21</v>
      </c>
      <c r="G251" t="s">
        <v>39</v>
      </c>
      <c r="H251">
        <v>5</v>
      </c>
      <c r="I251">
        <v>267.70999999999998</v>
      </c>
      <c r="J251" s="10">
        <v>1338.55</v>
      </c>
      <c r="K251" t="s">
        <v>23</v>
      </c>
    </row>
    <row r="252" spans="1:11" x14ac:dyDescent="0.25">
      <c r="A252" s="1">
        <v>44565</v>
      </c>
      <c r="B252" t="s">
        <v>24</v>
      </c>
      <c r="C252" t="s">
        <v>19</v>
      </c>
      <c r="D252" t="s">
        <v>25</v>
      </c>
      <c r="E252" t="s">
        <v>30</v>
      </c>
      <c r="F252" t="s">
        <v>40</v>
      </c>
      <c r="G252" t="s">
        <v>22</v>
      </c>
      <c r="H252">
        <v>4</v>
      </c>
      <c r="I252">
        <v>151.37</v>
      </c>
      <c r="J252" s="10">
        <v>605.48</v>
      </c>
      <c r="K252" t="s">
        <v>35</v>
      </c>
    </row>
    <row r="253" spans="1:11" x14ac:dyDescent="0.25">
      <c r="A253" s="1">
        <v>44627</v>
      </c>
      <c r="B253" t="s">
        <v>37</v>
      </c>
      <c r="C253" t="s">
        <v>29</v>
      </c>
      <c r="D253" t="s">
        <v>38</v>
      </c>
      <c r="E253" t="s">
        <v>30</v>
      </c>
      <c r="F253" t="s">
        <v>40</v>
      </c>
      <c r="G253" t="s">
        <v>39</v>
      </c>
      <c r="H253">
        <v>5</v>
      </c>
      <c r="I253">
        <v>89.84</v>
      </c>
      <c r="J253" s="10">
        <v>449.2</v>
      </c>
      <c r="K253" t="s">
        <v>36</v>
      </c>
    </row>
    <row r="254" spans="1:11" hidden="1" x14ac:dyDescent="0.25">
      <c r="A254" s="1">
        <v>44676</v>
      </c>
      <c r="B254" t="s">
        <v>48</v>
      </c>
      <c r="C254" t="s">
        <v>49</v>
      </c>
      <c r="D254" t="s">
        <v>50</v>
      </c>
      <c r="E254" t="s">
        <v>30</v>
      </c>
      <c r="F254" t="s">
        <v>21</v>
      </c>
      <c r="G254" t="s">
        <v>39</v>
      </c>
      <c r="H254">
        <v>1</v>
      </c>
      <c r="I254">
        <v>276.64</v>
      </c>
      <c r="J254">
        <v>276.64</v>
      </c>
      <c r="K254" t="s">
        <v>17</v>
      </c>
    </row>
    <row r="255" spans="1:11" hidden="1" x14ac:dyDescent="0.25">
      <c r="A255" s="1">
        <v>44635</v>
      </c>
      <c r="B255" t="s">
        <v>48</v>
      </c>
      <c r="C255" t="s">
        <v>49</v>
      </c>
      <c r="D255" t="s">
        <v>50</v>
      </c>
      <c r="E255" t="s">
        <v>14</v>
      </c>
      <c r="F255" t="s">
        <v>15</v>
      </c>
      <c r="G255" t="s">
        <v>43</v>
      </c>
      <c r="H255">
        <v>3</v>
      </c>
      <c r="I255">
        <v>203.41</v>
      </c>
      <c r="J255">
        <v>610.23</v>
      </c>
      <c r="K255" t="s">
        <v>17</v>
      </c>
    </row>
    <row r="256" spans="1:11" x14ac:dyDescent="0.25">
      <c r="A256" s="1">
        <v>44783</v>
      </c>
      <c r="B256" t="s">
        <v>28</v>
      </c>
      <c r="C256" t="s">
        <v>29</v>
      </c>
      <c r="D256" t="s">
        <v>25</v>
      </c>
      <c r="E256" t="s">
        <v>30</v>
      </c>
      <c r="F256" t="s">
        <v>15</v>
      </c>
      <c r="G256" t="s">
        <v>34</v>
      </c>
      <c r="H256">
        <v>2</v>
      </c>
      <c r="I256">
        <v>195.85</v>
      </c>
      <c r="J256" s="10">
        <v>391.7</v>
      </c>
      <c r="K256" t="s">
        <v>36</v>
      </c>
    </row>
    <row r="257" spans="1:11" hidden="1" x14ac:dyDescent="0.25">
      <c r="A257" s="1">
        <v>44777</v>
      </c>
      <c r="B257" t="s">
        <v>48</v>
      </c>
      <c r="C257" t="s">
        <v>49</v>
      </c>
      <c r="D257" t="s">
        <v>50</v>
      </c>
      <c r="E257" t="s">
        <v>30</v>
      </c>
      <c r="F257" t="s">
        <v>40</v>
      </c>
      <c r="G257" t="s">
        <v>33</v>
      </c>
      <c r="H257">
        <v>2</v>
      </c>
      <c r="I257">
        <v>288.87</v>
      </c>
      <c r="J257">
        <v>577.74</v>
      </c>
      <c r="K257" t="s">
        <v>35</v>
      </c>
    </row>
    <row r="258" spans="1:11" x14ac:dyDescent="0.25">
      <c r="A258" s="1">
        <v>44692</v>
      </c>
      <c r="B258" t="s">
        <v>28</v>
      </c>
      <c r="C258" t="s">
        <v>29</v>
      </c>
      <c r="D258" t="s">
        <v>25</v>
      </c>
      <c r="E258" t="s">
        <v>30</v>
      </c>
      <c r="F258" t="s">
        <v>40</v>
      </c>
      <c r="G258" t="s">
        <v>33</v>
      </c>
      <c r="H258">
        <v>1</v>
      </c>
      <c r="I258">
        <v>65.45</v>
      </c>
      <c r="J258" s="10">
        <v>65.45</v>
      </c>
      <c r="K258" t="s">
        <v>23</v>
      </c>
    </row>
    <row r="259" spans="1:11" x14ac:dyDescent="0.25">
      <c r="A259" s="1">
        <v>44562</v>
      </c>
      <c r="B259" t="s">
        <v>18</v>
      </c>
      <c r="C259" t="s">
        <v>19</v>
      </c>
      <c r="D259" t="s">
        <v>20</v>
      </c>
      <c r="E259" t="s">
        <v>14</v>
      </c>
      <c r="F259" t="s">
        <v>32</v>
      </c>
      <c r="G259" t="s">
        <v>22</v>
      </c>
      <c r="H259">
        <v>1</v>
      </c>
      <c r="I259">
        <v>202.42</v>
      </c>
      <c r="J259" s="10">
        <v>202.42</v>
      </c>
      <c r="K259" t="s">
        <v>36</v>
      </c>
    </row>
    <row r="260" spans="1:11" x14ac:dyDescent="0.25">
      <c r="A260" s="1">
        <v>44625</v>
      </c>
      <c r="B260" t="s">
        <v>28</v>
      </c>
      <c r="C260" t="s">
        <v>29</v>
      </c>
      <c r="D260" t="s">
        <v>25</v>
      </c>
      <c r="E260" t="s">
        <v>30</v>
      </c>
      <c r="F260" t="s">
        <v>21</v>
      </c>
      <c r="G260" t="s">
        <v>33</v>
      </c>
      <c r="H260">
        <v>2</v>
      </c>
      <c r="I260">
        <v>51.11</v>
      </c>
      <c r="J260" s="10">
        <v>102.22</v>
      </c>
      <c r="K260" t="s">
        <v>23</v>
      </c>
    </row>
    <row r="261" spans="1:11" hidden="1" x14ac:dyDescent="0.25">
      <c r="A261" s="1">
        <v>44766</v>
      </c>
      <c r="B261" t="s">
        <v>45</v>
      </c>
      <c r="C261" t="s">
        <v>46</v>
      </c>
      <c r="D261" t="s">
        <v>47</v>
      </c>
      <c r="E261" t="s">
        <v>30</v>
      </c>
      <c r="F261" t="s">
        <v>15</v>
      </c>
      <c r="G261" t="s">
        <v>16</v>
      </c>
      <c r="H261">
        <v>1</v>
      </c>
      <c r="I261">
        <v>292.68</v>
      </c>
      <c r="J261">
        <v>292.68</v>
      </c>
      <c r="K261" t="s">
        <v>35</v>
      </c>
    </row>
    <row r="262" spans="1:11" hidden="1" x14ac:dyDescent="0.25">
      <c r="A262" s="1">
        <v>44783</v>
      </c>
      <c r="B262" t="s">
        <v>48</v>
      </c>
      <c r="C262" t="s">
        <v>49</v>
      </c>
      <c r="D262" t="s">
        <v>50</v>
      </c>
      <c r="E262" t="s">
        <v>26</v>
      </c>
      <c r="F262" t="s">
        <v>32</v>
      </c>
      <c r="G262" t="s">
        <v>22</v>
      </c>
      <c r="H262">
        <v>2</v>
      </c>
      <c r="I262">
        <v>175.51</v>
      </c>
      <c r="J262">
        <v>351.02</v>
      </c>
      <c r="K262" t="s">
        <v>35</v>
      </c>
    </row>
    <row r="263" spans="1:11" x14ac:dyDescent="0.25">
      <c r="A263" s="1">
        <v>44633</v>
      </c>
      <c r="B263" t="s">
        <v>18</v>
      </c>
      <c r="C263" t="s">
        <v>19</v>
      </c>
      <c r="D263" t="s">
        <v>20</v>
      </c>
      <c r="E263" t="s">
        <v>26</v>
      </c>
      <c r="F263" t="s">
        <v>40</v>
      </c>
      <c r="G263" t="s">
        <v>27</v>
      </c>
      <c r="H263">
        <v>4</v>
      </c>
      <c r="I263">
        <v>211.37</v>
      </c>
      <c r="J263" s="10">
        <v>845.48</v>
      </c>
      <c r="K263" t="s">
        <v>17</v>
      </c>
    </row>
    <row r="264" spans="1:11" x14ac:dyDescent="0.25">
      <c r="A264" s="1">
        <v>44643</v>
      </c>
      <c r="B264" t="s">
        <v>28</v>
      </c>
      <c r="C264" t="s">
        <v>29</v>
      </c>
      <c r="D264" t="s">
        <v>25</v>
      </c>
      <c r="E264" t="s">
        <v>14</v>
      </c>
      <c r="F264" t="s">
        <v>32</v>
      </c>
      <c r="G264" t="s">
        <v>27</v>
      </c>
      <c r="H264">
        <v>1</v>
      </c>
      <c r="I264">
        <v>209.78</v>
      </c>
      <c r="J264" s="10">
        <v>209.78</v>
      </c>
      <c r="K264" t="s">
        <v>35</v>
      </c>
    </row>
    <row r="265" spans="1:11" x14ac:dyDescent="0.25">
      <c r="A265" s="1">
        <v>44693</v>
      </c>
      <c r="B265" t="s">
        <v>24</v>
      </c>
      <c r="C265" t="s">
        <v>19</v>
      </c>
      <c r="D265" t="s">
        <v>25</v>
      </c>
      <c r="E265" t="s">
        <v>14</v>
      </c>
      <c r="F265" t="s">
        <v>32</v>
      </c>
      <c r="G265" t="s">
        <v>43</v>
      </c>
      <c r="H265">
        <v>1</v>
      </c>
      <c r="I265">
        <v>59.85</v>
      </c>
      <c r="J265" s="10">
        <v>59.85</v>
      </c>
      <c r="K265" t="s">
        <v>36</v>
      </c>
    </row>
    <row r="266" spans="1:11" x14ac:dyDescent="0.25">
      <c r="A266" s="1">
        <v>44759</v>
      </c>
      <c r="B266" t="s">
        <v>24</v>
      </c>
      <c r="C266" t="s">
        <v>19</v>
      </c>
      <c r="D266" t="s">
        <v>25</v>
      </c>
      <c r="E266" t="s">
        <v>14</v>
      </c>
      <c r="F266" t="s">
        <v>21</v>
      </c>
      <c r="G266" t="s">
        <v>39</v>
      </c>
      <c r="H266">
        <v>3</v>
      </c>
      <c r="I266">
        <v>156.27000000000001</v>
      </c>
      <c r="J266" s="10">
        <v>468.81</v>
      </c>
      <c r="K266" t="s">
        <v>35</v>
      </c>
    </row>
    <row r="267" spans="1:11" x14ac:dyDescent="0.25">
      <c r="A267" s="1">
        <v>44628</v>
      </c>
      <c r="B267" t="s">
        <v>18</v>
      </c>
      <c r="C267" t="s">
        <v>19</v>
      </c>
      <c r="D267" t="s">
        <v>20</v>
      </c>
      <c r="E267" t="s">
        <v>14</v>
      </c>
      <c r="F267" t="s">
        <v>15</v>
      </c>
      <c r="G267" t="s">
        <v>33</v>
      </c>
      <c r="H267">
        <v>2</v>
      </c>
      <c r="I267">
        <v>175</v>
      </c>
      <c r="J267" s="10">
        <v>350</v>
      </c>
      <c r="K267" t="s">
        <v>17</v>
      </c>
    </row>
    <row r="268" spans="1:11" x14ac:dyDescent="0.25">
      <c r="A268" s="1">
        <v>44778</v>
      </c>
      <c r="B268" t="s">
        <v>37</v>
      </c>
      <c r="C268" t="s">
        <v>29</v>
      </c>
      <c r="D268" t="s">
        <v>38</v>
      </c>
      <c r="E268" t="s">
        <v>30</v>
      </c>
      <c r="F268" t="s">
        <v>32</v>
      </c>
      <c r="G268" t="s">
        <v>34</v>
      </c>
      <c r="H268">
        <v>2</v>
      </c>
      <c r="I268">
        <v>88</v>
      </c>
      <c r="J268" s="10">
        <v>176</v>
      </c>
      <c r="K268" t="s">
        <v>36</v>
      </c>
    </row>
    <row r="269" spans="1:11" x14ac:dyDescent="0.25">
      <c r="A269" s="1">
        <v>44744</v>
      </c>
      <c r="B269" t="s">
        <v>24</v>
      </c>
      <c r="C269" t="s">
        <v>19</v>
      </c>
      <c r="D269" t="s">
        <v>25</v>
      </c>
      <c r="E269" t="s">
        <v>30</v>
      </c>
      <c r="F269" t="s">
        <v>32</v>
      </c>
      <c r="G269" t="s">
        <v>34</v>
      </c>
      <c r="H269">
        <v>4</v>
      </c>
      <c r="I269">
        <v>293.33</v>
      </c>
      <c r="J269" s="10">
        <v>1173.32</v>
      </c>
      <c r="K269" t="s">
        <v>17</v>
      </c>
    </row>
    <row r="270" spans="1:11" x14ac:dyDescent="0.25">
      <c r="A270" s="1">
        <v>44759</v>
      </c>
      <c r="B270" t="s">
        <v>24</v>
      </c>
      <c r="C270" t="s">
        <v>19</v>
      </c>
      <c r="D270" t="s">
        <v>25</v>
      </c>
      <c r="E270" t="s">
        <v>14</v>
      </c>
      <c r="F270" t="s">
        <v>15</v>
      </c>
      <c r="G270" t="s">
        <v>27</v>
      </c>
      <c r="H270">
        <v>5</v>
      </c>
      <c r="I270">
        <v>285.37</v>
      </c>
      <c r="J270" s="10">
        <v>1426.85</v>
      </c>
      <c r="K270" t="s">
        <v>35</v>
      </c>
    </row>
    <row r="271" spans="1:11" x14ac:dyDescent="0.25">
      <c r="A271" s="1">
        <v>44576</v>
      </c>
      <c r="B271" t="s">
        <v>37</v>
      </c>
      <c r="C271" t="s">
        <v>29</v>
      </c>
      <c r="D271" t="s">
        <v>38</v>
      </c>
      <c r="E271" t="s">
        <v>26</v>
      </c>
      <c r="F271" t="s">
        <v>40</v>
      </c>
      <c r="G271" t="s">
        <v>22</v>
      </c>
      <c r="H271">
        <v>5</v>
      </c>
      <c r="I271">
        <v>220.59</v>
      </c>
      <c r="J271" s="10">
        <v>1102.95</v>
      </c>
      <c r="K271" t="s">
        <v>36</v>
      </c>
    </row>
    <row r="272" spans="1:11" x14ac:dyDescent="0.25">
      <c r="A272" s="1">
        <v>44623</v>
      </c>
      <c r="B272" t="s">
        <v>24</v>
      </c>
      <c r="C272" t="s">
        <v>19</v>
      </c>
      <c r="D272" t="s">
        <v>25</v>
      </c>
      <c r="E272" t="s">
        <v>30</v>
      </c>
      <c r="F272" t="s">
        <v>21</v>
      </c>
      <c r="G272" t="s">
        <v>33</v>
      </c>
      <c r="H272">
        <v>5</v>
      </c>
      <c r="I272">
        <v>214</v>
      </c>
      <c r="J272" s="10">
        <v>1070</v>
      </c>
      <c r="K272" t="s">
        <v>36</v>
      </c>
    </row>
    <row r="273" spans="1:11" x14ac:dyDescent="0.25">
      <c r="A273" s="1">
        <v>44791</v>
      </c>
      <c r="B273" t="s">
        <v>18</v>
      </c>
      <c r="C273" t="s">
        <v>19</v>
      </c>
      <c r="D273" t="s">
        <v>20</v>
      </c>
      <c r="E273" t="s">
        <v>14</v>
      </c>
      <c r="F273" t="s">
        <v>15</v>
      </c>
      <c r="G273" t="s">
        <v>27</v>
      </c>
      <c r="H273">
        <v>5</v>
      </c>
      <c r="I273">
        <v>208.24</v>
      </c>
      <c r="J273" s="10">
        <v>1041.2</v>
      </c>
      <c r="K273" t="s">
        <v>17</v>
      </c>
    </row>
    <row r="274" spans="1:11" x14ac:dyDescent="0.25">
      <c r="A274" s="1">
        <v>44719</v>
      </c>
      <c r="B274" t="s">
        <v>41</v>
      </c>
      <c r="C274" t="s">
        <v>29</v>
      </c>
      <c r="D274" t="s">
        <v>42</v>
      </c>
      <c r="E274" t="s">
        <v>14</v>
      </c>
      <c r="F274" t="s">
        <v>32</v>
      </c>
      <c r="G274" t="s">
        <v>27</v>
      </c>
      <c r="H274">
        <v>4</v>
      </c>
      <c r="I274">
        <v>133.69999999999999</v>
      </c>
      <c r="J274" s="10">
        <v>534.79999999999995</v>
      </c>
      <c r="K274" t="s">
        <v>35</v>
      </c>
    </row>
    <row r="275" spans="1:11" x14ac:dyDescent="0.25">
      <c r="A275" s="1">
        <v>44797</v>
      </c>
      <c r="B275" t="s">
        <v>11</v>
      </c>
      <c r="C275" t="s">
        <v>12</v>
      </c>
      <c r="D275" t="s">
        <v>13</v>
      </c>
      <c r="E275" t="s">
        <v>30</v>
      </c>
      <c r="F275" t="s">
        <v>32</v>
      </c>
      <c r="G275" t="s">
        <v>43</v>
      </c>
      <c r="H275">
        <v>2</v>
      </c>
      <c r="I275">
        <v>158.69999999999999</v>
      </c>
      <c r="J275" s="10">
        <v>317.39999999999998</v>
      </c>
      <c r="K275" t="s">
        <v>36</v>
      </c>
    </row>
    <row r="276" spans="1:11" x14ac:dyDescent="0.25">
      <c r="A276" s="1">
        <v>44580</v>
      </c>
      <c r="B276" t="s">
        <v>28</v>
      </c>
      <c r="C276" t="s">
        <v>29</v>
      </c>
      <c r="D276" t="s">
        <v>25</v>
      </c>
      <c r="E276" t="s">
        <v>26</v>
      </c>
      <c r="F276" t="s">
        <v>21</v>
      </c>
      <c r="G276" t="s">
        <v>34</v>
      </c>
      <c r="H276">
        <v>2</v>
      </c>
      <c r="I276">
        <v>244.13</v>
      </c>
      <c r="J276" s="10">
        <v>488.26</v>
      </c>
      <c r="K276" t="s">
        <v>23</v>
      </c>
    </row>
    <row r="277" spans="1:11" x14ac:dyDescent="0.25">
      <c r="A277" s="1">
        <v>44792</v>
      </c>
      <c r="B277" t="s">
        <v>28</v>
      </c>
      <c r="C277" t="s">
        <v>29</v>
      </c>
      <c r="D277" t="s">
        <v>25</v>
      </c>
      <c r="E277" t="s">
        <v>26</v>
      </c>
      <c r="F277" t="s">
        <v>32</v>
      </c>
      <c r="G277" t="s">
        <v>33</v>
      </c>
      <c r="H277">
        <v>5</v>
      </c>
      <c r="I277">
        <v>147.99</v>
      </c>
      <c r="J277" s="10">
        <v>739.95</v>
      </c>
      <c r="K277" t="s">
        <v>35</v>
      </c>
    </row>
    <row r="278" spans="1:11" x14ac:dyDescent="0.25">
      <c r="A278" s="1">
        <v>44784</v>
      </c>
      <c r="B278" t="s">
        <v>11</v>
      </c>
      <c r="C278" t="s">
        <v>12</v>
      </c>
      <c r="D278" t="s">
        <v>13</v>
      </c>
      <c r="E278" t="s">
        <v>14</v>
      </c>
      <c r="F278" t="s">
        <v>32</v>
      </c>
      <c r="G278" t="s">
        <v>16</v>
      </c>
      <c r="H278">
        <v>1</v>
      </c>
      <c r="I278">
        <v>157.81</v>
      </c>
      <c r="J278" s="10">
        <v>157.81</v>
      </c>
      <c r="K278" t="s">
        <v>23</v>
      </c>
    </row>
    <row r="279" spans="1:11" hidden="1" x14ac:dyDescent="0.25">
      <c r="A279" s="1">
        <v>44644</v>
      </c>
      <c r="B279" t="s">
        <v>48</v>
      </c>
      <c r="C279" t="s">
        <v>49</v>
      </c>
      <c r="D279" t="s">
        <v>50</v>
      </c>
      <c r="E279" t="s">
        <v>14</v>
      </c>
      <c r="F279" t="s">
        <v>21</v>
      </c>
      <c r="G279" t="s">
        <v>27</v>
      </c>
      <c r="H279">
        <v>2</v>
      </c>
      <c r="I279">
        <v>212.76</v>
      </c>
      <c r="J279">
        <v>425.52</v>
      </c>
      <c r="K279" t="s">
        <v>36</v>
      </c>
    </row>
    <row r="280" spans="1:11" x14ac:dyDescent="0.25">
      <c r="A280" s="1">
        <v>44578</v>
      </c>
      <c r="B280" t="s">
        <v>44</v>
      </c>
      <c r="C280" t="s">
        <v>19</v>
      </c>
      <c r="D280" t="s">
        <v>20</v>
      </c>
      <c r="E280" t="s">
        <v>26</v>
      </c>
      <c r="F280" t="s">
        <v>32</v>
      </c>
      <c r="G280" t="s">
        <v>33</v>
      </c>
      <c r="H280">
        <v>3</v>
      </c>
      <c r="I280">
        <v>225.9</v>
      </c>
      <c r="J280" s="10">
        <v>677.7</v>
      </c>
      <c r="K280" t="s">
        <v>36</v>
      </c>
    </row>
    <row r="281" spans="1:11" hidden="1" x14ac:dyDescent="0.25">
      <c r="A281" s="1">
        <v>44601</v>
      </c>
      <c r="B281" t="s">
        <v>45</v>
      </c>
      <c r="C281" t="s">
        <v>46</v>
      </c>
      <c r="D281" t="s">
        <v>47</v>
      </c>
      <c r="E281" t="s">
        <v>30</v>
      </c>
      <c r="F281" t="s">
        <v>21</v>
      </c>
      <c r="G281" t="s">
        <v>39</v>
      </c>
      <c r="H281">
        <v>3</v>
      </c>
      <c r="I281">
        <v>112.98</v>
      </c>
      <c r="J281">
        <v>338.94</v>
      </c>
      <c r="K281" t="s">
        <v>36</v>
      </c>
    </row>
    <row r="282" spans="1:11" hidden="1" x14ac:dyDescent="0.25">
      <c r="A282" s="1">
        <v>44694</v>
      </c>
      <c r="B282" t="s">
        <v>45</v>
      </c>
      <c r="C282" t="s">
        <v>46</v>
      </c>
      <c r="D282" t="s">
        <v>47</v>
      </c>
      <c r="E282" t="s">
        <v>14</v>
      </c>
      <c r="F282" t="s">
        <v>32</v>
      </c>
      <c r="G282" t="s">
        <v>39</v>
      </c>
      <c r="H282">
        <v>2</v>
      </c>
      <c r="I282">
        <v>100.84</v>
      </c>
      <c r="J282">
        <v>201.68</v>
      </c>
      <c r="K282" t="s">
        <v>23</v>
      </c>
    </row>
    <row r="283" spans="1:11" x14ac:dyDescent="0.25">
      <c r="A283" s="1">
        <v>44595</v>
      </c>
      <c r="B283" t="s">
        <v>31</v>
      </c>
      <c r="C283" t="s">
        <v>19</v>
      </c>
      <c r="D283" t="s">
        <v>25</v>
      </c>
      <c r="E283" t="s">
        <v>26</v>
      </c>
      <c r="F283" t="s">
        <v>32</v>
      </c>
      <c r="G283" t="s">
        <v>39</v>
      </c>
      <c r="H283">
        <v>4</v>
      </c>
      <c r="I283">
        <v>292.75</v>
      </c>
      <c r="J283" s="10">
        <v>1171</v>
      </c>
      <c r="K283" t="s">
        <v>36</v>
      </c>
    </row>
    <row r="284" spans="1:11" x14ac:dyDescent="0.25">
      <c r="A284" s="1">
        <v>44600</v>
      </c>
      <c r="B284" t="s">
        <v>28</v>
      </c>
      <c r="C284" t="s">
        <v>29</v>
      </c>
      <c r="D284" t="s">
        <v>25</v>
      </c>
      <c r="E284" t="s">
        <v>30</v>
      </c>
      <c r="F284" t="s">
        <v>21</v>
      </c>
      <c r="G284" t="s">
        <v>34</v>
      </c>
      <c r="H284">
        <v>3</v>
      </c>
      <c r="I284">
        <v>82.62</v>
      </c>
      <c r="J284" s="10">
        <v>247.86</v>
      </c>
      <c r="K284" t="s">
        <v>23</v>
      </c>
    </row>
    <row r="285" spans="1:11" x14ac:dyDescent="0.25">
      <c r="A285" s="1">
        <v>44760</v>
      </c>
      <c r="B285" t="s">
        <v>37</v>
      </c>
      <c r="C285" t="s">
        <v>29</v>
      </c>
      <c r="D285" t="s">
        <v>38</v>
      </c>
      <c r="E285" t="s">
        <v>30</v>
      </c>
      <c r="F285" t="s">
        <v>40</v>
      </c>
      <c r="G285" t="s">
        <v>33</v>
      </c>
      <c r="H285">
        <v>3</v>
      </c>
      <c r="I285">
        <v>246.13</v>
      </c>
      <c r="J285" s="10">
        <v>738.39</v>
      </c>
      <c r="K285" t="s">
        <v>35</v>
      </c>
    </row>
    <row r="286" spans="1:11" x14ac:dyDescent="0.25">
      <c r="A286" s="1">
        <v>44680</v>
      </c>
      <c r="B286" t="s">
        <v>24</v>
      </c>
      <c r="C286" t="s">
        <v>19</v>
      </c>
      <c r="D286" t="s">
        <v>25</v>
      </c>
      <c r="E286" t="s">
        <v>30</v>
      </c>
      <c r="F286" t="s">
        <v>21</v>
      </c>
      <c r="G286" t="s">
        <v>27</v>
      </c>
      <c r="H286">
        <v>4</v>
      </c>
      <c r="I286">
        <v>168.01</v>
      </c>
      <c r="J286" s="10">
        <v>672.04</v>
      </c>
      <c r="K286" t="s">
        <v>36</v>
      </c>
    </row>
    <row r="287" spans="1:11" x14ac:dyDescent="0.25">
      <c r="A287" s="1">
        <v>44799</v>
      </c>
      <c r="B287" t="s">
        <v>44</v>
      </c>
      <c r="C287" t="s">
        <v>19</v>
      </c>
      <c r="D287" t="s">
        <v>20</v>
      </c>
      <c r="E287" t="s">
        <v>30</v>
      </c>
      <c r="F287" t="s">
        <v>40</v>
      </c>
      <c r="G287" t="s">
        <v>16</v>
      </c>
      <c r="H287">
        <v>1</v>
      </c>
      <c r="I287">
        <v>93.08</v>
      </c>
      <c r="J287" s="10">
        <v>93.08</v>
      </c>
      <c r="K287" t="s">
        <v>36</v>
      </c>
    </row>
    <row r="288" spans="1:11" x14ac:dyDescent="0.25">
      <c r="A288" s="1">
        <v>44575</v>
      </c>
      <c r="B288" t="s">
        <v>37</v>
      </c>
      <c r="C288" t="s">
        <v>29</v>
      </c>
      <c r="D288" t="s">
        <v>38</v>
      </c>
      <c r="E288" t="s">
        <v>26</v>
      </c>
      <c r="F288" t="s">
        <v>15</v>
      </c>
      <c r="G288" t="s">
        <v>33</v>
      </c>
      <c r="H288">
        <v>3</v>
      </c>
      <c r="I288">
        <v>161.55000000000001</v>
      </c>
      <c r="J288" s="10">
        <v>484.65</v>
      </c>
      <c r="K288" t="s">
        <v>35</v>
      </c>
    </row>
    <row r="289" spans="1:11" hidden="1" x14ac:dyDescent="0.25">
      <c r="A289" s="1">
        <v>44617</v>
      </c>
      <c r="B289" t="s">
        <v>45</v>
      </c>
      <c r="C289" t="s">
        <v>46</v>
      </c>
      <c r="D289" t="s">
        <v>47</v>
      </c>
      <c r="E289" t="s">
        <v>30</v>
      </c>
      <c r="F289" t="s">
        <v>32</v>
      </c>
      <c r="G289" t="s">
        <v>27</v>
      </c>
      <c r="H289">
        <v>3</v>
      </c>
      <c r="I289">
        <v>228.84</v>
      </c>
      <c r="J289">
        <v>686.52</v>
      </c>
      <c r="K289" t="s">
        <v>35</v>
      </c>
    </row>
    <row r="290" spans="1:11" x14ac:dyDescent="0.25">
      <c r="A290" s="1">
        <v>44704</v>
      </c>
      <c r="B290" t="s">
        <v>37</v>
      </c>
      <c r="C290" t="s">
        <v>29</v>
      </c>
      <c r="D290" t="s">
        <v>38</v>
      </c>
      <c r="E290" t="s">
        <v>26</v>
      </c>
      <c r="F290" t="s">
        <v>40</v>
      </c>
      <c r="G290" t="s">
        <v>22</v>
      </c>
      <c r="H290">
        <v>4</v>
      </c>
      <c r="I290">
        <v>221.31</v>
      </c>
      <c r="J290" s="10">
        <v>885.24</v>
      </c>
      <c r="K290" t="s">
        <v>17</v>
      </c>
    </row>
    <row r="291" spans="1:11" hidden="1" x14ac:dyDescent="0.25">
      <c r="A291" s="1">
        <v>44768</v>
      </c>
      <c r="B291" t="s">
        <v>45</v>
      </c>
      <c r="C291" t="s">
        <v>46</v>
      </c>
      <c r="D291" t="s">
        <v>47</v>
      </c>
      <c r="E291" t="s">
        <v>26</v>
      </c>
      <c r="F291" t="s">
        <v>40</v>
      </c>
      <c r="G291" t="s">
        <v>34</v>
      </c>
      <c r="H291">
        <v>2</v>
      </c>
      <c r="I291">
        <v>287.68</v>
      </c>
      <c r="J291">
        <v>575.36</v>
      </c>
      <c r="K291" t="s">
        <v>23</v>
      </c>
    </row>
    <row r="292" spans="1:11" x14ac:dyDescent="0.25">
      <c r="A292" s="1">
        <v>44577</v>
      </c>
      <c r="B292" t="s">
        <v>24</v>
      </c>
      <c r="C292" t="s">
        <v>19</v>
      </c>
      <c r="D292" t="s">
        <v>25</v>
      </c>
      <c r="E292" t="s">
        <v>26</v>
      </c>
      <c r="F292" t="s">
        <v>15</v>
      </c>
      <c r="G292" t="s">
        <v>34</v>
      </c>
      <c r="H292">
        <v>5</v>
      </c>
      <c r="I292">
        <v>168.7</v>
      </c>
      <c r="J292" s="10">
        <v>843.5</v>
      </c>
      <c r="K292" t="s">
        <v>36</v>
      </c>
    </row>
    <row r="293" spans="1:11" x14ac:dyDescent="0.25">
      <c r="A293" s="1">
        <v>44713</v>
      </c>
      <c r="B293" t="s">
        <v>11</v>
      </c>
      <c r="C293" t="s">
        <v>12</v>
      </c>
      <c r="D293" t="s">
        <v>13</v>
      </c>
      <c r="E293" t="s">
        <v>26</v>
      </c>
      <c r="F293" t="s">
        <v>21</v>
      </c>
      <c r="G293" t="s">
        <v>34</v>
      </c>
      <c r="H293">
        <v>3</v>
      </c>
      <c r="I293">
        <v>153.82</v>
      </c>
      <c r="J293" s="10">
        <v>461.46</v>
      </c>
      <c r="K293" t="s">
        <v>23</v>
      </c>
    </row>
    <row r="294" spans="1:11" x14ac:dyDescent="0.25">
      <c r="A294" s="1">
        <v>44605</v>
      </c>
      <c r="B294" t="s">
        <v>44</v>
      </c>
      <c r="C294" t="s">
        <v>19</v>
      </c>
      <c r="D294" t="s">
        <v>20</v>
      </c>
      <c r="E294" t="s">
        <v>14</v>
      </c>
      <c r="F294" t="s">
        <v>32</v>
      </c>
      <c r="G294" t="s">
        <v>16</v>
      </c>
      <c r="H294">
        <v>4</v>
      </c>
      <c r="I294">
        <v>281</v>
      </c>
      <c r="J294" s="10">
        <v>1124</v>
      </c>
      <c r="K294" t="s">
        <v>35</v>
      </c>
    </row>
    <row r="295" spans="1:11" hidden="1" x14ac:dyDescent="0.25">
      <c r="A295" s="1">
        <v>44648</v>
      </c>
      <c r="B295" t="s">
        <v>48</v>
      </c>
      <c r="C295" t="s">
        <v>49</v>
      </c>
      <c r="D295" t="s">
        <v>50</v>
      </c>
      <c r="E295" t="s">
        <v>26</v>
      </c>
      <c r="F295" t="s">
        <v>21</v>
      </c>
      <c r="G295" t="s">
        <v>43</v>
      </c>
      <c r="H295">
        <v>5</v>
      </c>
      <c r="I295">
        <v>112.4</v>
      </c>
      <c r="J295">
        <v>562</v>
      </c>
      <c r="K295" t="s">
        <v>36</v>
      </c>
    </row>
    <row r="296" spans="1:11" x14ac:dyDescent="0.25">
      <c r="A296" s="1">
        <v>44581</v>
      </c>
      <c r="B296" t="s">
        <v>37</v>
      </c>
      <c r="C296" t="s">
        <v>29</v>
      </c>
      <c r="D296" t="s">
        <v>38</v>
      </c>
      <c r="E296" t="s">
        <v>14</v>
      </c>
      <c r="F296" t="s">
        <v>15</v>
      </c>
      <c r="G296" t="s">
        <v>39</v>
      </c>
      <c r="H296">
        <v>1</v>
      </c>
      <c r="I296">
        <v>233.16</v>
      </c>
      <c r="J296" s="10">
        <v>233.16</v>
      </c>
      <c r="K296" t="s">
        <v>23</v>
      </c>
    </row>
    <row r="297" spans="1:11" x14ac:dyDescent="0.25">
      <c r="A297" s="1">
        <v>44619</v>
      </c>
      <c r="B297" t="s">
        <v>18</v>
      </c>
      <c r="C297" t="s">
        <v>19</v>
      </c>
      <c r="D297" t="s">
        <v>20</v>
      </c>
      <c r="E297" t="s">
        <v>14</v>
      </c>
      <c r="F297" t="s">
        <v>40</v>
      </c>
      <c r="G297" t="s">
        <v>22</v>
      </c>
      <c r="H297">
        <v>5</v>
      </c>
      <c r="I297">
        <v>248.71</v>
      </c>
      <c r="J297" s="10">
        <v>1243.55</v>
      </c>
      <c r="K297" t="s">
        <v>36</v>
      </c>
    </row>
    <row r="298" spans="1:11" x14ac:dyDescent="0.25">
      <c r="A298" s="1">
        <v>44707</v>
      </c>
      <c r="B298" t="s">
        <v>28</v>
      </c>
      <c r="C298" t="s">
        <v>29</v>
      </c>
      <c r="D298" t="s">
        <v>25</v>
      </c>
      <c r="E298" t="s">
        <v>30</v>
      </c>
      <c r="F298" t="s">
        <v>32</v>
      </c>
      <c r="G298" t="s">
        <v>33</v>
      </c>
      <c r="H298">
        <v>5</v>
      </c>
      <c r="I298">
        <v>157.19999999999999</v>
      </c>
      <c r="J298" s="10">
        <v>786</v>
      </c>
      <c r="K298" t="s">
        <v>36</v>
      </c>
    </row>
    <row r="299" spans="1:11" x14ac:dyDescent="0.25">
      <c r="A299" s="1">
        <v>44590</v>
      </c>
      <c r="B299" t="s">
        <v>18</v>
      </c>
      <c r="C299" t="s">
        <v>19</v>
      </c>
      <c r="D299" t="s">
        <v>20</v>
      </c>
      <c r="E299" t="s">
        <v>30</v>
      </c>
      <c r="F299" t="s">
        <v>15</v>
      </c>
      <c r="G299" t="s">
        <v>33</v>
      </c>
      <c r="H299">
        <v>4</v>
      </c>
      <c r="I299">
        <v>113.75</v>
      </c>
      <c r="J299" s="10">
        <v>455</v>
      </c>
      <c r="K299" t="s">
        <v>36</v>
      </c>
    </row>
    <row r="300" spans="1:11" x14ac:dyDescent="0.25">
      <c r="A300" s="1">
        <v>44665</v>
      </c>
      <c r="B300" t="s">
        <v>18</v>
      </c>
      <c r="C300" t="s">
        <v>19</v>
      </c>
      <c r="D300" t="s">
        <v>20</v>
      </c>
      <c r="E300" t="s">
        <v>26</v>
      </c>
      <c r="F300" t="s">
        <v>21</v>
      </c>
      <c r="G300" t="s">
        <v>27</v>
      </c>
      <c r="H300">
        <v>1</v>
      </c>
      <c r="I300">
        <v>109.66</v>
      </c>
      <c r="J300" s="10">
        <v>109.66</v>
      </c>
      <c r="K300" t="s">
        <v>23</v>
      </c>
    </row>
    <row r="301" spans="1:11" hidden="1" x14ac:dyDescent="0.25">
      <c r="A301" s="1">
        <v>44718</v>
      </c>
      <c r="B301" t="s">
        <v>48</v>
      </c>
      <c r="C301" t="s">
        <v>49</v>
      </c>
      <c r="D301" t="s">
        <v>50</v>
      </c>
      <c r="E301" t="s">
        <v>26</v>
      </c>
      <c r="F301" t="s">
        <v>32</v>
      </c>
      <c r="G301" t="s">
        <v>43</v>
      </c>
      <c r="H301">
        <v>1</v>
      </c>
      <c r="I301">
        <v>81.569999999999993</v>
      </c>
      <c r="J301">
        <v>81.569999999999993</v>
      </c>
      <c r="K301" t="s">
        <v>35</v>
      </c>
    </row>
    <row r="302" spans="1:11" x14ac:dyDescent="0.25">
      <c r="A302" s="1">
        <v>44600</v>
      </c>
      <c r="B302" t="s">
        <v>11</v>
      </c>
      <c r="C302" t="s">
        <v>12</v>
      </c>
      <c r="D302" t="s">
        <v>13</v>
      </c>
      <c r="E302" t="s">
        <v>30</v>
      </c>
      <c r="F302" t="s">
        <v>32</v>
      </c>
      <c r="G302" t="s">
        <v>39</v>
      </c>
      <c r="H302">
        <v>2</v>
      </c>
      <c r="I302">
        <v>247.2</v>
      </c>
      <c r="J302" s="10">
        <v>494.4</v>
      </c>
      <c r="K302" t="s">
        <v>35</v>
      </c>
    </row>
    <row r="303" spans="1:11" hidden="1" x14ac:dyDescent="0.25">
      <c r="A303" s="1">
        <v>44687</v>
      </c>
      <c r="B303" t="s">
        <v>48</v>
      </c>
      <c r="C303" t="s">
        <v>49</v>
      </c>
      <c r="D303" t="s">
        <v>50</v>
      </c>
      <c r="E303" t="s">
        <v>26</v>
      </c>
      <c r="F303" t="s">
        <v>40</v>
      </c>
      <c r="G303" t="s">
        <v>16</v>
      </c>
      <c r="H303">
        <v>4</v>
      </c>
      <c r="I303">
        <v>250.26</v>
      </c>
      <c r="J303">
        <v>1001.04</v>
      </c>
      <c r="K303" t="s">
        <v>17</v>
      </c>
    </row>
    <row r="304" spans="1:11" x14ac:dyDescent="0.25">
      <c r="A304" s="1">
        <v>44567</v>
      </c>
      <c r="B304" t="s">
        <v>44</v>
      </c>
      <c r="C304" t="s">
        <v>19</v>
      </c>
      <c r="D304" t="s">
        <v>20</v>
      </c>
      <c r="E304" t="s">
        <v>14</v>
      </c>
      <c r="F304" t="s">
        <v>40</v>
      </c>
      <c r="G304" t="s">
        <v>27</v>
      </c>
      <c r="H304">
        <v>1</v>
      </c>
      <c r="I304">
        <v>137.19999999999999</v>
      </c>
      <c r="J304" s="10">
        <v>137.19999999999999</v>
      </c>
      <c r="K304" t="s">
        <v>17</v>
      </c>
    </row>
    <row r="305" spans="1:11" x14ac:dyDescent="0.25">
      <c r="A305" s="1">
        <v>44638</v>
      </c>
      <c r="B305" t="s">
        <v>44</v>
      </c>
      <c r="C305" t="s">
        <v>19</v>
      </c>
      <c r="D305" t="s">
        <v>20</v>
      </c>
      <c r="E305" t="s">
        <v>26</v>
      </c>
      <c r="F305" t="s">
        <v>21</v>
      </c>
      <c r="G305" t="s">
        <v>39</v>
      </c>
      <c r="H305">
        <v>3</v>
      </c>
      <c r="I305">
        <v>164.06</v>
      </c>
      <c r="J305" s="10">
        <v>492.18</v>
      </c>
      <c r="K305" t="s">
        <v>35</v>
      </c>
    </row>
    <row r="306" spans="1:11" x14ac:dyDescent="0.25">
      <c r="A306" s="1">
        <v>44599</v>
      </c>
      <c r="B306" t="s">
        <v>37</v>
      </c>
      <c r="C306" t="s">
        <v>29</v>
      </c>
      <c r="D306" t="s">
        <v>38</v>
      </c>
      <c r="E306" t="s">
        <v>14</v>
      </c>
      <c r="F306" t="s">
        <v>21</v>
      </c>
      <c r="G306" t="s">
        <v>22</v>
      </c>
      <c r="H306">
        <v>4</v>
      </c>
      <c r="I306">
        <v>198.45</v>
      </c>
      <c r="J306" s="10">
        <v>793.8</v>
      </c>
      <c r="K306" t="s">
        <v>36</v>
      </c>
    </row>
    <row r="307" spans="1:11" hidden="1" x14ac:dyDescent="0.25">
      <c r="A307" s="1">
        <v>44717</v>
      </c>
      <c r="B307" t="s">
        <v>48</v>
      </c>
      <c r="C307" t="s">
        <v>49</v>
      </c>
      <c r="D307" t="s">
        <v>50</v>
      </c>
      <c r="E307" t="s">
        <v>14</v>
      </c>
      <c r="F307" t="s">
        <v>15</v>
      </c>
      <c r="G307" t="s">
        <v>27</v>
      </c>
      <c r="H307">
        <v>2</v>
      </c>
      <c r="I307">
        <v>162.47999999999999</v>
      </c>
      <c r="J307">
        <v>324.95999999999998</v>
      </c>
      <c r="K307" t="s">
        <v>23</v>
      </c>
    </row>
    <row r="308" spans="1:11" x14ac:dyDescent="0.25">
      <c r="A308" s="1">
        <v>44725</v>
      </c>
      <c r="B308" t="s">
        <v>41</v>
      </c>
      <c r="C308" t="s">
        <v>29</v>
      </c>
      <c r="D308" t="s">
        <v>42</v>
      </c>
      <c r="E308" t="s">
        <v>30</v>
      </c>
      <c r="F308" t="s">
        <v>32</v>
      </c>
      <c r="G308" t="s">
        <v>34</v>
      </c>
      <c r="H308">
        <v>4</v>
      </c>
      <c r="I308">
        <v>243.48</v>
      </c>
      <c r="J308" s="10">
        <v>973.92</v>
      </c>
      <c r="K308" t="s">
        <v>36</v>
      </c>
    </row>
    <row r="309" spans="1:11" x14ac:dyDescent="0.25">
      <c r="A309" s="1">
        <v>44783</v>
      </c>
      <c r="B309" t="s">
        <v>24</v>
      </c>
      <c r="C309" t="s">
        <v>19</v>
      </c>
      <c r="D309" t="s">
        <v>25</v>
      </c>
      <c r="E309" t="s">
        <v>26</v>
      </c>
      <c r="F309" t="s">
        <v>15</v>
      </c>
      <c r="G309" t="s">
        <v>34</v>
      </c>
      <c r="H309">
        <v>4</v>
      </c>
      <c r="I309">
        <v>183.4</v>
      </c>
      <c r="J309" s="10">
        <v>733.6</v>
      </c>
      <c r="K309" t="s">
        <v>17</v>
      </c>
    </row>
    <row r="310" spans="1:11" x14ac:dyDescent="0.25">
      <c r="A310" s="1">
        <v>44686</v>
      </c>
      <c r="B310" t="s">
        <v>37</v>
      </c>
      <c r="C310" t="s">
        <v>29</v>
      </c>
      <c r="D310" t="s">
        <v>38</v>
      </c>
      <c r="E310" t="s">
        <v>30</v>
      </c>
      <c r="F310" t="s">
        <v>21</v>
      </c>
      <c r="G310" t="s">
        <v>34</v>
      </c>
      <c r="H310">
        <v>1</v>
      </c>
      <c r="I310">
        <v>271.44</v>
      </c>
      <c r="J310" s="10">
        <v>271.44</v>
      </c>
      <c r="K310" t="s">
        <v>23</v>
      </c>
    </row>
    <row r="311" spans="1:11" x14ac:dyDescent="0.25">
      <c r="A311" s="1">
        <v>44621</v>
      </c>
      <c r="B311" t="s">
        <v>37</v>
      </c>
      <c r="C311" t="s">
        <v>29</v>
      </c>
      <c r="D311" t="s">
        <v>38</v>
      </c>
      <c r="E311" t="s">
        <v>14</v>
      </c>
      <c r="F311" t="s">
        <v>15</v>
      </c>
      <c r="G311" t="s">
        <v>22</v>
      </c>
      <c r="H311">
        <v>2</v>
      </c>
      <c r="I311">
        <v>135.47999999999999</v>
      </c>
      <c r="J311" s="10">
        <v>270.95999999999998</v>
      </c>
      <c r="K311" t="s">
        <v>23</v>
      </c>
    </row>
    <row r="312" spans="1:11" x14ac:dyDescent="0.25">
      <c r="A312" s="1">
        <v>44582</v>
      </c>
      <c r="B312" t="s">
        <v>11</v>
      </c>
      <c r="C312" t="s">
        <v>12</v>
      </c>
      <c r="D312" t="s">
        <v>13</v>
      </c>
      <c r="E312" t="s">
        <v>30</v>
      </c>
      <c r="F312" t="s">
        <v>40</v>
      </c>
      <c r="G312" t="s">
        <v>16</v>
      </c>
      <c r="H312">
        <v>5</v>
      </c>
      <c r="I312">
        <v>148.46</v>
      </c>
      <c r="J312" s="10">
        <v>742.3</v>
      </c>
      <c r="K312" t="s">
        <v>17</v>
      </c>
    </row>
    <row r="313" spans="1:11" hidden="1" x14ac:dyDescent="0.25">
      <c r="A313" s="1">
        <v>44752</v>
      </c>
      <c r="B313" t="s">
        <v>45</v>
      </c>
      <c r="C313" t="s">
        <v>46</v>
      </c>
      <c r="D313" t="s">
        <v>47</v>
      </c>
      <c r="E313" t="s">
        <v>30</v>
      </c>
      <c r="F313" t="s">
        <v>32</v>
      </c>
      <c r="G313" t="s">
        <v>39</v>
      </c>
      <c r="H313">
        <v>5</v>
      </c>
      <c r="I313">
        <v>251.06</v>
      </c>
      <c r="J313">
        <v>1255.3</v>
      </c>
      <c r="K313" t="s">
        <v>35</v>
      </c>
    </row>
    <row r="314" spans="1:11" hidden="1" x14ac:dyDescent="0.25">
      <c r="A314" s="1">
        <v>44632</v>
      </c>
      <c r="B314" t="s">
        <v>45</v>
      </c>
      <c r="C314" t="s">
        <v>46</v>
      </c>
      <c r="D314" t="s">
        <v>47</v>
      </c>
      <c r="E314" t="s">
        <v>14</v>
      </c>
      <c r="F314" t="s">
        <v>21</v>
      </c>
      <c r="G314" t="s">
        <v>27</v>
      </c>
      <c r="H314">
        <v>2</v>
      </c>
      <c r="I314">
        <v>195.41</v>
      </c>
      <c r="J314">
        <v>390.82</v>
      </c>
      <c r="K314" t="s">
        <v>17</v>
      </c>
    </row>
    <row r="315" spans="1:11" x14ac:dyDescent="0.25">
      <c r="A315" s="1">
        <v>44583</v>
      </c>
      <c r="B315" t="s">
        <v>18</v>
      </c>
      <c r="C315" t="s">
        <v>19</v>
      </c>
      <c r="D315" t="s">
        <v>20</v>
      </c>
      <c r="E315" t="s">
        <v>14</v>
      </c>
      <c r="F315" t="s">
        <v>15</v>
      </c>
      <c r="G315" t="s">
        <v>43</v>
      </c>
      <c r="H315">
        <v>4</v>
      </c>
      <c r="I315">
        <v>206.29</v>
      </c>
      <c r="J315" s="10">
        <v>825.16</v>
      </c>
      <c r="K315" t="s">
        <v>36</v>
      </c>
    </row>
    <row r="316" spans="1:11" hidden="1" x14ac:dyDescent="0.25">
      <c r="A316" s="1">
        <v>44694</v>
      </c>
      <c r="B316" t="s">
        <v>45</v>
      </c>
      <c r="C316" t="s">
        <v>46</v>
      </c>
      <c r="D316" t="s">
        <v>47</v>
      </c>
      <c r="E316" t="s">
        <v>26</v>
      </c>
      <c r="F316" t="s">
        <v>21</v>
      </c>
      <c r="G316" t="s">
        <v>16</v>
      </c>
      <c r="H316">
        <v>4</v>
      </c>
      <c r="I316">
        <v>146.09</v>
      </c>
      <c r="J316">
        <v>584.36</v>
      </c>
      <c r="K316" t="s">
        <v>23</v>
      </c>
    </row>
    <row r="317" spans="1:11" x14ac:dyDescent="0.25">
      <c r="A317" s="1">
        <v>44707</v>
      </c>
      <c r="B317" t="s">
        <v>18</v>
      </c>
      <c r="C317" t="s">
        <v>19</v>
      </c>
      <c r="D317" t="s">
        <v>20</v>
      </c>
      <c r="E317" t="s">
        <v>26</v>
      </c>
      <c r="F317" t="s">
        <v>15</v>
      </c>
      <c r="G317" t="s">
        <v>22</v>
      </c>
      <c r="H317">
        <v>1</v>
      </c>
      <c r="I317">
        <v>284.3</v>
      </c>
      <c r="J317" s="10">
        <v>284.3</v>
      </c>
      <c r="K317" t="s">
        <v>17</v>
      </c>
    </row>
    <row r="318" spans="1:11" hidden="1" x14ac:dyDescent="0.25">
      <c r="A318" s="1">
        <v>44575</v>
      </c>
      <c r="B318" t="s">
        <v>48</v>
      </c>
      <c r="C318" t="s">
        <v>49</v>
      </c>
      <c r="D318" t="s">
        <v>50</v>
      </c>
      <c r="E318" t="s">
        <v>14</v>
      </c>
      <c r="F318" t="s">
        <v>15</v>
      </c>
      <c r="G318" t="s">
        <v>33</v>
      </c>
      <c r="H318">
        <v>5</v>
      </c>
      <c r="I318">
        <v>289.47000000000003</v>
      </c>
      <c r="J318">
        <v>1447.35</v>
      </c>
      <c r="K318" t="s">
        <v>17</v>
      </c>
    </row>
    <row r="319" spans="1:11" x14ac:dyDescent="0.25">
      <c r="A319" s="1">
        <v>44630</v>
      </c>
      <c r="B319" t="s">
        <v>28</v>
      </c>
      <c r="C319" t="s">
        <v>29</v>
      </c>
      <c r="D319" t="s">
        <v>25</v>
      </c>
      <c r="E319" t="s">
        <v>26</v>
      </c>
      <c r="F319" t="s">
        <v>40</v>
      </c>
      <c r="G319" t="s">
        <v>34</v>
      </c>
      <c r="H319">
        <v>2</v>
      </c>
      <c r="I319">
        <v>218.25</v>
      </c>
      <c r="J319" s="10">
        <v>436.5</v>
      </c>
      <c r="K319" t="s">
        <v>36</v>
      </c>
    </row>
    <row r="320" spans="1:11" x14ac:dyDescent="0.25">
      <c r="A320" s="1">
        <v>44750</v>
      </c>
      <c r="B320" t="s">
        <v>31</v>
      </c>
      <c r="C320" t="s">
        <v>19</v>
      </c>
      <c r="D320" t="s">
        <v>25</v>
      </c>
      <c r="E320" t="s">
        <v>30</v>
      </c>
      <c r="F320" t="s">
        <v>21</v>
      </c>
      <c r="G320" t="s">
        <v>43</v>
      </c>
      <c r="H320">
        <v>4</v>
      </c>
      <c r="I320">
        <v>204.62</v>
      </c>
      <c r="J320" s="10">
        <v>818.48</v>
      </c>
      <c r="K320" t="s">
        <v>36</v>
      </c>
    </row>
    <row r="321" spans="1:11" hidden="1" x14ac:dyDescent="0.25">
      <c r="A321" s="1">
        <v>44564</v>
      </c>
      <c r="B321" t="s">
        <v>48</v>
      </c>
      <c r="C321" t="s">
        <v>49</v>
      </c>
      <c r="D321" t="s">
        <v>50</v>
      </c>
      <c r="E321" t="s">
        <v>26</v>
      </c>
      <c r="F321" t="s">
        <v>15</v>
      </c>
      <c r="G321" t="s">
        <v>16</v>
      </c>
      <c r="H321">
        <v>2</v>
      </c>
      <c r="I321">
        <v>267.42</v>
      </c>
      <c r="J321">
        <v>534.84</v>
      </c>
      <c r="K321" t="s">
        <v>23</v>
      </c>
    </row>
    <row r="322" spans="1:11" x14ac:dyDescent="0.25">
      <c r="A322" s="1">
        <v>44653</v>
      </c>
      <c r="B322" t="s">
        <v>41</v>
      </c>
      <c r="C322" t="s">
        <v>29</v>
      </c>
      <c r="D322" t="s">
        <v>42</v>
      </c>
      <c r="E322" t="s">
        <v>30</v>
      </c>
      <c r="F322" t="s">
        <v>32</v>
      </c>
      <c r="G322" t="s">
        <v>27</v>
      </c>
      <c r="H322">
        <v>1</v>
      </c>
      <c r="I322">
        <v>144.59</v>
      </c>
      <c r="J322" s="10">
        <v>144.59</v>
      </c>
      <c r="K322" t="s">
        <v>35</v>
      </c>
    </row>
    <row r="323" spans="1:11" x14ac:dyDescent="0.25">
      <c r="A323" s="1">
        <v>44790</v>
      </c>
      <c r="B323" t="s">
        <v>18</v>
      </c>
      <c r="C323" t="s">
        <v>19</v>
      </c>
      <c r="D323" t="s">
        <v>20</v>
      </c>
      <c r="E323" t="s">
        <v>30</v>
      </c>
      <c r="F323" t="s">
        <v>40</v>
      </c>
      <c r="G323" t="s">
        <v>39</v>
      </c>
      <c r="H323">
        <v>2</v>
      </c>
      <c r="I323">
        <v>80.47</v>
      </c>
      <c r="J323" s="10">
        <v>160.94</v>
      </c>
      <c r="K323" t="s">
        <v>17</v>
      </c>
    </row>
    <row r="324" spans="1:11" x14ac:dyDescent="0.25">
      <c r="A324" s="1">
        <v>44677</v>
      </c>
      <c r="B324" t="s">
        <v>28</v>
      </c>
      <c r="C324" t="s">
        <v>29</v>
      </c>
      <c r="D324" t="s">
        <v>25</v>
      </c>
      <c r="E324" t="s">
        <v>30</v>
      </c>
      <c r="F324" t="s">
        <v>32</v>
      </c>
      <c r="G324" t="s">
        <v>39</v>
      </c>
      <c r="H324">
        <v>2</v>
      </c>
      <c r="I324">
        <v>98.17</v>
      </c>
      <c r="J324" s="10">
        <v>196.34</v>
      </c>
      <c r="K324" t="s">
        <v>17</v>
      </c>
    </row>
    <row r="325" spans="1:11" x14ac:dyDescent="0.25">
      <c r="A325" s="1">
        <v>44727</v>
      </c>
      <c r="B325" t="s">
        <v>37</v>
      </c>
      <c r="C325" t="s">
        <v>29</v>
      </c>
      <c r="D325" t="s">
        <v>38</v>
      </c>
      <c r="E325" t="s">
        <v>30</v>
      </c>
      <c r="F325" t="s">
        <v>40</v>
      </c>
      <c r="G325" t="s">
        <v>34</v>
      </c>
      <c r="H325">
        <v>2</v>
      </c>
      <c r="I325">
        <v>63.76</v>
      </c>
      <c r="J325" s="10">
        <v>127.52</v>
      </c>
      <c r="K325" t="s">
        <v>23</v>
      </c>
    </row>
    <row r="326" spans="1:11" x14ac:dyDescent="0.25">
      <c r="A326" s="1">
        <v>44657</v>
      </c>
      <c r="B326" t="s">
        <v>41</v>
      </c>
      <c r="C326" t="s">
        <v>29</v>
      </c>
      <c r="D326" t="s">
        <v>42</v>
      </c>
      <c r="E326" t="s">
        <v>30</v>
      </c>
      <c r="F326" t="s">
        <v>32</v>
      </c>
      <c r="G326" t="s">
        <v>34</v>
      </c>
      <c r="H326">
        <v>2</v>
      </c>
      <c r="I326">
        <v>157.12</v>
      </c>
      <c r="J326" s="10">
        <v>314.24</v>
      </c>
      <c r="K326" t="s">
        <v>17</v>
      </c>
    </row>
    <row r="327" spans="1:11" x14ac:dyDescent="0.25">
      <c r="A327" s="1">
        <v>44658</v>
      </c>
      <c r="B327" t="s">
        <v>41</v>
      </c>
      <c r="C327" t="s">
        <v>29</v>
      </c>
      <c r="D327" t="s">
        <v>42</v>
      </c>
      <c r="E327" t="s">
        <v>26</v>
      </c>
      <c r="F327" t="s">
        <v>32</v>
      </c>
      <c r="G327" t="s">
        <v>27</v>
      </c>
      <c r="H327">
        <v>5</v>
      </c>
      <c r="I327">
        <v>293.20999999999998</v>
      </c>
      <c r="J327" s="10">
        <v>1466.05</v>
      </c>
      <c r="K327" t="s">
        <v>23</v>
      </c>
    </row>
    <row r="328" spans="1:11" x14ac:dyDescent="0.25">
      <c r="A328" s="1">
        <v>44650</v>
      </c>
      <c r="B328" t="s">
        <v>37</v>
      </c>
      <c r="C328" t="s">
        <v>29</v>
      </c>
      <c r="D328" t="s">
        <v>38</v>
      </c>
      <c r="E328" t="s">
        <v>30</v>
      </c>
      <c r="F328" t="s">
        <v>21</v>
      </c>
      <c r="G328" t="s">
        <v>34</v>
      </c>
      <c r="H328">
        <v>2</v>
      </c>
      <c r="I328">
        <v>142.25</v>
      </c>
      <c r="J328" s="10">
        <v>284.5</v>
      </c>
      <c r="K328" t="s">
        <v>35</v>
      </c>
    </row>
    <row r="329" spans="1:11" x14ac:dyDescent="0.25">
      <c r="A329" s="1">
        <v>44744</v>
      </c>
      <c r="B329" t="s">
        <v>37</v>
      </c>
      <c r="C329" t="s">
        <v>29</v>
      </c>
      <c r="D329" t="s">
        <v>38</v>
      </c>
      <c r="E329" t="s">
        <v>30</v>
      </c>
      <c r="F329" t="s">
        <v>40</v>
      </c>
      <c r="G329" t="s">
        <v>16</v>
      </c>
      <c r="H329">
        <v>1</v>
      </c>
      <c r="I329">
        <v>86.17</v>
      </c>
      <c r="J329" s="10">
        <v>86.17</v>
      </c>
      <c r="K329" t="s">
        <v>36</v>
      </c>
    </row>
    <row r="330" spans="1:11" x14ac:dyDescent="0.25">
      <c r="A330" s="1">
        <v>44751</v>
      </c>
      <c r="B330" t="s">
        <v>28</v>
      </c>
      <c r="C330" t="s">
        <v>29</v>
      </c>
      <c r="D330" t="s">
        <v>25</v>
      </c>
      <c r="E330" t="s">
        <v>26</v>
      </c>
      <c r="F330" t="s">
        <v>15</v>
      </c>
      <c r="G330" t="s">
        <v>39</v>
      </c>
      <c r="H330">
        <v>3</v>
      </c>
      <c r="I330">
        <v>172.37</v>
      </c>
      <c r="J330" s="10">
        <v>517.11</v>
      </c>
      <c r="K330" t="s">
        <v>17</v>
      </c>
    </row>
    <row r="331" spans="1:11" x14ac:dyDescent="0.25">
      <c r="A331" s="1">
        <v>44597</v>
      </c>
      <c r="B331" t="s">
        <v>37</v>
      </c>
      <c r="C331" t="s">
        <v>29</v>
      </c>
      <c r="D331" t="s">
        <v>38</v>
      </c>
      <c r="E331" t="s">
        <v>30</v>
      </c>
      <c r="F331" t="s">
        <v>40</v>
      </c>
      <c r="G331" t="s">
        <v>43</v>
      </c>
      <c r="H331">
        <v>3</v>
      </c>
      <c r="I331">
        <v>236.05</v>
      </c>
      <c r="J331" s="10">
        <v>708.15</v>
      </c>
      <c r="K331" t="s">
        <v>35</v>
      </c>
    </row>
    <row r="332" spans="1:11" x14ac:dyDescent="0.25">
      <c r="A332" s="1">
        <v>44753</v>
      </c>
      <c r="B332" t="s">
        <v>28</v>
      </c>
      <c r="C332" t="s">
        <v>29</v>
      </c>
      <c r="D332" t="s">
        <v>25</v>
      </c>
      <c r="E332" t="s">
        <v>30</v>
      </c>
      <c r="F332" t="s">
        <v>21</v>
      </c>
      <c r="G332" t="s">
        <v>34</v>
      </c>
      <c r="H332">
        <v>3</v>
      </c>
      <c r="I332">
        <v>256.72000000000003</v>
      </c>
      <c r="J332" s="10">
        <v>770.16</v>
      </c>
      <c r="K332" t="s">
        <v>35</v>
      </c>
    </row>
    <row r="333" spans="1:11" x14ac:dyDescent="0.25">
      <c r="A333" s="1">
        <v>44714</v>
      </c>
      <c r="B333" t="s">
        <v>24</v>
      </c>
      <c r="C333" t="s">
        <v>19</v>
      </c>
      <c r="D333" t="s">
        <v>25</v>
      </c>
      <c r="E333" t="s">
        <v>30</v>
      </c>
      <c r="F333" t="s">
        <v>15</v>
      </c>
      <c r="G333" t="s">
        <v>34</v>
      </c>
      <c r="H333">
        <v>4</v>
      </c>
      <c r="I333">
        <v>205.64</v>
      </c>
      <c r="J333" s="10">
        <v>822.56</v>
      </c>
      <c r="K333" t="s">
        <v>36</v>
      </c>
    </row>
    <row r="334" spans="1:11" x14ac:dyDescent="0.25">
      <c r="A334" s="1">
        <v>44710</v>
      </c>
      <c r="B334" t="s">
        <v>37</v>
      </c>
      <c r="C334" t="s">
        <v>29</v>
      </c>
      <c r="D334" t="s">
        <v>38</v>
      </c>
      <c r="E334" t="s">
        <v>30</v>
      </c>
      <c r="F334" t="s">
        <v>21</v>
      </c>
      <c r="G334" t="s">
        <v>27</v>
      </c>
      <c r="H334">
        <v>4</v>
      </c>
      <c r="I334">
        <v>68.180000000000007</v>
      </c>
      <c r="J334" s="10">
        <v>272.72000000000003</v>
      </c>
      <c r="K334" t="s">
        <v>23</v>
      </c>
    </row>
    <row r="335" spans="1:11" hidden="1" x14ac:dyDescent="0.25">
      <c r="A335" s="1">
        <v>44641</v>
      </c>
      <c r="B335" t="s">
        <v>45</v>
      </c>
      <c r="C335" t="s">
        <v>46</v>
      </c>
      <c r="D335" t="s">
        <v>47</v>
      </c>
      <c r="E335" t="s">
        <v>30</v>
      </c>
      <c r="F335" t="s">
        <v>15</v>
      </c>
      <c r="G335" t="s">
        <v>33</v>
      </c>
      <c r="H335">
        <v>4</v>
      </c>
      <c r="I335">
        <v>68.97</v>
      </c>
      <c r="J335">
        <v>275.88</v>
      </c>
      <c r="K335" t="s">
        <v>17</v>
      </c>
    </row>
    <row r="336" spans="1:11" x14ac:dyDescent="0.25">
      <c r="A336" s="1">
        <v>44718</v>
      </c>
      <c r="B336" t="s">
        <v>28</v>
      </c>
      <c r="C336" t="s">
        <v>29</v>
      </c>
      <c r="D336" t="s">
        <v>25</v>
      </c>
      <c r="E336" t="s">
        <v>14</v>
      </c>
      <c r="F336" t="s">
        <v>15</v>
      </c>
      <c r="G336" t="s">
        <v>27</v>
      </c>
      <c r="H336">
        <v>5</v>
      </c>
      <c r="I336">
        <v>123.23</v>
      </c>
      <c r="J336" s="10">
        <v>616.15</v>
      </c>
      <c r="K336" t="s">
        <v>36</v>
      </c>
    </row>
    <row r="337" spans="1:11" x14ac:dyDescent="0.25">
      <c r="A337" s="1">
        <v>44797</v>
      </c>
      <c r="B337" t="s">
        <v>24</v>
      </c>
      <c r="C337" t="s">
        <v>19</v>
      </c>
      <c r="D337" t="s">
        <v>25</v>
      </c>
      <c r="E337" t="s">
        <v>26</v>
      </c>
      <c r="F337" t="s">
        <v>21</v>
      </c>
      <c r="G337" t="s">
        <v>33</v>
      </c>
      <c r="H337">
        <v>5</v>
      </c>
      <c r="I337">
        <v>273</v>
      </c>
      <c r="J337" s="10">
        <v>1365</v>
      </c>
      <c r="K337" t="s">
        <v>17</v>
      </c>
    </row>
    <row r="338" spans="1:11" x14ac:dyDescent="0.25">
      <c r="A338" s="1">
        <v>44602</v>
      </c>
      <c r="B338" t="s">
        <v>18</v>
      </c>
      <c r="C338" t="s">
        <v>19</v>
      </c>
      <c r="D338" t="s">
        <v>20</v>
      </c>
      <c r="E338" t="s">
        <v>26</v>
      </c>
      <c r="F338" t="s">
        <v>32</v>
      </c>
      <c r="G338" t="s">
        <v>39</v>
      </c>
      <c r="H338">
        <v>3</v>
      </c>
      <c r="I338">
        <v>225.84</v>
      </c>
      <c r="J338" s="10">
        <v>677.52</v>
      </c>
      <c r="K338" t="s">
        <v>17</v>
      </c>
    </row>
    <row r="339" spans="1:11" x14ac:dyDescent="0.25">
      <c r="A339" s="1">
        <v>44621</v>
      </c>
      <c r="B339" t="s">
        <v>31</v>
      </c>
      <c r="C339" t="s">
        <v>19</v>
      </c>
      <c r="D339" t="s">
        <v>25</v>
      </c>
      <c r="E339" t="s">
        <v>26</v>
      </c>
      <c r="F339" t="s">
        <v>40</v>
      </c>
      <c r="G339" t="s">
        <v>39</v>
      </c>
      <c r="H339">
        <v>3</v>
      </c>
      <c r="I339">
        <v>235.36</v>
      </c>
      <c r="J339" s="10">
        <v>706.08</v>
      </c>
      <c r="K339" t="s">
        <v>36</v>
      </c>
    </row>
    <row r="340" spans="1:11" x14ac:dyDescent="0.25">
      <c r="A340" s="1">
        <v>44637</v>
      </c>
      <c r="B340" t="s">
        <v>18</v>
      </c>
      <c r="C340" t="s">
        <v>19</v>
      </c>
      <c r="D340" t="s">
        <v>20</v>
      </c>
      <c r="E340" t="s">
        <v>26</v>
      </c>
      <c r="F340" t="s">
        <v>40</v>
      </c>
      <c r="G340" t="s">
        <v>43</v>
      </c>
      <c r="H340">
        <v>5</v>
      </c>
      <c r="I340">
        <v>189.94</v>
      </c>
      <c r="J340" s="10">
        <v>949.7</v>
      </c>
      <c r="K340" t="s">
        <v>23</v>
      </c>
    </row>
    <row r="341" spans="1:11" x14ac:dyDescent="0.25">
      <c r="A341" s="1">
        <v>44564</v>
      </c>
      <c r="B341" t="s">
        <v>37</v>
      </c>
      <c r="C341" t="s">
        <v>29</v>
      </c>
      <c r="D341" t="s">
        <v>38</v>
      </c>
      <c r="E341" t="s">
        <v>26</v>
      </c>
      <c r="F341" t="s">
        <v>32</v>
      </c>
      <c r="G341" t="s">
        <v>22</v>
      </c>
      <c r="H341">
        <v>3</v>
      </c>
      <c r="I341">
        <v>110.2</v>
      </c>
      <c r="J341" s="10">
        <v>330.6</v>
      </c>
      <c r="K341" t="s">
        <v>17</v>
      </c>
    </row>
    <row r="342" spans="1:11" x14ac:dyDescent="0.25">
      <c r="A342" s="1">
        <v>44741</v>
      </c>
      <c r="B342" t="s">
        <v>37</v>
      </c>
      <c r="C342" t="s">
        <v>29</v>
      </c>
      <c r="D342" t="s">
        <v>38</v>
      </c>
      <c r="E342" t="s">
        <v>14</v>
      </c>
      <c r="F342" t="s">
        <v>40</v>
      </c>
      <c r="G342" t="s">
        <v>27</v>
      </c>
      <c r="H342">
        <v>2</v>
      </c>
      <c r="I342">
        <v>54.76</v>
      </c>
      <c r="J342" s="10">
        <v>109.52</v>
      </c>
      <c r="K342" t="s">
        <v>36</v>
      </c>
    </row>
    <row r="343" spans="1:11" x14ac:dyDescent="0.25">
      <c r="A343" s="1">
        <v>44714</v>
      </c>
      <c r="B343" t="s">
        <v>41</v>
      </c>
      <c r="C343" t="s">
        <v>29</v>
      </c>
      <c r="D343" t="s">
        <v>42</v>
      </c>
      <c r="E343" t="s">
        <v>26</v>
      </c>
      <c r="F343" t="s">
        <v>40</v>
      </c>
      <c r="G343" t="s">
        <v>33</v>
      </c>
      <c r="H343">
        <v>1</v>
      </c>
      <c r="I343">
        <v>296.56</v>
      </c>
      <c r="J343" s="10">
        <v>296.56</v>
      </c>
      <c r="K343" t="s">
        <v>35</v>
      </c>
    </row>
    <row r="344" spans="1:11" x14ac:dyDescent="0.25">
      <c r="A344" s="1">
        <v>44716</v>
      </c>
      <c r="B344" t="s">
        <v>18</v>
      </c>
      <c r="C344" t="s">
        <v>19</v>
      </c>
      <c r="D344" t="s">
        <v>20</v>
      </c>
      <c r="E344" t="s">
        <v>26</v>
      </c>
      <c r="F344" t="s">
        <v>40</v>
      </c>
      <c r="G344" t="s">
        <v>33</v>
      </c>
      <c r="H344">
        <v>1</v>
      </c>
      <c r="I344">
        <v>296.51</v>
      </c>
      <c r="J344" s="10">
        <v>296.51</v>
      </c>
      <c r="K344" t="s">
        <v>36</v>
      </c>
    </row>
    <row r="345" spans="1:11" hidden="1" x14ac:dyDescent="0.25">
      <c r="A345" s="1">
        <v>44654</v>
      </c>
      <c r="B345" t="s">
        <v>48</v>
      </c>
      <c r="C345" t="s">
        <v>49</v>
      </c>
      <c r="D345" t="s">
        <v>50</v>
      </c>
      <c r="E345" t="s">
        <v>30</v>
      </c>
      <c r="F345" t="s">
        <v>32</v>
      </c>
      <c r="G345" t="s">
        <v>43</v>
      </c>
      <c r="H345">
        <v>1</v>
      </c>
      <c r="I345">
        <v>89.5</v>
      </c>
      <c r="J345">
        <v>89.5</v>
      </c>
      <c r="K345" t="s">
        <v>35</v>
      </c>
    </row>
    <row r="346" spans="1:11" x14ac:dyDescent="0.25">
      <c r="A346" s="1">
        <v>44636</v>
      </c>
      <c r="B346" t="s">
        <v>18</v>
      </c>
      <c r="C346" t="s">
        <v>19</v>
      </c>
      <c r="D346" t="s">
        <v>20</v>
      </c>
      <c r="E346" t="s">
        <v>14</v>
      </c>
      <c r="F346" t="s">
        <v>32</v>
      </c>
      <c r="G346" t="s">
        <v>34</v>
      </c>
      <c r="H346">
        <v>3</v>
      </c>
      <c r="I346">
        <v>280.64</v>
      </c>
      <c r="J346" s="10">
        <v>841.92</v>
      </c>
      <c r="K346" t="s">
        <v>17</v>
      </c>
    </row>
    <row r="347" spans="1:11" x14ac:dyDescent="0.25">
      <c r="A347" s="1">
        <v>44607</v>
      </c>
      <c r="B347" t="s">
        <v>28</v>
      </c>
      <c r="C347" t="s">
        <v>29</v>
      </c>
      <c r="D347" t="s">
        <v>25</v>
      </c>
      <c r="E347" t="s">
        <v>26</v>
      </c>
      <c r="F347" t="s">
        <v>21</v>
      </c>
      <c r="G347" t="s">
        <v>39</v>
      </c>
      <c r="H347">
        <v>5</v>
      </c>
      <c r="I347">
        <v>234.28</v>
      </c>
      <c r="J347" s="10">
        <v>1171.4000000000001</v>
      </c>
      <c r="K347" t="s">
        <v>23</v>
      </c>
    </row>
    <row r="348" spans="1:11" x14ac:dyDescent="0.25">
      <c r="A348" s="1">
        <v>44562</v>
      </c>
      <c r="B348" t="s">
        <v>24</v>
      </c>
      <c r="C348" t="s">
        <v>19</v>
      </c>
      <c r="D348" t="s">
        <v>25</v>
      </c>
      <c r="E348" t="s">
        <v>26</v>
      </c>
      <c r="F348" t="s">
        <v>21</v>
      </c>
      <c r="G348" t="s">
        <v>16</v>
      </c>
      <c r="H348">
        <v>2</v>
      </c>
      <c r="I348">
        <v>294.89</v>
      </c>
      <c r="J348" s="10">
        <v>589.78</v>
      </c>
      <c r="K348" t="s">
        <v>36</v>
      </c>
    </row>
    <row r="349" spans="1:11" x14ac:dyDescent="0.25">
      <c r="A349" s="1">
        <v>44630</v>
      </c>
      <c r="B349" t="s">
        <v>31</v>
      </c>
      <c r="C349" t="s">
        <v>19</v>
      </c>
      <c r="D349" t="s">
        <v>25</v>
      </c>
      <c r="E349" t="s">
        <v>26</v>
      </c>
      <c r="F349" t="s">
        <v>40</v>
      </c>
      <c r="G349" t="s">
        <v>22</v>
      </c>
      <c r="H349">
        <v>1</v>
      </c>
      <c r="I349">
        <v>208.24</v>
      </c>
      <c r="J349" s="10">
        <v>208.24</v>
      </c>
      <c r="K349" t="s">
        <v>23</v>
      </c>
    </row>
    <row r="350" spans="1:11" x14ac:dyDescent="0.25">
      <c r="A350" s="1">
        <v>44659</v>
      </c>
      <c r="B350" t="s">
        <v>31</v>
      </c>
      <c r="C350" t="s">
        <v>19</v>
      </c>
      <c r="D350" t="s">
        <v>25</v>
      </c>
      <c r="E350" t="s">
        <v>30</v>
      </c>
      <c r="F350" t="s">
        <v>32</v>
      </c>
      <c r="G350" t="s">
        <v>43</v>
      </c>
      <c r="H350">
        <v>5</v>
      </c>
      <c r="I350">
        <v>94.25</v>
      </c>
      <c r="J350" s="10">
        <v>471.25</v>
      </c>
      <c r="K350" t="s">
        <v>36</v>
      </c>
    </row>
    <row r="351" spans="1:11" x14ac:dyDescent="0.25">
      <c r="A351" s="1">
        <v>44776</v>
      </c>
      <c r="B351" t="s">
        <v>28</v>
      </c>
      <c r="C351" t="s">
        <v>29</v>
      </c>
      <c r="D351" t="s">
        <v>25</v>
      </c>
      <c r="E351" t="s">
        <v>26</v>
      </c>
      <c r="F351" t="s">
        <v>32</v>
      </c>
      <c r="G351" t="s">
        <v>27</v>
      </c>
      <c r="H351">
        <v>5</v>
      </c>
      <c r="I351">
        <v>259</v>
      </c>
      <c r="J351" s="10">
        <v>1295</v>
      </c>
      <c r="K351" t="s">
        <v>17</v>
      </c>
    </row>
    <row r="352" spans="1:11" hidden="1" x14ac:dyDescent="0.25">
      <c r="A352" s="1">
        <v>44686</v>
      </c>
      <c r="B352" t="s">
        <v>48</v>
      </c>
      <c r="C352" t="s">
        <v>49</v>
      </c>
      <c r="D352" t="s">
        <v>50</v>
      </c>
      <c r="E352" t="s">
        <v>26</v>
      </c>
      <c r="F352" t="s">
        <v>32</v>
      </c>
      <c r="G352" t="s">
        <v>27</v>
      </c>
      <c r="H352">
        <v>4</v>
      </c>
      <c r="I352">
        <v>299.73</v>
      </c>
      <c r="J352">
        <v>1198.92</v>
      </c>
      <c r="K352" t="s">
        <v>23</v>
      </c>
    </row>
    <row r="353" spans="1:11" x14ac:dyDescent="0.25">
      <c r="A353" s="1">
        <v>44700</v>
      </c>
      <c r="B353" t="s">
        <v>44</v>
      </c>
      <c r="C353" t="s">
        <v>19</v>
      </c>
      <c r="D353" t="s">
        <v>20</v>
      </c>
      <c r="E353" t="s">
        <v>30</v>
      </c>
      <c r="F353" t="s">
        <v>32</v>
      </c>
      <c r="G353" t="s">
        <v>39</v>
      </c>
      <c r="H353">
        <v>5</v>
      </c>
      <c r="I353">
        <v>71.260000000000005</v>
      </c>
      <c r="J353" s="10">
        <v>356.3</v>
      </c>
      <c r="K353" t="s">
        <v>23</v>
      </c>
    </row>
    <row r="354" spans="1:11" x14ac:dyDescent="0.25">
      <c r="A354" s="1">
        <v>44759</v>
      </c>
      <c r="B354" t="s">
        <v>24</v>
      </c>
      <c r="C354" t="s">
        <v>19</v>
      </c>
      <c r="D354" t="s">
        <v>25</v>
      </c>
      <c r="E354" t="s">
        <v>26</v>
      </c>
      <c r="F354" t="s">
        <v>15</v>
      </c>
      <c r="G354" t="s">
        <v>16</v>
      </c>
      <c r="H354">
        <v>5</v>
      </c>
      <c r="I354">
        <v>270.14</v>
      </c>
      <c r="J354" s="10">
        <v>1350.7</v>
      </c>
      <c r="K354" t="s">
        <v>36</v>
      </c>
    </row>
  </sheetData>
  <mergeCells count="4">
    <mergeCell ref="N4:T4"/>
    <mergeCell ref="N6:O6"/>
    <mergeCell ref="N7:O7"/>
    <mergeCell ref="M38:O38"/>
  </mergeCells>
  <pageMargins left="0.7" right="0.7" top="0.75" bottom="0.75" header="0.3" footer="0.3"/>
  <pageSetup orientation="portrait"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317"/>
  <sheetViews>
    <sheetView topLeftCell="E1" workbookViewId="0">
      <selection activeCell="N8" sqref="N7:N13"/>
      <pivotSelection pane="bottomRight" showHeader="1" axis="axisRow" activeRow="7" activeCol="13" previousRow="7" previousCol="13" click="3" r:id="rId1">
        <pivotArea dataOnly="0" labelOnly="1" fieldPosition="0">
          <references count="1">
            <reference field="3" count="0"/>
          </references>
        </pivotArea>
      </pivotSelection>
    </sheetView>
  </sheetViews>
  <sheetFormatPr defaultRowHeight="15" x14ac:dyDescent="0.25"/>
  <cols>
    <col min="1" max="1" width="10.42578125" bestFit="1" customWidth="1"/>
    <col min="2" max="2" width="24.42578125" bestFit="1" customWidth="1"/>
    <col min="3" max="3" width="14.85546875" bestFit="1" customWidth="1"/>
    <col min="4" max="5" width="10" bestFit="1" customWidth="1"/>
    <col min="6" max="6" width="14.5703125" bestFit="1" customWidth="1"/>
    <col min="7" max="7" width="10.140625" customWidth="1"/>
    <col min="8" max="8" width="10.85546875" customWidth="1"/>
    <col min="9" max="9" width="14.7109375" style="30" customWidth="1"/>
    <col min="10" max="10" width="13.28515625" style="10" bestFit="1" customWidth="1"/>
    <col min="11" max="11" width="17" bestFit="1" customWidth="1"/>
    <col min="13" max="14" width="13.140625" bestFit="1" customWidth="1"/>
    <col min="15" max="15" width="17.85546875" bestFit="1" customWidth="1"/>
    <col min="16" max="16" width="18.85546875" bestFit="1" customWidth="1"/>
  </cols>
  <sheetData>
    <row r="1" spans="1:20" x14ac:dyDescent="0.25">
      <c r="A1" t="s">
        <v>0</v>
      </c>
      <c r="B1" t="s">
        <v>1</v>
      </c>
      <c r="C1" t="s">
        <v>2</v>
      </c>
      <c r="D1" t="s">
        <v>3</v>
      </c>
      <c r="E1" t="s">
        <v>4</v>
      </c>
      <c r="F1" t="s">
        <v>5</v>
      </c>
      <c r="G1" t="s">
        <v>6</v>
      </c>
      <c r="H1" t="s">
        <v>7</v>
      </c>
      <c r="I1" s="30" t="s">
        <v>8</v>
      </c>
      <c r="J1" s="10" t="s">
        <v>9</v>
      </c>
      <c r="K1" t="s">
        <v>10</v>
      </c>
    </row>
    <row r="2" spans="1:20" x14ac:dyDescent="0.25">
      <c r="A2" s="1">
        <v>44708</v>
      </c>
      <c r="B2" t="s">
        <v>11</v>
      </c>
      <c r="C2" t="s">
        <v>12</v>
      </c>
      <c r="D2" t="s">
        <v>13</v>
      </c>
      <c r="E2" t="s">
        <v>14</v>
      </c>
      <c r="F2" t="s">
        <v>15</v>
      </c>
      <c r="G2" t="s">
        <v>16</v>
      </c>
      <c r="H2">
        <v>5</v>
      </c>
      <c r="I2" s="30">
        <v>141.82</v>
      </c>
      <c r="J2" s="10">
        <v>709.1</v>
      </c>
      <c r="K2" t="s">
        <v>17</v>
      </c>
    </row>
    <row r="3" spans="1:20" x14ac:dyDescent="0.25">
      <c r="A3" s="1">
        <v>44679</v>
      </c>
      <c r="B3" t="s">
        <v>18</v>
      </c>
      <c r="C3" t="s">
        <v>19</v>
      </c>
      <c r="D3" t="s">
        <v>20</v>
      </c>
      <c r="E3" t="s">
        <v>14</v>
      </c>
      <c r="F3" t="s">
        <v>40</v>
      </c>
      <c r="G3" t="s">
        <v>33</v>
      </c>
      <c r="H3">
        <v>1</v>
      </c>
      <c r="I3" s="30">
        <v>70.69</v>
      </c>
      <c r="J3" s="10">
        <v>70.69</v>
      </c>
      <c r="K3" t="s">
        <v>35</v>
      </c>
    </row>
    <row r="4" spans="1:20" ht="15.75" x14ac:dyDescent="0.25">
      <c r="A4" s="1">
        <v>44633</v>
      </c>
      <c r="B4" t="s">
        <v>37</v>
      </c>
      <c r="C4" t="s">
        <v>29</v>
      </c>
      <c r="D4" t="s">
        <v>38</v>
      </c>
      <c r="E4" t="s">
        <v>26</v>
      </c>
      <c r="F4" t="s">
        <v>32</v>
      </c>
      <c r="G4" t="s">
        <v>34</v>
      </c>
      <c r="H4">
        <v>1</v>
      </c>
      <c r="I4" s="30">
        <v>89.14</v>
      </c>
      <c r="J4" s="10">
        <v>89.14</v>
      </c>
      <c r="K4" t="s">
        <v>23</v>
      </c>
      <c r="M4" s="2" t="s">
        <v>62</v>
      </c>
      <c r="N4" s="31" t="s">
        <v>61</v>
      </c>
      <c r="O4" s="31"/>
      <c r="P4" s="31"/>
      <c r="Q4" s="31"/>
      <c r="R4" s="31"/>
      <c r="S4" s="31"/>
      <c r="T4" s="31"/>
    </row>
    <row r="5" spans="1:20" x14ac:dyDescent="0.25">
      <c r="A5" s="1">
        <v>44766</v>
      </c>
      <c r="B5" t="s">
        <v>45</v>
      </c>
      <c r="C5" t="s">
        <v>46</v>
      </c>
      <c r="D5" t="s">
        <v>47</v>
      </c>
      <c r="E5" t="s">
        <v>14</v>
      </c>
      <c r="F5" t="s">
        <v>15</v>
      </c>
      <c r="G5" t="s">
        <v>43</v>
      </c>
      <c r="H5">
        <v>4</v>
      </c>
      <c r="I5" s="30">
        <v>135.07</v>
      </c>
      <c r="J5" s="10">
        <v>540.28</v>
      </c>
      <c r="K5" t="s">
        <v>23</v>
      </c>
    </row>
    <row r="6" spans="1:20" x14ac:dyDescent="0.25">
      <c r="A6" s="1">
        <v>44723</v>
      </c>
      <c r="B6" t="s">
        <v>44</v>
      </c>
      <c r="C6" t="s">
        <v>19</v>
      </c>
      <c r="D6" t="s">
        <v>20</v>
      </c>
      <c r="E6" t="s">
        <v>30</v>
      </c>
      <c r="F6" t="s">
        <v>21</v>
      </c>
      <c r="G6" t="s">
        <v>27</v>
      </c>
      <c r="H6">
        <v>2</v>
      </c>
      <c r="I6" s="30">
        <v>223</v>
      </c>
      <c r="J6" s="10">
        <v>446</v>
      </c>
      <c r="K6" t="s">
        <v>23</v>
      </c>
      <c r="N6" s="3" t="s">
        <v>54</v>
      </c>
      <c r="O6" t="s">
        <v>56</v>
      </c>
      <c r="P6" t="s">
        <v>185</v>
      </c>
    </row>
    <row r="7" spans="1:20" x14ac:dyDescent="0.25">
      <c r="A7" s="1">
        <v>44740</v>
      </c>
      <c r="B7" t="s">
        <v>11</v>
      </c>
      <c r="C7" t="s">
        <v>12</v>
      </c>
      <c r="D7" t="s">
        <v>13</v>
      </c>
      <c r="E7" t="s">
        <v>14</v>
      </c>
      <c r="F7" t="s">
        <v>15</v>
      </c>
      <c r="G7" t="s">
        <v>34</v>
      </c>
      <c r="H7">
        <v>4</v>
      </c>
      <c r="I7" s="30">
        <v>238.52</v>
      </c>
      <c r="J7" s="10">
        <v>954.08</v>
      </c>
      <c r="K7" t="s">
        <v>23</v>
      </c>
      <c r="N7" s="4" t="s">
        <v>20</v>
      </c>
      <c r="O7" s="6">
        <v>2</v>
      </c>
      <c r="P7" s="6">
        <v>35320.989999999991</v>
      </c>
    </row>
    <row r="8" spans="1:20" x14ac:dyDescent="0.25">
      <c r="A8" s="1">
        <v>44754</v>
      </c>
      <c r="B8" t="s">
        <v>28</v>
      </c>
      <c r="C8" t="s">
        <v>29</v>
      </c>
      <c r="D8" t="s">
        <v>25</v>
      </c>
      <c r="E8" t="s">
        <v>26</v>
      </c>
      <c r="F8" t="s">
        <v>32</v>
      </c>
      <c r="G8" t="s">
        <v>33</v>
      </c>
      <c r="H8">
        <v>5</v>
      </c>
      <c r="I8" s="30">
        <v>120.55</v>
      </c>
      <c r="J8" s="10">
        <v>602.75</v>
      </c>
      <c r="K8" t="s">
        <v>35</v>
      </c>
      <c r="N8" s="4" t="s">
        <v>13</v>
      </c>
      <c r="O8" s="6">
        <v>6</v>
      </c>
      <c r="P8" s="6">
        <v>12439.319999999998</v>
      </c>
    </row>
    <row r="9" spans="1:20" x14ac:dyDescent="0.25">
      <c r="A9" s="1">
        <v>44605</v>
      </c>
      <c r="B9" t="s">
        <v>45</v>
      </c>
      <c r="C9" t="s">
        <v>46</v>
      </c>
      <c r="D9" t="s">
        <v>47</v>
      </c>
      <c r="E9" t="s">
        <v>26</v>
      </c>
      <c r="F9" t="s">
        <v>21</v>
      </c>
      <c r="G9" t="s">
        <v>27</v>
      </c>
      <c r="H9">
        <v>4</v>
      </c>
      <c r="I9" s="30">
        <v>212.66</v>
      </c>
      <c r="J9" s="10">
        <v>850.64</v>
      </c>
      <c r="K9" t="s">
        <v>36</v>
      </c>
      <c r="N9" s="4" t="s">
        <v>47</v>
      </c>
      <c r="O9" s="6">
        <v>7</v>
      </c>
      <c r="P9" s="6">
        <v>11690.539999999997</v>
      </c>
    </row>
    <row r="10" spans="1:20" x14ac:dyDescent="0.25">
      <c r="A10" s="1">
        <v>44752</v>
      </c>
      <c r="B10" t="s">
        <v>37</v>
      </c>
      <c r="C10" t="s">
        <v>29</v>
      </c>
      <c r="D10" t="s">
        <v>38</v>
      </c>
      <c r="E10" t="s">
        <v>26</v>
      </c>
      <c r="F10" t="s">
        <v>21</v>
      </c>
      <c r="G10" t="s">
        <v>39</v>
      </c>
      <c r="H10">
        <v>5</v>
      </c>
      <c r="I10" s="30">
        <v>256.22000000000003</v>
      </c>
      <c r="J10" s="10">
        <v>1281.0999999999999</v>
      </c>
      <c r="K10" t="s">
        <v>36</v>
      </c>
      <c r="N10" s="4" t="s">
        <v>25</v>
      </c>
      <c r="O10" s="6">
        <v>1</v>
      </c>
      <c r="P10" s="6">
        <v>59507.039999999986</v>
      </c>
    </row>
    <row r="11" spans="1:20" x14ac:dyDescent="0.25">
      <c r="A11" s="1">
        <v>44583</v>
      </c>
      <c r="B11" t="s">
        <v>31</v>
      </c>
      <c r="C11" t="s">
        <v>19</v>
      </c>
      <c r="D11" t="s">
        <v>25</v>
      </c>
      <c r="E11" t="s">
        <v>14</v>
      </c>
      <c r="F11" t="s">
        <v>32</v>
      </c>
      <c r="G11" t="s">
        <v>39</v>
      </c>
      <c r="H11">
        <v>4</v>
      </c>
      <c r="I11" s="30">
        <v>124.4</v>
      </c>
      <c r="J11" s="10">
        <v>497.6</v>
      </c>
      <c r="K11" t="s">
        <v>36</v>
      </c>
      <c r="N11" s="4" t="s">
        <v>38</v>
      </c>
      <c r="O11" s="6">
        <v>3</v>
      </c>
      <c r="P11" s="6">
        <v>20666.579999999998</v>
      </c>
    </row>
    <row r="12" spans="1:20" x14ac:dyDescent="0.25">
      <c r="A12" s="1">
        <v>44730</v>
      </c>
      <c r="B12" t="s">
        <v>31</v>
      </c>
      <c r="C12" t="s">
        <v>19</v>
      </c>
      <c r="D12" t="s">
        <v>25</v>
      </c>
      <c r="E12" t="s">
        <v>26</v>
      </c>
      <c r="F12" t="s">
        <v>32</v>
      </c>
      <c r="G12" t="s">
        <v>27</v>
      </c>
      <c r="H12">
        <v>2</v>
      </c>
      <c r="I12" s="30">
        <v>80.33</v>
      </c>
      <c r="J12" s="10">
        <v>160.66</v>
      </c>
      <c r="K12" t="s">
        <v>17</v>
      </c>
      <c r="N12" s="4" t="s">
        <v>50</v>
      </c>
      <c r="O12" s="6">
        <v>4</v>
      </c>
      <c r="P12" s="6">
        <v>19576.82</v>
      </c>
    </row>
    <row r="13" spans="1:20" x14ac:dyDescent="0.25">
      <c r="A13" s="1">
        <v>44638</v>
      </c>
      <c r="B13" t="s">
        <v>41</v>
      </c>
      <c r="C13" t="s">
        <v>29</v>
      </c>
      <c r="D13" t="s">
        <v>42</v>
      </c>
      <c r="E13" t="s">
        <v>14</v>
      </c>
      <c r="F13" t="s">
        <v>40</v>
      </c>
      <c r="G13" t="s">
        <v>39</v>
      </c>
      <c r="H13">
        <v>5</v>
      </c>
      <c r="I13" s="30">
        <v>58.65</v>
      </c>
      <c r="J13" s="10">
        <v>293.25</v>
      </c>
      <c r="K13" t="s">
        <v>35</v>
      </c>
      <c r="N13" s="4" t="s">
        <v>42</v>
      </c>
      <c r="O13" s="6">
        <v>5</v>
      </c>
      <c r="P13" s="6">
        <v>14517.759999999998</v>
      </c>
    </row>
    <row r="14" spans="1:20" x14ac:dyDescent="0.25">
      <c r="A14" s="1">
        <v>44794</v>
      </c>
      <c r="B14" t="s">
        <v>24</v>
      </c>
      <c r="C14" t="s">
        <v>19</v>
      </c>
      <c r="D14" t="s">
        <v>25</v>
      </c>
      <c r="E14" t="s">
        <v>26</v>
      </c>
      <c r="F14" t="s">
        <v>21</v>
      </c>
      <c r="G14" t="s">
        <v>22</v>
      </c>
      <c r="H14">
        <v>5</v>
      </c>
      <c r="I14" s="30">
        <v>183.55</v>
      </c>
      <c r="J14" s="10">
        <v>917.75</v>
      </c>
      <c r="K14" t="s">
        <v>23</v>
      </c>
      <c r="N14" s="4" t="s">
        <v>55</v>
      </c>
      <c r="O14" s="6"/>
      <c r="P14" s="6">
        <v>173719.05</v>
      </c>
    </row>
    <row r="15" spans="1:20" x14ac:dyDescent="0.25">
      <c r="A15" s="1">
        <v>44749</v>
      </c>
      <c r="B15" t="s">
        <v>48</v>
      </c>
      <c r="C15" t="s">
        <v>49</v>
      </c>
      <c r="D15" t="s">
        <v>50</v>
      </c>
      <c r="E15" t="s">
        <v>14</v>
      </c>
      <c r="F15" t="s">
        <v>21</v>
      </c>
      <c r="G15" t="s">
        <v>39</v>
      </c>
      <c r="H15">
        <v>2</v>
      </c>
      <c r="I15" s="30">
        <v>210.77</v>
      </c>
      <c r="J15" s="10">
        <v>421.54</v>
      </c>
      <c r="K15" t="s">
        <v>17</v>
      </c>
    </row>
    <row r="16" spans="1:20" x14ac:dyDescent="0.25">
      <c r="A16" s="1">
        <v>44692</v>
      </c>
      <c r="B16" t="s">
        <v>18</v>
      </c>
      <c r="C16" t="s">
        <v>19</v>
      </c>
      <c r="D16" t="s">
        <v>20</v>
      </c>
      <c r="E16" t="s">
        <v>14</v>
      </c>
      <c r="F16" t="s">
        <v>32</v>
      </c>
      <c r="G16" t="s">
        <v>27</v>
      </c>
      <c r="H16">
        <v>4</v>
      </c>
      <c r="I16" s="30">
        <v>218.82</v>
      </c>
      <c r="J16" s="10">
        <v>875.28</v>
      </c>
      <c r="K16" t="s">
        <v>36</v>
      </c>
    </row>
    <row r="17" spans="1:16" x14ac:dyDescent="0.25">
      <c r="A17" s="1">
        <v>44729</v>
      </c>
      <c r="B17" t="s">
        <v>11</v>
      </c>
      <c r="C17" t="s">
        <v>12</v>
      </c>
      <c r="D17" t="s">
        <v>13</v>
      </c>
      <c r="E17" t="s">
        <v>26</v>
      </c>
      <c r="F17" t="s">
        <v>40</v>
      </c>
      <c r="G17" t="s">
        <v>34</v>
      </c>
      <c r="H17">
        <v>5</v>
      </c>
      <c r="I17" s="30">
        <v>133.74</v>
      </c>
      <c r="J17" s="10">
        <v>668.7</v>
      </c>
      <c r="K17" t="s">
        <v>17</v>
      </c>
    </row>
    <row r="18" spans="1:16" x14ac:dyDescent="0.25">
      <c r="A18" s="1">
        <v>44705</v>
      </c>
      <c r="B18" t="s">
        <v>44</v>
      </c>
      <c r="C18" t="s">
        <v>19</v>
      </c>
      <c r="D18" t="s">
        <v>20</v>
      </c>
      <c r="E18" t="s">
        <v>26</v>
      </c>
      <c r="F18" t="s">
        <v>32</v>
      </c>
      <c r="G18" t="s">
        <v>34</v>
      </c>
      <c r="H18">
        <v>1</v>
      </c>
      <c r="I18" s="30">
        <v>208.47</v>
      </c>
      <c r="J18" s="10">
        <v>208.47</v>
      </c>
      <c r="K18" t="s">
        <v>23</v>
      </c>
    </row>
    <row r="19" spans="1:16" x14ac:dyDescent="0.25">
      <c r="A19" s="1">
        <v>44709</v>
      </c>
      <c r="B19" t="s">
        <v>37</v>
      </c>
      <c r="C19" t="s">
        <v>29</v>
      </c>
      <c r="D19" t="s">
        <v>38</v>
      </c>
      <c r="E19" t="s">
        <v>14</v>
      </c>
      <c r="F19" t="s">
        <v>15</v>
      </c>
      <c r="G19" t="s">
        <v>39</v>
      </c>
      <c r="H19">
        <v>1</v>
      </c>
      <c r="I19" s="30">
        <v>180.42</v>
      </c>
      <c r="J19" s="10">
        <v>180.42</v>
      </c>
      <c r="K19" t="s">
        <v>23</v>
      </c>
    </row>
    <row r="20" spans="1:16" x14ac:dyDescent="0.25">
      <c r="A20" s="1">
        <v>44741</v>
      </c>
      <c r="B20" t="s">
        <v>48</v>
      </c>
      <c r="C20" t="s">
        <v>49</v>
      </c>
      <c r="D20" t="s">
        <v>50</v>
      </c>
      <c r="E20" t="s">
        <v>30</v>
      </c>
      <c r="F20" t="s">
        <v>32</v>
      </c>
      <c r="G20" t="s">
        <v>16</v>
      </c>
      <c r="H20">
        <v>3</v>
      </c>
      <c r="I20" s="30">
        <v>127.36</v>
      </c>
      <c r="J20" s="10">
        <v>382.08</v>
      </c>
      <c r="K20" t="s">
        <v>17</v>
      </c>
      <c r="N20" s="34" t="s">
        <v>188</v>
      </c>
      <c r="O20" s="32"/>
      <c r="P20" s="32"/>
    </row>
    <row r="21" spans="1:16" x14ac:dyDescent="0.25">
      <c r="A21" s="1">
        <v>44706</v>
      </c>
      <c r="B21" t="s">
        <v>41</v>
      </c>
      <c r="C21" t="s">
        <v>29</v>
      </c>
      <c r="D21" t="s">
        <v>42</v>
      </c>
      <c r="E21" t="s">
        <v>30</v>
      </c>
      <c r="F21" t="s">
        <v>21</v>
      </c>
      <c r="G21" t="s">
        <v>16</v>
      </c>
      <c r="H21">
        <v>3</v>
      </c>
      <c r="I21" s="30">
        <v>149.51</v>
      </c>
      <c r="J21" s="10">
        <v>448.53</v>
      </c>
      <c r="K21" t="s">
        <v>23</v>
      </c>
      <c r="O21">
        <f>AVERAGEIFS(I:I,D:D,"Nike",C:C,"Sneakers")</f>
        <v>188.38122807017544</v>
      </c>
    </row>
    <row r="22" spans="1:16" x14ac:dyDescent="0.25">
      <c r="A22" s="1">
        <v>44629</v>
      </c>
      <c r="B22" t="s">
        <v>45</v>
      </c>
      <c r="C22" t="s">
        <v>46</v>
      </c>
      <c r="D22" t="s">
        <v>47</v>
      </c>
      <c r="E22" t="s">
        <v>30</v>
      </c>
      <c r="F22" t="s">
        <v>32</v>
      </c>
      <c r="G22" t="s">
        <v>43</v>
      </c>
      <c r="H22">
        <v>3</v>
      </c>
      <c r="I22" s="30">
        <v>136.36000000000001</v>
      </c>
      <c r="J22" s="10">
        <v>409.08</v>
      </c>
      <c r="K22" t="s">
        <v>17</v>
      </c>
    </row>
    <row r="23" spans="1:16" x14ac:dyDescent="0.25">
      <c r="A23" s="1">
        <v>44794</v>
      </c>
      <c r="B23" t="s">
        <v>28</v>
      </c>
      <c r="C23" t="s">
        <v>29</v>
      </c>
      <c r="D23" t="s">
        <v>25</v>
      </c>
      <c r="E23" t="s">
        <v>14</v>
      </c>
      <c r="F23" t="s">
        <v>32</v>
      </c>
      <c r="G23" t="s">
        <v>34</v>
      </c>
      <c r="H23">
        <v>5</v>
      </c>
      <c r="I23" s="30">
        <v>162.38</v>
      </c>
      <c r="J23" s="10">
        <v>811.9</v>
      </c>
      <c r="K23" t="s">
        <v>17</v>
      </c>
    </row>
    <row r="24" spans="1:16" x14ac:dyDescent="0.25">
      <c r="A24" s="1">
        <v>44708</v>
      </c>
      <c r="B24" t="s">
        <v>48</v>
      </c>
      <c r="C24" t="s">
        <v>49</v>
      </c>
      <c r="D24" t="s">
        <v>50</v>
      </c>
      <c r="E24" t="s">
        <v>26</v>
      </c>
      <c r="F24" t="s">
        <v>40</v>
      </c>
      <c r="G24" t="s">
        <v>33</v>
      </c>
      <c r="H24">
        <v>2</v>
      </c>
      <c r="I24" s="30">
        <v>259.66000000000003</v>
      </c>
      <c r="J24" s="10">
        <v>519.32000000000005</v>
      </c>
      <c r="K24" t="s">
        <v>36</v>
      </c>
      <c r="N24" s="34" t="s">
        <v>63</v>
      </c>
      <c r="O24" s="32"/>
      <c r="P24" s="32"/>
    </row>
    <row r="25" spans="1:16" x14ac:dyDescent="0.25">
      <c r="A25" s="1">
        <v>44703</v>
      </c>
      <c r="B25" t="s">
        <v>37</v>
      </c>
      <c r="C25" t="s">
        <v>29</v>
      </c>
      <c r="D25" t="s">
        <v>38</v>
      </c>
      <c r="E25" t="s">
        <v>30</v>
      </c>
      <c r="F25" t="s">
        <v>21</v>
      </c>
      <c r="G25" t="s">
        <v>39</v>
      </c>
      <c r="H25">
        <v>1</v>
      </c>
      <c r="I25" s="30">
        <v>180.39</v>
      </c>
      <c r="J25" s="10">
        <v>180.39</v>
      </c>
      <c r="K25" t="s">
        <v>17</v>
      </c>
      <c r="O25">
        <f>AVERAGEIF(C2:C315,"sneakers",I2:I315)</f>
        <v>182.27638655462198</v>
      </c>
    </row>
    <row r="26" spans="1:16" x14ac:dyDescent="0.25">
      <c r="A26" s="1">
        <v>44714</v>
      </c>
      <c r="B26" t="s">
        <v>37</v>
      </c>
      <c r="C26" t="s">
        <v>29</v>
      </c>
      <c r="D26" t="s">
        <v>38</v>
      </c>
      <c r="E26" t="s">
        <v>30</v>
      </c>
      <c r="F26" t="s">
        <v>15</v>
      </c>
      <c r="G26" t="s">
        <v>39</v>
      </c>
      <c r="H26">
        <v>3</v>
      </c>
      <c r="I26" s="30">
        <v>80.349999999999994</v>
      </c>
      <c r="J26" s="10">
        <v>241.05</v>
      </c>
      <c r="K26" t="s">
        <v>17</v>
      </c>
    </row>
    <row r="27" spans="1:16" x14ac:dyDescent="0.25">
      <c r="A27" s="1">
        <v>44626</v>
      </c>
      <c r="B27" t="s">
        <v>11</v>
      </c>
      <c r="C27" t="s">
        <v>12</v>
      </c>
      <c r="D27" t="s">
        <v>13</v>
      </c>
      <c r="E27" t="s">
        <v>30</v>
      </c>
      <c r="F27" t="s">
        <v>21</v>
      </c>
      <c r="G27" t="s">
        <v>16</v>
      </c>
      <c r="H27">
        <v>2</v>
      </c>
      <c r="I27" s="30">
        <v>222.08</v>
      </c>
      <c r="J27" s="10">
        <v>444.16</v>
      </c>
      <c r="K27" t="s">
        <v>35</v>
      </c>
      <c r="N27" s="34" t="s">
        <v>64</v>
      </c>
      <c r="O27" s="34"/>
      <c r="P27" s="34"/>
    </row>
    <row r="28" spans="1:16" x14ac:dyDescent="0.25">
      <c r="A28" s="1">
        <v>44641</v>
      </c>
      <c r="B28" t="s">
        <v>48</v>
      </c>
      <c r="C28" t="s">
        <v>49</v>
      </c>
      <c r="D28" t="s">
        <v>50</v>
      </c>
      <c r="E28" t="s">
        <v>26</v>
      </c>
      <c r="F28" t="s">
        <v>40</v>
      </c>
      <c r="G28" t="s">
        <v>27</v>
      </c>
      <c r="H28">
        <v>1</v>
      </c>
      <c r="I28" s="30">
        <v>287.44</v>
      </c>
      <c r="J28" s="10">
        <v>287.44</v>
      </c>
      <c r="K28" t="s">
        <v>35</v>
      </c>
      <c r="O28">
        <f>AVERAGEIF(Table13[Product Type],"Sneakers",Table13[Unit Price ($)])</f>
        <v>182.08504132231414</v>
      </c>
    </row>
    <row r="29" spans="1:16" x14ac:dyDescent="0.25">
      <c r="A29" s="1">
        <v>44758</v>
      </c>
      <c r="B29" t="s">
        <v>11</v>
      </c>
      <c r="C29" t="s">
        <v>12</v>
      </c>
      <c r="D29" t="s">
        <v>13</v>
      </c>
      <c r="E29" t="s">
        <v>14</v>
      </c>
      <c r="F29" t="s">
        <v>15</v>
      </c>
      <c r="G29" t="s">
        <v>34</v>
      </c>
      <c r="H29">
        <v>5</v>
      </c>
      <c r="I29" s="30">
        <v>137.9</v>
      </c>
      <c r="J29" s="10">
        <v>689.5</v>
      </c>
      <c r="K29" t="s">
        <v>35</v>
      </c>
    </row>
    <row r="30" spans="1:16" x14ac:dyDescent="0.25">
      <c r="A30" s="1">
        <v>44639</v>
      </c>
      <c r="B30" t="s">
        <v>37</v>
      </c>
      <c r="C30" t="s">
        <v>29</v>
      </c>
      <c r="D30" t="s">
        <v>38</v>
      </c>
      <c r="E30" t="s">
        <v>14</v>
      </c>
      <c r="F30" t="s">
        <v>21</v>
      </c>
      <c r="G30" t="s">
        <v>39</v>
      </c>
      <c r="H30">
        <v>3</v>
      </c>
      <c r="I30" s="30">
        <v>214.68</v>
      </c>
      <c r="J30" s="10">
        <v>644.04</v>
      </c>
      <c r="K30" t="s">
        <v>35</v>
      </c>
    </row>
    <row r="31" spans="1:16" x14ac:dyDescent="0.25">
      <c r="A31" s="1">
        <v>44777</v>
      </c>
      <c r="B31" t="s">
        <v>28</v>
      </c>
      <c r="C31" t="s">
        <v>29</v>
      </c>
      <c r="D31" t="s">
        <v>25</v>
      </c>
      <c r="E31" t="s">
        <v>26</v>
      </c>
      <c r="F31" t="s">
        <v>15</v>
      </c>
      <c r="G31" t="s">
        <v>22</v>
      </c>
      <c r="H31">
        <v>2</v>
      </c>
      <c r="I31" s="30">
        <v>269.88</v>
      </c>
      <c r="J31" s="10">
        <v>539.76</v>
      </c>
      <c r="K31" t="s">
        <v>23</v>
      </c>
    </row>
    <row r="32" spans="1:16" x14ac:dyDescent="0.25">
      <c r="A32" s="1">
        <v>44684</v>
      </c>
      <c r="B32" t="s">
        <v>31</v>
      </c>
      <c r="C32" t="s">
        <v>19</v>
      </c>
      <c r="D32" t="s">
        <v>25</v>
      </c>
      <c r="E32" t="s">
        <v>14</v>
      </c>
      <c r="F32" t="s">
        <v>40</v>
      </c>
      <c r="G32" t="s">
        <v>43</v>
      </c>
      <c r="H32">
        <v>1</v>
      </c>
      <c r="I32" s="30">
        <v>96.97</v>
      </c>
      <c r="J32" s="10">
        <v>96.97</v>
      </c>
      <c r="K32" t="s">
        <v>36</v>
      </c>
    </row>
    <row r="33" spans="1:11" x14ac:dyDescent="0.25">
      <c r="A33" s="1">
        <v>44743</v>
      </c>
      <c r="B33" t="s">
        <v>45</v>
      </c>
      <c r="C33" t="s">
        <v>46</v>
      </c>
      <c r="D33" t="s">
        <v>47</v>
      </c>
      <c r="E33" t="s">
        <v>26</v>
      </c>
      <c r="F33" t="s">
        <v>15</v>
      </c>
      <c r="G33" t="s">
        <v>33</v>
      </c>
      <c r="H33">
        <v>4</v>
      </c>
      <c r="I33" s="30">
        <v>270.55</v>
      </c>
      <c r="J33" s="10">
        <v>1082.2</v>
      </c>
      <c r="K33" t="s">
        <v>23</v>
      </c>
    </row>
    <row r="34" spans="1:11" x14ac:dyDescent="0.25">
      <c r="A34" s="1">
        <v>44728</v>
      </c>
      <c r="B34" t="s">
        <v>44</v>
      </c>
      <c r="C34" t="s">
        <v>19</v>
      </c>
      <c r="D34" t="s">
        <v>20</v>
      </c>
      <c r="E34" t="s">
        <v>14</v>
      </c>
      <c r="F34" t="s">
        <v>40</v>
      </c>
      <c r="G34" t="s">
        <v>33</v>
      </c>
      <c r="H34">
        <v>3</v>
      </c>
      <c r="I34" s="30">
        <v>261.31</v>
      </c>
      <c r="J34" s="10">
        <v>783.93</v>
      </c>
      <c r="K34" t="s">
        <v>17</v>
      </c>
    </row>
    <row r="35" spans="1:11" x14ac:dyDescent="0.25">
      <c r="A35" s="1">
        <v>44571</v>
      </c>
      <c r="B35" t="s">
        <v>45</v>
      </c>
      <c r="C35" t="s">
        <v>46</v>
      </c>
      <c r="D35" t="s">
        <v>47</v>
      </c>
      <c r="E35" t="s">
        <v>14</v>
      </c>
      <c r="F35" t="s">
        <v>40</v>
      </c>
      <c r="G35" t="s">
        <v>22</v>
      </c>
      <c r="H35">
        <v>4</v>
      </c>
      <c r="I35" s="30">
        <v>56.4</v>
      </c>
      <c r="J35" s="10">
        <v>225.6</v>
      </c>
      <c r="K35" t="s">
        <v>17</v>
      </c>
    </row>
    <row r="36" spans="1:11" x14ac:dyDescent="0.25">
      <c r="A36" s="1">
        <v>44750</v>
      </c>
      <c r="B36" t="s">
        <v>18</v>
      </c>
      <c r="C36" t="s">
        <v>19</v>
      </c>
      <c r="D36" t="s">
        <v>20</v>
      </c>
      <c r="E36" t="s">
        <v>30</v>
      </c>
      <c r="F36" t="s">
        <v>40</v>
      </c>
      <c r="G36" t="s">
        <v>27</v>
      </c>
      <c r="H36">
        <v>3</v>
      </c>
      <c r="I36" s="30">
        <v>239.55</v>
      </c>
      <c r="J36" s="10">
        <v>718.65</v>
      </c>
      <c r="K36" t="s">
        <v>17</v>
      </c>
    </row>
    <row r="37" spans="1:11" x14ac:dyDescent="0.25">
      <c r="A37" s="1">
        <v>44793</v>
      </c>
      <c r="B37" t="s">
        <v>31</v>
      </c>
      <c r="C37" t="s">
        <v>19</v>
      </c>
      <c r="D37" t="s">
        <v>25</v>
      </c>
      <c r="E37" t="s">
        <v>14</v>
      </c>
      <c r="F37" t="s">
        <v>15</v>
      </c>
      <c r="G37" t="s">
        <v>27</v>
      </c>
      <c r="H37">
        <v>2</v>
      </c>
      <c r="I37" s="30">
        <v>94.62</v>
      </c>
      <c r="J37" s="10">
        <v>189.24</v>
      </c>
      <c r="K37" t="s">
        <v>23</v>
      </c>
    </row>
    <row r="38" spans="1:11" x14ac:dyDescent="0.25">
      <c r="A38" s="1">
        <v>44766</v>
      </c>
      <c r="B38" t="s">
        <v>11</v>
      </c>
      <c r="C38" t="s">
        <v>12</v>
      </c>
      <c r="D38" t="s">
        <v>13</v>
      </c>
      <c r="E38" t="s">
        <v>14</v>
      </c>
      <c r="F38" t="s">
        <v>15</v>
      </c>
      <c r="G38" t="s">
        <v>27</v>
      </c>
      <c r="H38">
        <v>4</v>
      </c>
      <c r="I38" s="30">
        <v>57.22</v>
      </c>
      <c r="J38" s="10">
        <v>228.88</v>
      </c>
      <c r="K38" t="s">
        <v>23</v>
      </c>
    </row>
    <row r="39" spans="1:11" x14ac:dyDescent="0.25">
      <c r="A39" s="1">
        <v>44756</v>
      </c>
      <c r="B39" t="s">
        <v>24</v>
      </c>
      <c r="C39" t="s">
        <v>19</v>
      </c>
      <c r="D39" t="s">
        <v>25</v>
      </c>
      <c r="E39" t="s">
        <v>30</v>
      </c>
      <c r="F39" t="s">
        <v>15</v>
      </c>
      <c r="G39" t="s">
        <v>27</v>
      </c>
      <c r="H39">
        <v>1</v>
      </c>
      <c r="I39" s="30">
        <v>170.86</v>
      </c>
      <c r="J39" s="10">
        <v>170.86</v>
      </c>
      <c r="K39" t="s">
        <v>36</v>
      </c>
    </row>
    <row r="40" spans="1:11" x14ac:dyDescent="0.25">
      <c r="A40" s="1">
        <v>44603</v>
      </c>
      <c r="B40" t="s">
        <v>44</v>
      </c>
      <c r="C40" t="s">
        <v>19</v>
      </c>
      <c r="D40" t="s">
        <v>20</v>
      </c>
      <c r="E40" t="s">
        <v>30</v>
      </c>
      <c r="F40" t="s">
        <v>21</v>
      </c>
      <c r="G40" t="s">
        <v>33</v>
      </c>
      <c r="H40">
        <v>3</v>
      </c>
      <c r="I40" s="30">
        <v>105.79</v>
      </c>
      <c r="J40" s="10">
        <v>317.37</v>
      </c>
      <c r="K40" t="s">
        <v>36</v>
      </c>
    </row>
    <row r="41" spans="1:11" x14ac:dyDescent="0.25">
      <c r="A41" s="1">
        <v>44707</v>
      </c>
      <c r="B41" t="s">
        <v>44</v>
      </c>
      <c r="C41" t="s">
        <v>19</v>
      </c>
      <c r="D41" t="s">
        <v>20</v>
      </c>
      <c r="E41" t="s">
        <v>30</v>
      </c>
      <c r="F41" t="s">
        <v>21</v>
      </c>
      <c r="G41" t="s">
        <v>33</v>
      </c>
      <c r="H41">
        <v>5</v>
      </c>
      <c r="I41" s="30">
        <v>112.95</v>
      </c>
      <c r="J41" s="10">
        <v>564.75</v>
      </c>
      <c r="K41" t="s">
        <v>17</v>
      </c>
    </row>
    <row r="42" spans="1:11" x14ac:dyDescent="0.25">
      <c r="A42" s="1">
        <v>44793</v>
      </c>
      <c r="B42" t="s">
        <v>37</v>
      </c>
      <c r="C42" t="s">
        <v>29</v>
      </c>
      <c r="D42" t="s">
        <v>38</v>
      </c>
      <c r="E42" t="s">
        <v>14</v>
      </c>
      <c r="F42" t="s">
        <v>15</v>
      </c>
      <c r="G42" t="s">
        <v>22</v>
      </c>
      <c r="H42">
        <v>5</v>
      </c>
      <c r="I42" s="30">
        <v>55.8</v>
      </c>
      <c r="J42" s="10">
        <v>279</v>
      </c>
      <c r="K42" t="s">
        <v>17</v>
      </c>
    </row>
    <row r="43" spans="1:11" x14ac:dyDescent="0.25">
      <c r="A43" s="1">
        <v>44686</v>
      </c>
      <c r="B43" t="s">
        <v>41</v>
      </c>
      <c r="C43" t="s">
        <v>29</v>
      </c>
      <c r="D43" t="s">
        <v>42</v>
      </c>
      <c r="E43" t="s">
        <v>30</v>
      </c>
      <c r="F43" t="s">
        <v>40</v>
      </c>
      <c r="G43" t="s">
        <v>43</v>
      </c>
      <c r="H43">
        <v>1</v>
      </c>
      <c r="I43" s="30">
        <v>50.1</v>
      </c>
      <c r="J43" s="10">
        <v>50.1</v>
      </c>
      <c r="K43" t="s">
        <v>17</v>
      </c>
    </row>
    <row r="44" spans="1:11" x14ac:dyDescent="0.25">
      <c r="A44" s="1">
        <v>44804</v>
      </c>
      <c r="B44" t="s">
        <v>18</v>
      </c>
      <c r="C44" t="s">
        <v>19</v>
      </c>
      <c r="D44" t="s">
        <v>20</v>
      </c>
      <c r="E44" t="s">
        <v>30</v>
      </c>
      <c r="F44" t="s">
        <v>15</v>
      </c>
      <c r="G44" t="s">
        <v>22</v>
      </c>
      <c r="H44">
        <v>1</v>
      </c>
      <c r="I44" s="30">
        <v>56.49</v>
      </c>
      <c r="J44" s="10">
        <v>56.49</v>
      </c>
      <c r="K44" t="s">
        <v>35</v>
      </c>
    </row>
    <row r="45" spans="1:11" x14ac:dyDescent="0.25">
      <c r="A45" s="1">
        <v>44672</v>
      </c>
      <c r="B45" t="s">
        <v>37</v>
      </c>
      <c r="C45" t="s">
        <v>29</v>
      </c>
      <c r="D45" t="s">
        <v>38</v>
      </c>
      <c r="E45" t="s">
        <v>30</v>
      </c>
      <c r="F45" t="s">
        <v>40</v>
      </c>
      <c r="G45" t="s">
        <v>33</v>
      </c>
      <c r="H45">
        <v>5</v>
      </c>
      <c r="I45" s="30">
        <v>100.65</v>
      </c>
      <c r="J45" s="10">
        <v>503.25</v>
      </c>
      <c r="K45" t="s">
        <v>36</v>
      </c>
    </row>
    <row r="46" spans="1:11" x14ac:dyDescent="0.25">
      <c r="A46" s="1">
        <v>44794</v>
      </c>
      <c r="B46" t="s">
        <v>44</v>
      </c>
      <c r="C46" t="s">
        <v>19</v>
      </c>
      <c r="D46" t="s">
        <v>20</v>
      </c>
      <c r="E46" t="s">
        <v>30</v>
      </c>
      <c r="F46" t="s">
        <v>32</v>
      </c>
      <c r="G46" t="s">
        <v>16</v>
      </c>
      <c r="H46">
        <v>2</v>
      </c>
      <c r="I46" s="30">
        <v>160.44</v>
      </c>
      <c r="J46" s="10">
        <v>320.88</v>
      </c>
      <c r="K46" t="s">
        <v>35</v>
      </c>
    </row>
    <row r="47" spans="1:11" x14ac:dyDescent="0.25">
      <c r="A47" s="1">
        <v>44666</v>
      </c>
      <c r="B47" t="s">
        <v>48</v>
      </c>
      <c r="C47" t="s">
        <v>49</v>
      </c>
      <c r="D47" t="s">
        <v>50</v>
      </c>
      <c r="E47" t="s">
        <v>26</v>
      </c>
      <c r="F47" t="s">
        <v>21</v>
      </c>
      <c r="G47" t="s">
        <v>16</v>
      </c>
      <c r="H47">
        <v>4</v>
      </c>
      <c r="I47" s="30">
        <v>242.44</v>
      </c>
      <c r="J47" s="10">
        <v>969.76</v>
      </c>
      <c r="K47" t="s">
        <v>23</v>
      </c>
    </row>
    <row r="48" spans="1:11" x14ac:dyDescent="0.25">
      <c r="A48" s="1">
        <v>44688</v>
      </c>
      <c r="B48" t="s">
        <v>18</v>
      </c>
      <c r="C48" t="s">
        <v>19</v>
      </c>
      <c r="D48" t="s">
        <v>20</v>
      </c>
      <c r="E48" t="s">
        <v>14</v>
      </c>
      <c r="F48" t="s">
        <v>21</v>
      </c>
      <c r="G48" t="s">
        <v>33</v>
      </c>
      <c r="H48">
        <v>2</v>
      </c>
      <c r="I48" s="30">
        <v>209.81</v>
      </c>
      <c r="J48" s="10">
        <v>419.62</v>
      </c>
      <c r="K48" t="s">
        <v>17</v>
      </c>
    </row>
    <row r="49" spans="1:11" x14ac:dyDescent="0.25">
      <c r="A49" s="1">
        <v>44634</v>
      </c>
      <c r="B49" t="s">
        <v>44</v>
      </c>
      <c r="C49" t="s">
        <v>19</v>
      </c>
      <c r="D49" t="s">
        <v>20</v>
      </c>
      <c r="E49" t="s">
        <v>30</v>
      </c>
      <c r="F49" t="s">
        <v>32</v>
      </c>
      <c r="G49" t="s">
        <v>43</v>
      </c>
      <c r="H49">
        <v>4</v>
      </c>
      <c r="I49" s="30">
        <v>261.95999999999998</v>
      </c>
      <c r="J49" s="10">
        <v>1047.8399999999999</v>
      </c>
      <c r="K49" t="s">
        <v>23</v>
      </c>
    </row>
    <row r="50" spans="1:11" x14ac:dyDescent="0.25">
      <c r="A50" s="1">
        <v>44803</v>
      </c>
      <c r="B50" t="s">
        <v>41</v>
      </c>
      <c r="C50" t="s">
        <v>29</v>
      </c>
      <c r="D50" t="s">
        <v>42</v>
      </c>
      <c r="E50" t="s">
        <v>30</v>
      </c>
      <c r="F50" t="s">
        <v>32</v>
      </c>
      <c r="G50" t="s">
        <v>22</v>
      </c>
      <c r="H50">
        <v>3</v>
      </c>
      <c r="I50" s="30">
        <v>242.71</v>
      </c>
      <c r="J50" s="10">
        <v>728.13</v>
      </c>
      <c r="K50" t="s">
        <v>23</v>
      </c>
    </row>
    <row r="51" spans="1:11" x14ac:dyDescent="0.25">
      <c r="A51" s="1">
        <v>44718</v>
      </c>
      <c r="B51" t="s">
        <v>31</v>
      </c>
      <c r="C51" t="s">
        <v>19</v>
      </c>
      <c r="D51" t="s">
        <v>25</v>
      </c>
      <c r="E51" t="s">
        <v>26</v>
      </c>
      <c r="F51" t="s">
        <v>15</v>
      </c>
      <c r="G51" t="s">
        <v>22</v>
      </c>
      <c r="H51">
        <v>5</v>
      </c>
      <c r="I51" s="30">
        <v>299.3</v>
      </c>
      <c r="J51" s="10">
        <v>1496.5</v>
      </c>
      <c r="K51" t="s">
        <v>17</v>
      </c>
    </row>
    <row r="52" spans="1:11" x14ac:dyDescent="0.25">
      <c r="A52" s="1">
        <v>44802</v>
      </c>
      <c r="B52" t="s">
        <v>18</v>
      </c>
      <c r="C52" t="s">
        <v>19</v>
      </c>
      <c r="D52" t="s">
        <v>20</v>
      </c>
      <c r="E52" t="s">
        <v>14</v>
      </c>
      <c r="F52" t="s">
        <v>21</v>
      </c>
      <c r="G52" t="s">
        <v>22</v>
      </c>
      <c r="H52">
        <v>4</v>
      </c>
      <c r="I52" s="30">
        <v>162.85</v>
      </c>
      <c r="J52" s="10">
        <v>651.4</v>
      </c>
      <c r="K52" t="s">
        <v>35</v>
      </c>
    </row>
    <row r="53" spans="1:11" x14ac:dyDescent="0.25">
      <c r="A53" s="1">
        <v>44775</v>
      </c>
      <c r="B53" t="s">
        <v>48</v>
      </c>
      <c r="C53" t="s">
        <v>49</v>
      </c>
      <c r="D53" t="s">
        <v>50</v>
      </c>
      <c r="E53" t="s">
        <v>14</v>
      </c>
      <c r="F53" t="s">
        <v>21</v>
      </c>
      <c r="G53" t="s">
        <v>16</v>
      </c>
      <c r="H53">
        <v>5</v>
      </c>
      <c r="I53" s="30">
        <v>215.63</v>
      </c>
      <c r="J53" s="10">
        <v>1078.1500000000001</v>
      </c>
      <c r="K53" t="s">
        <v>17</v>
      </c>
    </row>
    <row r="54" spans="1:11" x14ac:dyDescent="0.25">
      <c r="A54" s="1">
        <v>44712</v>
      </c>
      <c r="B54" t="s">
        <v>31</v>
      </c>
      <c r="C54" t="s">
        <v>19</v>
      </c>
      <c r="D54" t="s">
        <v>25</v>
      </c>
      <c r="E54" t="s">
        <v>26</v>
      </c>
      <c r="F54" t="s">
        <v>15</v>
      </c>
      <c r="G54" t="s">
        <v>27</v>
      </c>
      <c r="H54">
        <v>1</v>
      </c>
      <c r="I54" s="30">
        <v>54.99</v>
      </c>
      <c r="J54" s="10">
        <v>54.99</v>
      </c>
      <c r="K54" t="s">
        <v>23</v>
      </c>
    </row>
    <row r="55" spans="1:11" x14ac:dyDescent="0.25">
      <c r="A55" s="1">
        <v>44593</v>
      </c>
      <c r="B55" t="s">
        <v>18</v>
      </c>
      <c r="C55" t="s">
        <v>19</v>
      </c>
      <c r="D55" t="s">
        <v>20</v>
      </c>
      <c r="E55" t="s">
        <v>30</v>
      </c>
      <c r="F55" t="s">
        <v>40</v>
      </c>
      <c r="G55" t="s">
        <v>34</v>
      </c>
      <c r="H55">
        <v>4</v>
      </c>
      <c r="I55" s="30">
        <v>185.7</v>
      </c>
      <c r="J55" s="10">
        <v>742.8</v>
      </c>
      <c r="K55" t="s">
        <v>36</v>
      </c>
    </row>
    <row r="56" spans="1:11" x14ac:dyDescent="0.25">
      <c r="A56" s="1">
        <v>44660</v>
      </c>
      <c r="B56" t="s">
        <v>28</v>
      </c>
      <c r="C56" t="s">
        <v>29</v>
      </c>
      <c r="D56" t="s">
        <v>25</v>
      </c>
      <c r="E56" t="s">
        <v>14</v>
      </c>
      <c r="F56" t="s">
        <v>21</v>
      </c>
      <c r="G56" t="s">
        <v>39</v>
      </c>
      <c r="H56">
        <v>2</v>
      </c>
      <c r="I56" s="30">
        <v>153.75</v>
      </c>
      <c r="J56" s="10">
        <v>307.5</v>
      </c>
      <c r="K56" t="s">
        <v>23</v>
      </c>
    </row>
    <row r="57" spans="1:11" x14ac:dyDescent="0.25">
      <c r="A57" s="1">
        <v>44641</v>
      </c>
      <c r="B57" t="s">
        <v>41</v>
      </c>
      <c r="C57" t="s">
        <v>29</v>
      </c>
      <c r="D57" t="s">
        <v>42</v>
      </c>
      <c r="E57" t="s">
        <v>30</v>
      </c>
      <c r="F57" t="s">
        <v>15</v>
      </c>
      <c r="G57" t="s">
        <v>33</v>
      </c>
      <c r="H57">
        <v>5</v>
      </c>
      <c r="I57" s="30">
        <v>235.5</v>
      </c>
      <c r="J57" s="10">
        <v>1177.5</v>
      </c>
      <c r="K57" t="s">
        <v>36</v>
      </c>
    </row>
    <row r="58" spans="1:11" x14ac:dyDescent="0.25">
      <c r="A58" s="1">
        <v>44765</v>
      </c>
      <c r="B58" t="s">
        <v>41</v>
      </c>
      <c r="C58" t="s">
        <v>29</v>
      </c>
      <c r="D58" t="s">
        <v>42</v>
      </c>
      <c r="E58" t="s">
        <v>26</v>
      </c>
      <c r="F58" t="s">
        <v>32</v>
      </c>
      <c r="G58" t="s">
        <v>39</v>
      </c>
      <c r="H58">
        <v>3</v>
      </c>
      <c r="I58" s="30">
        <v>239.76</v>
      </c>
      <c r="J58" s="10">
        <v>719.28</v>
      </c>
      <c r="K58" t="s">
        <v>17</v>
      </c>
    </row>
    <row r="59" spans="1:11" x14ac:dyDescent="0.25">
      <c r="A59" s="1">
        <v>44599</v>
      </c>
      <c r="B59" t="s">
        <v>37</v>
      </c>
      <c r="C59" t="s">
        <v>29</v>
      </c>
      <c r="D59" t="s">
        <v>38</v>
      </c>
      <c r="E59" t="s">
        <v>30</v>
      </c>
      <c r="F59" t="s">
        <v>32</v>
      </c>
      <c r="G59" t="s">
        <v>22</v>
      </c>
      <c r="H59">
        <v>4</v>
      </c>
      <c r="I59" s="30">
        <v>213.82</v>
      </c>
      <c r="J59" s="10">
        <v>855.28</v>
      </c>
      <c r="K59" t="s">
        <v>17</v>
      </c>
    </row>
    <row r="60" spans="1:11" x14ac:dyDescent="0.25">
      <c r="A60" s="1">
        <v>44678</v>
      </c>
      <c r="B60" t="s">
        <v>18</v>
      </c>
      <c r="C60" t="s">
        <v>19</v>
      </c>
      <c r="D60" t="s">
        <v>20</v>
      </c>
      <c r="E60" t="s">
        <v>26</v>
      </c>
      <c r="F60" t="s">
        <v>32</v>
      </c>
      <c r="G60" t="s">
        <v>16</v>
      </c>
      <c r="H60">
        <v>1</v>
      </c>
      <c r="I60" s="30">
        <v>67.2</v>
      </c>
      <c r="J60" s="10">
        <v>67.2</v>
      </c>
      <c r="K60" t="s">
        <v>36</v>
      </c>
    </row>
    <row r="61" spans="1:11" x14ac:dyDescent="0.25">
      <c r="A61" s="1">
        <v>44627</v>
      </c>
      <c r="B61" t="s">
        <v>45</v>
      </c>
      <c r="C61" t="s">
        <v>46</v>
      </c>
      <c r="D61" t="s">
        <v>47</v>
      </c>
      <c r="E61" t="s">
        <v>30</v>
      </c>
      <c r="F61" t="s">
        <v>40</v>
      </c>
      <c r="G61" t="s">
        <v>16</v>
      </c>
      <c r="H61">
        <v>4</v>
      </c>
      <c r="I61" s="30">
        <v>207.05</v>
      </c>
      <c r="J61" s="10">
        <v>828.2</v>
      </c>
      <c r="K61" t="s">
        <v>35</v>
      </c>
    </row>
    <row r="62" spans="1:11" x14ac:dyDescent="0.25">
      <c r="A62" s="1">
        <v>44686</v>
      </c>
      <c r="B62" t="s">
        <v>28</v>
      </c>
      <c r="C62" t="s">
        <v>29</v>
      </c>
      <c r="D62" t="s">
        <v>25</v>
      </c>
      <c r="E62" t="s">
        <v>14</v>
      </c>
      <c r="F62" t="s">
        <v>40</v>
      </c>
      <c r="G62" t="s">
        <v>16</v>
      </c>
      <c r="H62">
        <v>3</v>
      </c>
      <c r="I62" s="30">
        <v>257.92</v>
      </c>
      <c r="J62" s="10">
        <v>773.76</v>
      </c>
      <c r="K62" t="s">
        <v>36</v>
      </c>
    </row>
    <row r="63" spans="1:11" x14ac:dyDescent="0.25">
      <c r="A63" s="1">
        <v>44730</v>
      </c>
      <c r="B63" t="s">
        <v>18</v>
      </c>
      <c r="C63" t="s">
        <v>19</v>
      </c>
      <c r="D63" t="s">
        <v>20</v>
      </c>
      <c r="E63" t="s">
        <v>26</v>
      </c>
      <c r="F63" t="s">
        <v>15</v>
      </c>
      <c r="G63" t="s">
        <v>39</v>
      </c>
      <c r="H63">
        <v>1</v>
      </c>
      <c r="I63" s="30">
        <v>122.32</v>
      </c>
      <c r="J63" s="10">
        <v>122.32</v>
      </c>
      <c r="K63" t="s">
        <v>23</v>
      </c>
    </row>
    <row r="64" spans="1:11" x14ac:dyDescent="0.25">
      <c r="A64" s="1">
        <v>44707</v>
      </c>
      <c r="B64" t="s">
        <v>11</v>
      </c>
      <c r="C64" t="s">
        <v>12</v>
      </c>
      <c r="D64" t="s">
        <v>13</v>
      </c>
      <c r="E64" t="s">
        <v>14</v>
      </c>
      <c r="F64" t="s">
        <v>32</v>
      </c>
      <c r="G64" t="s">
        <v>22</v>
      </c>
      <c r="H64">
        <v>1</v>
      </c>
      <c r="I64" s="30">
        <v>203.63</v>
      </c>
      <c r="J64" s="10">
        <v>203.63</v>
      </c>
      <c r="K64" t="s">
        <v>23</v>
      </c>
    </row>
    <row r="65" spans="1:11" x14ac:dyDescent="0.25">
      <c r="A65" s="1">
        <v>44709</v>
      </c>
      <c r="B65" t="s">
        <v>31</v>
      </c>
      <c r="C65" t="s">
        <v>19</v>
      </c>
      <c r="D65" t="s">
        <v>25</v>
      </c>
      <c r="E65" t="s">
        <v>30</v>
      </c>
      <c r="F65" t="s">
        <v>40</v>
      </c>
      <c r="G65" t="s">
        <v>39</v>
      </c>
      <c r="H65">
        <v>3</v>
      </c>
      <c r="I65" s="30">
        <v>278.14999999999998</v>
      </c>
      <c r="J65" s="10">
        <v>834.45</v>
      </c>
      <c r="K65" t="s">
        <v>36</v>
      </c>
    </row>
    <row r="66" spans="1:11" x14ac:dyDescent="0.25">
      <c r="A66" s="1">
        <v>44745</v>
      </c>
      <c r="B66" t="s">
        <v>28</v>
      </c>
      <c r="C66" t="s">
        <v>29</v>
      </c>
      <c r="D66" t="s">
        <v>25</v>
      </c>
      <c r="E66" t="s">
        <v>30</v>
      </c>
      <c r="F66" t="s">
        <v>40</v>
      </c>
      <c r="G66" t="s">
        <v>27</v>
      </c>
      <c r="H66">
        <v>3</v>
      </c>
      <c r="I66" s="30">
        <v>129.78</v>
      </c>
      <c r="J66" s="10">
        <v>389.34</v>
      </c>
      <c r="K66" t="s">
        <v>17</v>
      </c>
    </row>
    <row r="67" spans="1:11" x14ac:dyDescent="0.25">
      <c r="A67" s="1">
        <v>44717</v>
      </c>
      <c r="B67" t="s">
        <v>31</v>
      </c>
      <c r="C67" t="s">
        <v>19</v>
      </c>
      <c r="D67" t="s">
        <v>25</v>
      </c>
      <c r="E67" t="s">
        <v>30</v>
      </c>
      <c r="F67" t="s">
        <v>32</v>
      </c>
      <c r="G67" t="s">
        <v>33</v>
      </c>
      <c r="H67">
        <v>5</v>
      </c>
      <c r="I67" s="30">
        <v>199.42</v>
      </c>
      <c r="J67" s="10">
        <v>997.1</v>
      </c>
      <c r="K67" t="s">
        <v>23</v>
      </c>
    </row>
    <row r="68" spans="1:11" x14ac:dyDescent="0.25">
      <c r="A68" s="1">
        <v>44738</v>
      </c>
      <c r="B68" t="s">
        <v>44</v>
      </c>
      <c r="C68" t="s">
        <v>19</v>
      </c>
      <c r="D68" t="s">
        <v>20</v>
      </c>
      <c r="E68" t="s">
        <v>30</v>
      </c>
      <c r="F68" t="s">
        <v>15</v>
      </c>
      <c r="G68" t="s">
        <v>16</v>
      </c>
      <c r="H68">
        <v>5</v>
      </c>
      <c r="I68" s="30">
        <v>98.23</v>
      </c>
      <c r="J68" s="10">
        <v>491.15</v>
      </c>
      <c r="K68" t="s">
        <v>23</v>
      </c>
    </row>
    <row r="69" spans="1:11" x14ac:dyDescent="0.25">
      <c r="A69" s="1">
        <v>44688</v>
      </c>
      <c r="B69" t="s">
        <v>24</v>
      </c>
      <c r="C69" t="s">
        <v>19</v>
      </c>
      <c r="D69" t="s">
        <v>25</v>
      </c>
      <c r="E69" t="s">
        <v>14</v>
      </c>
      <c r="F69" t="s">
        <v>21</v>
      </c>
      <c r="G69" t="s">
        <v>33</v>
      </c>
      <c r="H69">
        <v>1</v>
      </c>
      <c r="I69" s="30">
        <v>114.47</v>
      </c>
      <c r="J69" s="10">
        <v>114.47</v>
      </c>
      <c r="K69" t="s">
        <v>36</v>
      </c>
    </row>
    <row r="70" spans="1:11" x14ac:dyDescent="0.25">
      <c r="A70" s="1">
        <v>44624</v>
      </c>
      <c r="B70" t="s">
        <v>48</v>
      </c>
      <c r="C70" t="s">
        <v>49</v>
      </c>
      <c r="D70" t="s">
        <v>50</v>
      </c>
      <c r="E70" t="s">
        <v>26</v>
      </c>
      <c r="F70" t="s">
        <v>21</v>
      </c>
      <c r="G70" t="s">
        <v>16</v>
      </c>
      <c r="H70">
        <v>5</v>
      </c>
      <c r="I70" s="30">
        <v>224.71</v>
      </c>
      <c r="J70" s="10">
        <v>1123.55</v>
      </c>
      <c r="K70" t="s">
        <v>35</v>
      </c>
    </row>
    <row r="71" spans="1:11" x14ac:dyDescent="0.25">
      <c r="A71" s="1">
        <v>44590</v>
      </c>
      <c r="B71" t="s">
        <v>31</v>
      </c>
      <c r="C71" t="s">
        <v>19</v>
      </c>
      <c r="D71" t="s">
        <v>25</v>
      </c>
      <c r="E71" t="s">
        <v>14</v>
      </c>
      <c r="F71" t="s">
        <v>15</v>
      </c>
      <c r="G71" t="s">
        <v>43</v>
      </c>
      <c r="H71">
        <v>3</v>
      </c>
      <c r="I71" s="30">
        <v>104.04</v>
      </c>
      <c r="J71" s="10">
        <v>312.12</v>
      </c>
      <c r="K71" t="s">
        <v>23</v>
      </c>
    </row>
    <row r="72" spans="1:11" x14ac:dyDescent="0.25">
      <c r="A72" s="1">
        <v>44622</v>
      </c>
      <c r="B72" t="s">
        <v>48</v>
      </c>
      <c r="C72" t="s">
        <v>49</v>
      </c>
      <c r="D72" t="s">
        <v>50</v>
      </c>
      <c r="E72" t="s">
        <v>30</v>
      </c>
      <c r="F72" t="s">
        <v>40</v>
      </c>
      <c r="G72" t="s">
        <v>34</v>
      </c>
      <c r="H72">
        <v>5</v>
      </c>
      <c r="I72" s="30">
        <v>140.26</v>
      </c>
      <c r="J72" s="10">
        <v>701.3</v>
      </c>
      <c r="K72" t="s">
        <v>17</v>
      </c>
    </row>
    <row r="73" spans="1:11" x14ac:dyDescent="0.25">
      <c r="A73" s="1">
        <v>44713</v>
      </c>
      <c r="B73" t="s">
        <v>44</v>
      </c>
      <c r="C73" t="s">
        <v>19</v>
      </c>
      <c r="D73" t="s">
        <v>20</v>
      </c>
      <c r="E73" t="s">
        <v>30</v>
      </c>
      <c r="F73" t="s">
        <v>21</v>
      </c>
      <c r="G73" t="s">
        <v>34</v>
      </c>
      <c r="H73">
        <v>5</v>
      </c>
      <c r="I73" s="30">
        <v>215.38</v>
      </c>
      <c r="J73" s="10">
        <v>1076.9000000000001</v>
      </c>
      <c r="K73" t="s">
        <v>17</v>
      </c>
    </row>
    <row r="74" spans="1:11" x14ac:dyDescent="0.25">
      <c r="A74" s="1">
        <v>44696</v>
      </c>
      <c r="B74" t="s">
        <v>18</v>
      </c>
      <c r="C74" t="s">
        <v>19</v>
      </c>
      <c r="D74" t="s">
        <v>20</v>
      </c>
      <c r="E74" t="s">
        <v>26</v>
      </c>
      <c r="F74" t="s">
        <v>15</v>
      </c>
      <c r="G74" t="s">
        <v>33</v>
      </c>
      <c r="H74">
        <v>4</v>
      </c>
      <c r="I74" s="30">
        <v>127.55</v>
      </c>
      <c r="J74" s="10">
        <v>510.2</v>
      </c>
      <c r="K74" t="s">
        <v>23</v>
      </c>
    </row>
    <row r="75" spans="1:11" x14ac:dyDescent="0.25">
      <c r="A75" s="1">
        <v>44803</v>
      </c>
      <c r="B75" t="s">
        <v>31</v>
      </c>
      <c r="C75" t="s">
        <v>19</v>
      </c>
      <c r="D75" t="s">
        <v>25</v>
      </c>
      <c r="E75" t="s">
        <v>26</v>
      </c>
      <c r="F75" t="s">
        <v>15</v>
      </c>
      <c r="G75" t="s">
        <v>34</v>
      </c>
      <c r="H75">
        <v>3</v>
      </c>
      <c r="I75" s="30">
        <v>182.2</v>
      </c>
      <c r="J75" s="10">
        <v>546.6</v>
      </c>
      <c r="K75" t="s">
        <v>17</v>
      </c>
    </row>
    <row r="76" spans="1:11" x14ac:dyDescent="0.25">
      <c r="A76" s="1">
        <v>44655</v>
      </c>
      <c r="B76" t="s">
        <v>28</v>
      </c>
      <c r="C76" t="s">
        <v>29</v>
      </c>
      <c r="D76" t="s">
        <v>25</v>
      </c>
      <c r="E76" t="s">
        <v>30</v>
      </c>
      <c r="F76" t="s">
        <v>32</v>
      </c>
      <c r="G76" t="s">
        <v>27</v>
      </c>
      <c r="H76">
        <v>4</v>
      </c>
      <c r="I76" s="30">
        <v>246.66</v>
      </c>
      <c r="J76" s="10">
        <v>986.64</v>
      </c>
      <c r="K76" t="s">
        <v>23</v>
      </c>
    </row>
    <row r="77" spans="1:11" x14ac:dyDescent="0.25">
      <c r="A77" s="1">
        <v>44728</v>
      </c>
      <c r="B77" t="s">
        <v>18</v>
      </c>
      <c r="C77" t="s">
        <v>19</v>
      </c>
      <c r="D77" t="s">
        <v>20</v>
      </c>
      <c r="E77" t="s">
        <v>26</v>
      </c>
      <c r="F77" t="s">
        <v>32</v>
      </c>
      <c r="G77" t="s">
        <v>16</v>
      </c>
      <c r="H77">
        <v>5</v>
      </c>
      <c r="I77" s="30">
        <v>262.68</v>
      </c>
      <c r="J77" s="10">
        <v>1313.4</v>
      </c>
      <c r="K77" t="s">
        <v>36</v>
      </c>
    </row>
    <row r="78" spans="1:11" x14ac:dyDescent="0.25">
      <c r="A78" s="1">
        <v>44585</v>
      </c>
      <c r="B78" t="s">
        <v>44</v>
      </c>
      <c r="C78" t="s">
        <v>19</v>
      </c>
      <c r="D78" t="s">
        <v>20</v>
      </c>
      <c r="E78" t="s">
        <v>30</v>
      </c>
      <c r="F78" t="s">
        <v>15</v>
      </c>
      <c r="G78" t="s">
        <v>22</v>
      </c>
      <c r="H78">
        <v>3</v>
      </c>
      <c r="I78" s="30">
        <v>101.39</v>
      </c>
      <c r="J78" s="10">
        <v>304.17</v>
      </c>
      <c r="K78" t="s">
        <v>23</v>
      </c>
    </row>
    <row r="79" spans="1:11" x14ac:dyDescent="0.25">
      <c r="A79" s="1">
        <v>44606</v>
      </c>
      <c r="B79" t="s">
        <v>37</v>
      </c>
      <c r="C79" t="s">
        <v>29</v>
      </c>
      <c r="D79" t="s">
        <v>38</v>
      </c>
      <c r="E79" t="s">
        <v>26</v>
      </c>
      <c r="F79" t="s">
        <v>32</v>
      </c>
      <c r="G79" t="s">
        <v>16</v>
      </c>
      <c r="H79">
        <v>1</v>
      </c>
      <c r="I79" s="30">
        <v>59.05</v>
      </c>
      <c r="J79" s="10">
        <v>59.05</v>
      </c>
      <c r="K79" t="s">
        <v>23</v>
      </c>
    </row>
    <row r="80" spans="1:11" x14ac:dyDescent="0.25">
      <c r="A80" s="1">
        <v>44629</v>
      </c>
      <c r="B80" t="s">
        <v>37</v>
      </c>
      <c r="C80" t="s">
        <v>29</v>
      </c>
      <c r="D80" t="s">
        <v>38</v>
      </c>
      <c r="E80" t="s">
        <v>14</v>
      </c>
      <c r="F80" t="s">
        <v>21</v>
      </c>
      <c r="G80" t="s">
        <v>39</v>
      </c>
      <c r="H80">
        <v>1</v>
      </c>
      <c r="I80" s="30">
        <v>101.32</v>
      </c>
      <c r="J80" s="10">
        <v>101.32</v>
      </c>
      <c r="K80" t="s">
        <v>35</v>
      </c>
    </row>
    <row r="81" spans="1:11" x14ac:dyDescent="0.25">
      <c r="A81" s="1">
        <v>44758</v>
      </c>
      <c r="B81" t="s">
        <v>24</v>
      </c>
      <c r="C81" t="s">
        <v>19</v>
      </c>
      <c r="D81" t="s">
        <v>25</v>
      </c>
      <c r="E81" t="s">
        <v>30</v>
      </c>
      <c r="F81" t="s">
        <v>40</v>
      </c>
      <c r="G81" t="s">
        <v>33</v>
      </c>
      <c r="H81">
        <v>4</v>
      </c>
      <c r="I81" s="30">
        <v>228.88</v>
      </c>
      <c r="J81" s="10">
        <v>915.52</v>
      </c>
      <c r="K81" t="s">
        <v>17</v>
      </c>
    </row>
    <row r="82" spans="1:11" x14ac:dyDescent="0.25">
      <c r="A82" s="1">
        <v>44727</v>
      </c>
      <c r="B82" t="s">
        <v>24</v>
      </c>
      <c r="C82" t="s">
        <v>19</v>
      </c>
      <c r="D82" t="s">
        <v>25</v>
      </c>
      <c r="E82" t="s">
        <v>26</v>
      </c>
      <c r="F82" t="s">
        <v>15</v>
      </c>
      <c r="G82" t="s">
        <v>16</v>
      </c>
      <c r="H82">
        <v>4</v>
      </c>
      <c r="I82" s="30">
        <v>258.60000000000002</v>
      </c>
      <c r="J82" s="10">
        <v>1034.4000000000001</v>
      </c>
      <c r="K82" t="s">
        <v>17</v>
      </c>
    </row>
    <row r="83" spans="1:11" x14ac:dyDescent="0.25">
      <c r="A83" s="1">
        <v>44611</v>
      </c>
      <c r="B83" t="s">
        <v>44</v>
      </c>
      <c r="C83" t="s">
        <v>19</v>
      </c>
      <c r="D83" t="s">
        <v>20</v>
      </c>
      <c r="E83" t="s">
        <v>14</v>
      </c>
      <c r="F83" t="s">
        <v>21</v>
      </c>
      <c r="G83" t="s">
        <v>33</v>
      </c>
      <c r="H83">
        <v>4</v>
      </c>
      <c r="I83" s="30">
        <v>129.94999999999999</v>
      </c>
      <c r="J83" s="10">
        <v>519.79999999999995</v>
      </c>
      <c r="K83" t="s">
        <v>23</v>
      </c>
    </row>
    <row r="84" spans="1:11" x14ac:dyDescent="0.25">
      <c r="A84" s="1">
        <v>44748</v>
      </c>
      <c r="B84" t="s">
        <v>44</v>
      </c>
      <c r="C84" t="s">
        <v>19</v>
      </c>
      <c r="D84" t="s">
        <v>20</v>
      </c>
      <c r="E84" t="s">
        <v>26</v>
      </c>
      <c r="F84" t="s">
        <v>32</v>
      </c>
      <c r="G84" t="s">
        <v>27</v>
      </c>
      <c r="H84">
        <v>5</v>
      </c>
      <c r="I84" s="30">
        <v>190.03</v>
      </c>
      <c r="J84" s="10">
        <v>950.15</v>
      </c>
      <c r="K84" t="s">
        <v>23</v>
      </c>
    </row>
    <row r="85" spans="1:11" x14ac:dyDescent="0.25">
      <c r="A85" s="1">
        <v>44593</v>
      </c>
      <c r="B85" t="s">
        <v>45</v>
      </c>
      <c r="C85" t="s">
        <v>46</v>
      </c>
      <c r="D85" t="s">
        <v>47</v>
      </c>
      <c r="E85" t="s">
        <v>14</v>
      </c>
      <c r="F85" t="s">
        <v>32</v>
      </c>
      <c r="G85" t="s">
        <v>39</v>
      </c>
      <c r="H85">
        <v>1</v>
      </c>
      <c r="I85" s="30">
        <v>239.21</v>
      </c>
      <c r="J85" s="10">
        <v>239.21</v>
      </c>
      <c r="K85" t="s">
        <v>36</v>
      </c>
    </row>
    <row r="86" spans="1:11" x14ac:dyDescent="0.25">
      <c r="A86" s="1">
        <v>44645</v>
      </c>
      <c r="B86" t="s">
        <v>11</v>
      </c>
      <c r="C86" t="s">
        <v>12</v>
      </c>
      <c r="D86" t="s">
        <v>13</v>
      </c>
      <c r="E86" t="s">
        <v>14</v>
      </c>
      <c r="F86" t="s">
        <v>21</v>
      </c>
      <c r="G86" t="s">
        <v>33</v>
      </c>
      <c r="H86">
        <v>1</v>
      </c>
      <c r="I86" s="30">
        <v>271.18</v>
      </c>
      <c r="J86" s="10">
        <v>271.18</v>
      </c>
      <c r="K86" t="s">
        <v>23</v>
      </c>
    </row>
    <row r="87" spans="1:11" x14ac:dyDescent="0.25">
      <c r="A87" s="1">
        <v>44595</v>
      </c>
      <c r="B87" t="s">
        <v>48</v>
      </c>
      <c r="C87" t="s">
        <v>49</v>
      </c>
      <c r="D87" t="s">
        <v>50</v>
      </c>
      <c r="E87" t="s">
        <v>26</v>
      </c>
      <c r="F87" t="s">
        <v>21</v>
      </c>
      <c r="G87" t="s">
        <v>16</v>
      </c>
      <c r="H87">
        <v>5</v>
      </c>
      <c r="I87" s="30">
        <v>140.65</v>
      </c>
      <c r="J87" s="10">
        <v>703.25</v>
      </c>
      <c r="K87" t="s">
        <v>36</v>
      </c>
    </row>
    <row r="88" spans="1:11" x14ac:dyDescent="0.25">
      <c r="A88" s="1">
        <v>44742</v>
      </c>
      <c r="B88" t="s">
        <v>11</v>
      </c>
      <c r="C88" t="s">
        <v>12</v>
      </c>
      <c r="D88" t="s">
        <v>13</v>
      </c>
      <c r="E88" t="s">
        <v>14</v>
      </c>
      <c r="F88" t="s">
        <v>21</v>
      </c>
      <c r="G88" t="s">
        <v>34</v>
      </c>
      <c r="H88">
        <v>3</v>
      </c>
      <c r="I88" s="30">
        <v>97.21</v>
      </c>
      <c r="J88" s="10">
        <v>291.63</v>
      </c>
      <c r="K88" t="s">
        <v>23</v>
      </c>
    </row>
    <row r="89" spans="1:11" x14ac:dyDescent="0.25">
      <c r="A89" s="1">
        <v>44604</v>
      </c>
      <c r="B89" t="s">
        <v>41</v>
      </c>
      <c r="C89" t="s">
        <v>29</v>
      </c>
      <c r="D89" t="s">
        <v>42</v>
      </c>
      <c r="E89" t="s">
        <v>30</v>
      </c>
      <c r="F89" t="s">
        <v>40</v>
      </c>
      <c r="G89" t="s">
        <v>34</v>
      </c>
      <c r="H89">
        <v>5</v>
      </c>
      <c r="I89" s="30">
        <v>110.05</v>
      </c>
      <c r="J89" s="10">
        <v>550.25</v>
      </c>
      <c r="K89" t="s">
        <v>17</v>
      </c>
    </row>
    <row r="90" spans="1:11" x14ac:dyDescent="0.25">
      <c r="A90" s="1">
        <v>44757</v>
      </c>
      <c r="B90" t="s">
        <v>44</v>
      </c>
      <c r="C90" t="s">
        <v>19</v>
      </c>
      <c r="D90" t="s">
        <v>20</v>
      </c>
      <c r="E90" t="s">
        <v>14</v>
      </c>
      <c r="F90" t="s">
        <v>32</v>
      </c>
      <c r="G90" t="s">
        <v>27</v>
      </c>
      <c r="H90">
        <v>1</v>
      </c>
      <c r="I90" s="30">
        <v>209.13</v>
      </c>
      <c r="J90" s="10">
        <v>209.13</v>
      </c>
      <c r="K90" t="s">
        <v>23</v>
      </c>
    </row>
    <row r="91" spans="1:11" x14ac:dyDescent="0.25">
      <c r="A91" s="1">
        <v>44598</v>
      </c>
      <c r="B91" t="s">
        <v>24</v>
      </c>
      <c r="C91" t="s">
        <v>19</v>
      </c>
      <c r="D91" t="s">
        <v>25</v>
      </c>
      <c r="E91" t="s">
        <v>26</v>
      </c>
      <c r="F91" t="s">
        <v>40</v>
      </c>
      <c r="G91" t="s">
        <v>33</v>
      </c>
      <c r="H91">
        <v>1</v>
      </c>
      <c r="I91" s="30">
        <v>256.81</v>
      </c>
      <c r="J91" s="10">
        <v>256.81</v>
      </c>
      <c r="K91" t="s">
        <v>17</v>
      </c>
    </row>
    <row r="92" spans="1:11" x14ac:dyDescent="0.25">
      <c r="A92" s="1">
        <v>44581</v>
      </c>
      <c r="B92" t="s">
        <v>41</v>
      </c>
      <c r="C92" t="s">
        <v>29</v>
      </c>
      <c r="D92" t="s">
        <v>42</v>
      </c>
      <c r="E92" t="s">
        <v>26</v>
      </c>
      <c r="F92" t="s">
        <v>15</v>
      </c>
      <c r="G92" t="s">
        <v>27</v>
      </c>
      <c r="H92">
        <v>2</v>
      </c>
      <c r="I92" s="30">
        <v>53.05</v>
      </c>
      <c r="J92" s="10">
        <v>106.1</v>
      </c>
      <c r="K92" t="s">
        <v>23</v>
      </c>
    </row>
    <row r="93" spans="1:11" x14ac:dyDescent="0.25">
      <c r="A93" s="1">
        <v>44654</v>
      </c>
      <c r="B93" t="s">
        <v>18</v>
      </c>
      <c r="C93" t="s">
        <v>19</v>
      </c>
      <c r="D93" t="s">
        <v>20</v>
      </c>
      <c r="E93" t="s">
        <v>30</v>
      </c>
      <c r="F93" t="s">
        <v>40</v>
      </c>
      <c r="G93" t="s">
        <v>34</v>
      </c>
      <c r="H93">
        <v>4</v>
      </c>
      <c r="I93" s="30">
        <v>127.11</v>
      </c>
      <c r="J93" s="10">
        <v>508.44</v>
      </c>
      <c r="K93" t="s">
        <v>23</v>
      </c>
    </row>
    <row r="94" spans="1:11" x14ac:dyDescent="0.25">
      <c r="A94" s="1">
        <v>44744</v>
      </c>
      <c r="B94" t="s">
        <v>28</v>
      </c>
      <c r="C94" t="s">
        <v>29</v>
      </c>
      <c r="D94" t="s">
        <v>25</v>
      </c>
      <c r="E94" t="s">
        <v>26</v>
      </c>
      <c r="F94" t="s">
        <v>40</v>
      </c>
      <c r="G94" t="s">
        <v>16</v>
      </c>
      <c r="H94">
        <v>2</v>
      </c>
      <c r="I94" s="30">
        <v>259.45999999999998</v>
      </c>
      <c r="J94" s="10">
        <v>518.91999999999996</v>
      </c>
      <c r="K94" t="s">
        <v>36</v>
      </c>
    </row>
    <row r="95" spans="1:11" x14ac:dyDescent="0.25">
      <c r="A95" s="1">
        <v>44632</v>
      </c>
      <c r="B95" t="s">
        <v>37</v>
      </c>
      <c r="C95" t="s">
        <v>29</v>
      </c>
      <c r="D95" t="s">
        <v>38</v>
      </c>
      <c r="E95" t="s">
        <v>14</v>
      </c>
      <c r="F95" t="s">
        <v>32</v>
      </c>
      <c r="G95" t="s">
        <v>34</v>
      </c>
      <c r="H95">
        <v>2</v>
      </c>
      <c r="I95" s="30">
        <v>183.29</v>
      </c>
      <c r="J95" s="10">
        <v>366.58</v>
      </c>
      <c r="K95" t="s">
        <v>36</v>
      </c>
    </row>
    <row r="96" spans="1:11" x14ac:dyDescent="0.25">
      <c r="A96" s="1">
        <v>44577</v>
      </c>
      <c r="B96" t="s">
        <v>37</v>
      </c>
      <c r="C96" t="s">
        <v>29</v>
      </c>
      <c r="D96" t="s">
        <v>38</v>
      </c>
      <c r="E96" t="s">
        <v>26</v>
      </c>
      <c r="F96" t="s">
        <v>40</v>
      </c>
      <c r="G96" t="s">
        <v>39</v>
      </c>
      <c r="H96">
        <v>2</v>
      </c>
      <c r="I96" s="30">
        <v>130.4</v>
      </c>
      <c r="J96" s="10">
        <v>260.8</v>
      </c>
      <c r="K96" t="s">
        <v>23</v>
      </c>
    </row>
    <row r="97" spans="1:11" x14ac:dyDescent="0.25">
      <c r="A97" s="1">
        <v>44621</v>
      </c>
      <c r="B97" t="s">
        <v>18</v>
      </c>
      <c r="C97" t="s">
        <v>19</v>
      </c>
      <c r="D97" t="s">
        <v>20</v>
      </c>
      <c r="E97" t="s">
        <v>30</v>
      </c>
      <c r="F97" t="s">
        <v>21</v>
      </c>
      <c r="G97" t="s">
        <v>39</v>
      </c>
      <c r="H97">
        <v>5</v>
      </c>
      <c r="I97" s="30">
        <v>112.04</v>
      </c>
      <c r="J97" s="10">
        <v>560.20000000000005</v>
      </c>
      <c r="K97" t="s">
        <v>36</v>
      </c>
    </row>
    <row r="98" spans="1:11" x14ac:dyDescent="0.25">
      <c r="A98" s="1">
        <v>44619</v>
      </c>
      <c r="B98" t="s">
        <v>48</v>
      </c>
      <c r="C98" t="s">
        <v>49</v>
      </c>
      <c r="D98" t="s">
        <v>50</v>
      </c>
      <c r="E98" t="s">
        <v>26</v>
      </c>
      <c r="F98" t="s">
        <v>32</v>
      </c>
      <c r="G98" t="s">
        <v>16</v>
      </c>
      <c r="H98">
        <v>5</v>
      </c>
      <c r="I98" s="30">
        <v>85.1</v>
      </c>
      <c r="J98" s="10">
        <v>425.5</v>
      </c>
      <c r="K98" t="s">
        <v>23</v>
      </c>
    </row>
    <row r="99" spans="1:11" x14ac:dyDescent="0.25">
      <c r="A99" s="1">
        <v>44744</v>
      </c>
      <c r="B99" t="s">
        <v>48</v>
      </c>
      <c r="C99" t="s">
        <v>49</v>
      </c>
      <c r="D99" t="s">
        <v>50</v>
      </c>
      <c r="E99" t="s">
        <v>14</v>
      </c>
      <c r="F99" t="s">
        <v>21</v>
      </c>
      <c r="G99" t="s">
        <v>33</v>
      </c>
      <c r="H99">
        <v>1</v>
      </c>
      <c r="I99" s="30">
        <v>180.65</v>
      </c>
      <c r="J99" s="10">
        <v>180.65</v>
      </c>
      <c r="K99" t="s">
        <v>23</v>
      </c>
    </row>
    <row r="100" spans="1:11" x14ac:dyDescent="0.25">
      <c r="A100" s="1">
        <v>44600</v>
      </c>
      <c r="B100" t="s">
        <v>45</v>
      </c>
      <c r="C100" t="s">
        <v>46</v>
      </c>
      <c r="D100" t="s">
        <v>47</v>
      </c>
      <c r="E100" t="s">
        <v>26</v>
      </c>
      <c r="F100" t="s">
        <v>32</v>
      </c>
      <c r="G100" t="s">
        <v>34</v>
      </c>
      <c r="H100">
        <v>5</v>
      </c>
      <c r="I100" s="30">
        <v>147.13</v>
      </c>
      <c r="J100" s="10">
        <v>735.65</v>
      </c>
      <c r="K100" t="s">
        <v>36</v>
      </c>
    </row>
    <row r="101" spans="1:11" x14ac:dyDescent="0.25">
      <c r="A101" s="1">
        <v>44583</v>
      </c>
      <c r="B101" t="s">
        <v>48</v>
      </c>
      <c r="C101" t="s">
        <v>49</v>
      </c>
      <c r="D101" t="s">
        <v>50</v>
      </c>
      <c r="E101" t="s">
        <v>26</v>
      </c>
      <c r="F101" t="s">
        <v>15</v>
      </c>
      <c r="G101" t="s">
        <v>33</v>
      </c>
      <c r="H101">
        <v>3</v>
      </c>
      <c r="I101" s="30">
        <v>110.78</v>
      </c>
      <c r="J101" s="10">
        <v>332.34</v>
      </c>
      <c r="K101" t="s">
        <v>23</v>
      </c>
    </row>
    <row r="102" spans="1:11" x14ac:dyDescent="0.25">
      <c r="A102" s="1">
        <v>44736</v>
      </c>
      <c r="B102" t="s">
        <v>28</v>
      </c>
      <c r="C102" t="s">
        <v>29</v>
      </c>
      <c r="D102" t="s">
        <v>25</v>
      </c>
      <c r="E102" t="s">
        <v>26</v>
      </c>
      <c r="F102" t="s">
        <v>21</v>
      </c>
      <c r="G102" t="s">
        <v>43</v>
      </c>
      <c r="H102">
        <v>5</v>
      </c>
      <c r="I102" s="30">
        <v>58.37</v>
      </c>
      <c r="J102" s="10">
        <v>291.85000000000002</v>
      </c>
      <c r="K102" t="s">
        <v>35</v>
      </c>
    </row>
    <row r="103" spans="1:11" x14ac:dyDescent="0.25">
      <c r="A103" s="1">
        <v>44765</v>
      </c>
      <c r="B103" t="s">
        <v>41</v>
      </c>
      <c r="C103" t="s">
        <v>29</v>
      </c>
      <c r="D103" t="s">
        <v>42</v>
      </c>
      <c r="E103" t="s">
        <v>26</v>
      </c>
      <c r="F103" t="s">
        <v>32</v>
      </c>
      <c r="G103" t="s">
        <v>27</v>
      </c>
      <c r="H103">
        <v>5</v>
      </c>
      <c r="I103" s="30">
        <v>241.67</v>
      </c>
      <c r="J103" s="10">
        <v>1208.3499999999999</v>
      </c>
      <c r="K103" t="s">
        <v>17</v>
      </c>
    </row>
    <row r="104" spans="1:11" x14ac:dyDescent="0.25">
      <c r="A104" s="1">
        <v>44767</v>
      </c>
      <c r="B104" t="s">
        <v>37</v>
      </c>
      <c r="C104" t="s">
        <v>29</v>
      </c>
      <c r="D104" t="s">
        <v>38</v>
      </c>
      <c r="E104" t="s">
        <v>26</v>
      </c>
      <c r="F104" t="s">
        <v>15</v>
      </c>
      <c r="G104" t="s">
        <v>22</v>
      </c>
      <c r="H104">
        <v>2</v>
      </c>
      <c r="I104" s="30">
        <v>89.67</v>
      </c>
      <c r="J104" s="10">
        <v>179.34</v>
      </c>
      <c r="K104" t="s">
        <v>35</v>
      </c>
    </row>
    <row r="105" spans="1:11" x14ac:dyDescent="0.25">
      <c r="A105" s="1">
        <v>44710</v>
      </c>
      <c r="B105" t="s">
        <v>24</v>
      </c>
      <c r="C105" t="s">
        <v>19</v>
      </c>
      <c r="D105" t="s">
        <v>25</v>
      </c>
      <c r="E105" t="s">
        <v>26</v>
      </c>
      <c r="F105" t="s">
        <v>21</v>
      </c>
      <c r="G105" t="s">
        <v>39</v>
      </c>
      <c r="H105">
        <v>1</v>
      </c>
      <c r="I105" s="30">
        <v>132.09</v>
      </c>
      <c r="J105" s="10">
        <v>132.09</v>
      </c>
      <c r="K105" t="s">
        <v>35</v>
      </c>
    </row>
    <row r="106" spans="1:11" x14ac:dyDescent="0.25">
      <c r="A106" s="1">
        <v>44777</v>
      </c>
      <c r="B106" t="s">
        <v>45</v>
      </c>
      <c r="C106" t="s">
        <v>46</v>
      </c>
      <c r="D106" t="s">
        <v>47</v>
      </c>
      <c r="E106" t="s">
        <v>26</v>
      </c>
      <c r="F106" t="s">
        <v>32</v>
      </c>
      <c r="G106" t="s">
        <v>16</v>
      </c>
      <c r="H106">
        <v>2</v>
      </c>
      <c r="I106" s="30">
        <v>202.18</v>
      </c>
      <c r="J106" s="10">
        <v>404.36</v>
      </c>
      <c r="K106" t="s">
        <v>35</v>
      </c>
    </row>
    <row r="107" spans="1:11" x14ac:dyDescent="0.25">
      <c r="A107" s="1">
        <v>44604</v>
      </c>
      <c r="B107" t="s">
        <v>18</v>
      </c>
      <c r="C107" t="s">
        <v>19</v>
      </c>
      <c r="D107" t="s">
        <v>20</v>
      </c>
      <c r="E107" t="s">
        <v>30</v>
      </c>
      <c r="F107" t="s">
        <v>32</v>
      </c>
      <c r="G107" t="s">
        <v>34</v>
      </c>
      <c r="H107">
        <v>3</v>
      </c>
      <c r="I107" s="30">
        <v>90.19</v>
      </c>
      <c r="J107" s="10">
        <v>270.57</v>
      </c>
      <c r="K107" t="s">
        <v>23</v>
      </c>
    </row>
    <row r="108" spans="1:11" x14ac:dyDescent="0.25">
      <c r="A108" s="1">
        <v>44621</v>
      </c>
      <c r="B108" t="s">
        <v>28</v>
      </c>
      <c r="C108" t="s">
        <v>29</v>
      </c>
      <c r="D108" t="s">
        <v>25</v>
      </c>
      <c r="E108" t="s">
        <v>14</v>
      </c>
      <c r="F108" t="s">
        <v>21</v>
      </c>
      <c r="G108" t="s">
        <v>22</v>
      </c>
      <c r="H108">
        <v>2</v>
      </c>
      <c r="I108" s="30">
        <v>179.28</v>
      </c>
      <c r="J108" s="10">
        <v>358.56</v>
      </c>
      <c r="K108" t="s">
        <v>23</v>
      </c>
    </row>
    <row r="109" spans="1:11" x14ac:dyDescent="0.25">
      <c r="A109" s="1">
        <v>44643</v>
      </c>
      <c r="B109" t="s">
        <v>28</v>
      </c>
      <c r="C109" t="s">
        <v>29</v>
      </c>
      <c r="D109" t="s">
        <v>25</v>
      </c>
      <c r="E109" t="s">
        <v>30</v>
      </c>
      <c r="F109" t="s">
        <v>40</v>
      </c>
      <c r="G109" t="s">
        <v>22</v>
      </c>
      <c r="H109">
        <v>5</v>
      </c>
      <c r="I109" s="30">
        <v>188.61</v>
      </c>
      <c r="J109" s="10">
        <v>943.05</v>
      </c>
      <c r="K109" t="s">
        <v>36</v>
      </c>
    </row>
    <row r="110" spans="1:11" x14ac:dyDescent="0.25">
      <c r="A110" s="1">
        <v>44803</v>
      </c>
      <c r="B110" t="s">
        <v>11</v>
      </c>
      <c r="C110" t="s">
        <v>12</v>
      </c>
      <c r="D110" t="s">
        <v>13</v>
      </c>
      <c r="E110" t="s">
        <v>30</v>
      </c>
      <c r="F110" t="s">
        <v>40</v>
      </c>
      <c r="G110" t="s">
        <v>34</v>
      </c>
      <c r="H110">
        <v>2</v>
      </c>
      <c r="I110" s="30">
        <v>111.36</v>
      </c>
      <c r="J110" s="10">
        <v>222.72</v>
      </c>
      <c r="K110" t="s">
        <v>17</v>
      </c>
    </row>
    <row r="111" spans="1:11" x14ac:dyDescent="0.25">
      <c r="A111" s="1">
        <v>44610</v>
      </c>
      <c r="B111" t="s">
        <v>45</v>
      </c>
      <c r="C111" t="s">
        <v>46</v>
      </c>
      <c r="D111" t="s">
        <v>47</v>
      </c>
      <c r="E111" t="s">
        <v>26</v>
      </c>
      <c r="F111" t="s">
        <v>40</v>
      </c>
      <c r="G111" t="s">
        <v>34</v>
      </c>
      <c r="H111">
        <v>3</v>
      </c>
      <c r="I111" s="30">
        <v>53.98</v>
      </c>
      <c r="J111" s="10">
        <v>161.94</v>
      </c>
      <c r="K111" t="s">
        <v>23</v>
      </c>
    </row>
    <row r="112" spans="1:11" x14ac:dyDescent="0.25">
      <c r="A112" s="1">
        <v>44709</v>
      </c>
      <c r="B112" t="s">
        <v>37</v>
      </c>
      <c r="C112" t="s">
        <v>29</v>
      </c>
      <c r="D112" t="s">
        <v>38</v>
      </c>
      <c r="E112" t="s">
        <v>14</v>
      </c>
      <c r="F112" t="s">
        <v>21</v>
      </c>
      <c r="G112" t="s">
        <v>39</v>
      </c>
      <c r="H112">
        <v>4</v>
      </c>
      <c r="I112" s="30">
        <v>240.64</v>
      </c>
      <c r="J112" s="10">
        <v>962.56</v>
      </c>
      <c r="K112" t="s">
        <v>23</v>
      </c>
    </row>
    <row r="113" spans="1:11" x14ac:dyDescent="0.25">
      <c r="A113" s="1">
        <v>44620</v>
      </c>
      <c r="B113" t="s">
        <v>37</v>
      </c>
      <c r="C113" t="s">
        <v>29</v>
      </c>
      <c r="D113" t="s">
        <v>38</v>
      </c>
      <c r="E113" t="s">
        <v>26</v>
      </c>
      <c r="F113" t="s">
        <v>32</v>
      </c>
      <c r="G113" t="s">
        <v>22</v>
      </c>
      <c r="H113">
        <v>5</v>
      </c>
      <c r="I113" s="30">
        <v>195.57</v>
      </c>
      <c r="J113" s="10">
        <v>977.85</v>
      </c>
      <c r="K113" t="s">
        <v>23</v>
      </c>
    </row>
    <row r="114" spans="1:11" x14ac:dyDescent="0.25">
      <c r="A114" s="1">
        <v>44629</v>
      </c>
      <c r="B114" t="s">
        <v>28</v>
      </c>
      <c r="C114" t="s">
        <v>29</v>
      </c>
      <c r="D114" t="s">
        <v>25</v>
      </c>
      <c r="E114" t="s">
        <v>14</v>
      </c>
      <c r="F114" t="s">
        <v>21</v>
      </c>
      <c r="G114" t="s">
        <v>39</v>
      </c>
      <c r="H114">
        <v>3</v>
      </c>
      <c r="I114" s="30">
        <v>224.66</v>
      </c>
      <c r="J114" s="10">
        <v>673.98</v>
      </c>
      <c r="K114" t="s">
        <v>23</v>
      </c>
    </row>
    <row r="115" spans="1:11" x14ac:dyDescent="0.25">
      <c r="A115" s="1">
        <v>44679</v>
      </c>
      <c r="B115" t="s">
        <v>48</v>
      </c>
      <c r="C115" t="s">
        <v>49</v>
      </c>
      <c r="D115" t="s">
        <v>50</v>
      </c>
      <c r="E115" t="s">
        <v>26</v>
      </c>
      <c r="F115" t="s">
        <v>40</v>
      </c>
      <c r="G115" t="s">
        <v>39</v>
      </c>
      <c r="H115">
        <v>3</v>
      </c>
      <c r="I115" s="30">
        <v>65.2</v>
      </c>
      <c r="J115" s="10">
        <v>195.6</v>
      </c>
      <c r="K115" t="s">
        <v>36</v>
      </c>
    </row>
    <row r="116" spans="1:11" x14ac:dyDescent="0.25">
      <c r="A116" s="1">
        <v>44755</v>
      </c>
      <c r="B116" t="s">
        <v>44</v>
      </c>
      <c r="C116" t="s">
        <v>19</v>
      </c>
      <c r="D116" t="s">
        <v>20</v>
      </c>
      <c r="E116" t="s">
        <v>26</v>
      </c>
      <c r="F116" t="s">
        <v>15</v>
      </c>
      <c r="G116" t="s">
        <v>39</v>
      </c>
      <c r="H116">
        <v>4</v>
      </c>
      <c r="I116" s="30">
        <v>117.78</v>
      </c>
      <c r="J116" s="10">
        <v>471.12</v>
      </c>
      <c r="K116" t="s">
        <v>35</v>
      </c>
    </row>
    <row r="117" spans="1:11" x14ac:dyDescent="0.25">
      <c r="A117" s="1">
        <v>44601</v>
      </c>
      <c r="B117" t="s">
        <v>31</v>
      </c>
      <c r="C117" t="s">
        <v>19</v>
      </c>
      <c r="D117" t="s">
        <v>25</v>
      </c>
      <c r="E117" t="s">
        <v>26</v>
      </c>
      <c r="F117" t="s">
        <v>21</v>
      </c>
      <c r="G117" t="s">
        <v>43</v>
      </c>
      <c r="H117">
        <v>4</v>
      </c>
      <c r="I117" s="30">
        <v>214.93</v>
      </c>
      <c r="J117" s="10">
        <v>859.72</v>
      </c>
      <c r="K117" t="s">
        <v>17</v>
      </c>
    </row>
    <row r="118" spans="1:11" x14ac:dyDescent="0.25">
      <c r="A118" s="1">
        <v>44789</v>
      </c>
      <c r="B118" t="s">
        <v>48</v>
      </c>
      <c r="C118" t="s">
        <v>49</v>
      </c>
      <c r="D118" t="s">
        <v>50</v>
      </c>
      <c r="E118" t="s">
        <v>14</v>
      </c>
      <c r="F118" t="s">
        <v>15</v>
      </c>
      <c r="G118" t="s">
        <v>16</v>
      </c>
      <c r="H118">
        <v>2</v>
      </c>
      <c r="I118" s="30">
        <v>249.49</v>
      </c>
      <c r="J118" s="10">
        <v>498.98</v>
      </c>
      <c r="K118" t="s">
        <v>23</v>
      </c>
    </row>
    <row r="119" spans="1:11" x14ac:dyDescent="0.25">
      <c r="A119" s="1">
        <v>44725</v>
      </c>
      <c r="B119" t="s">
        <v>18</v>
      </c>
      <c r="C119" t="s">
        <v>19</v>
      </c>
      <c r="D119" t="s">
        <v>20</v>
      </c>
      <c r="E119" t="s">
        <v>30</v>
      </c>
      <c r="F119" t="s">
        <v>32</v>
      </c>
      <c r="G119" t="s">
        <v>43</v>
      </c>
      <c r="H119">
        <v>4</v>
      </c>
      <c r="I119" s="30">
        <v>141.35</v>
      </c>
      <c r="J119" s="10">
        <v>565.4</v>
      </c>
      <c r="K119" t="s">
        <v>35</v>
      </c>
    </row>
    <row r="120" spans="1:11" x14ac:dyDescent="0.25">
      <c r="A120" s="1">
        <v>44623</v>
      </c>
      <c r="B120" t="s">
        <v>48</v>
      </c>
      <c r="C120" t="s">
        <v>49</v>
      </c>
      <c r="D120" t="s">
        <v>50</v>
      </c>
      <c r="E120" t="s">
        <v>14</v>
      </c>
      <c r="F120" t="s">
        <v>15</v>
      </c>
      <c r="G120" t="s">
        <v>16</v>
      </c>
      <c r="H120">
        <v>3</v>
      </c>
      <c r="I120" s="30">
        <v>264.14</v>
      </c>
      <c r="J120" s="10">
        <v>792.42</v>
      </c>
      <c r="K120" t="s">
        <v>17</v>
      </c>
    </row>
    <row r="121" spans="1:11" x14ac:dyDescent="0.25">
      <c r="A121" s="1">
        <v>44564</v>
      </c>
      <c r="B121" t="s">
        <v>11</v>
      </c>
      <c r="C121" t="s">
        <v>12</v>
      </c>
      <c r="D121" t="s">
        <v>13</v>
      </c>
      <c r="E121" t="s">
        <v>14</v>
      </c>
      <c r="F121" t="s">
        <v>32</v>
      </c>
      <c r="G121" t="s">
        <v>34</v>
      </c>
      <c r="H121">
        <v>5</v>
      </c>
      <c r="I121" s="30">
        <v>73.58</v>
      </c>
      <c r="J121" s="10">
        <v>367.9</v>
      </c>
      <c r="K121" t="s">
        <v>35</v>
      </c>
    </row>
    <row r="122" spans="1:11" x14ac:dyDescent="0.25">
      <c r="A122" s="1">
        <v>44768</v>
      </c>
      <c r="B122" t="s">
        <v>11</v>
      </c>
      <c r="C122" t="s">
        <v>12</v>
      </c>
      <c r="D122" t="s">
        <v>13</v>
      </c>
      <c r="E122" t="s">
        <v>14</v>
      </c>
      <c r="F122" t="s">
        <v>21</v>
      </c>
      <c r="G122" t="s">
        <v>22</v>
      </c>
      <c r="H122">
        <v>1</v>
      </c>
      <c r="I122" s="30">
        <v>106.59</v>
      </c>
      <c r="J122" s="10">
        <v>106.59</v>
      </c>
      <c r="K122" t="s">
        <v>17</v>
      </c>
    </row>
    <row r="123" spans="1:11" x14ac:dyDescent="0.25">
      <c r="A123" s="1">
        <v>44604</v>
      </c>
      <c r="B123" t="s">
        <v>28</v>
      </c>
      <c r="C123" t="s">
        <v>29</v>
      </c>
      <c r="D123" t="s">
        <v>25</v>
      </c>
      <c r="E123" t="s">
        <v>30</v>
      </c>
      <c r="F123" t="s">
        <v>21</v>
      </c>
      <c r="G123" t="s">
        <v>39</v>
      </c>
      <c r="H123">
        <v>3</v>
      </c>
      <c r="I123" s="30">
        <v>59.98</v>
      </c>
      <c r="J123" s="10">
        <v>179.94</v>
      </c>
      <c r="K123" t="s">
        <v>35</v>
      </c>
    </row>
    <row r="124" spans="1:11" x14ac:dyDescent="0.25">
      <c r="A124" s="1">
        <v>44622</v>
      </c>
      <c r="B124" t="s">
        <v>48</v>
      </c>
      <c r="C124" t="s">
        <v>49</v>
      </c>
      <c r="D124" t="s">
        <v>50</v>
      </c>
      <c r="E124" t="s">
        <v>26</v>
      </c>
      <c r="F124" t="s">
        <v>32</v>
      </c>
      <c r="G124" t="s">
        <v>16</v>
      </c>
      <c r="H124">
        <v>3</v>
      </c>
      <c r="I124" s="30">
        <v>87.81</v>
      </c>
      <c r="J124" s="10">
        <v>263.43</v>
      </c>
      <c r="K124" t="s">
        <v>17</v>
      </c>
    </row>
    <row r="125" spans="1:11" x14ac:dyDescent="0.25">
      <c r="A125" s="1">
        <v>44657</v>
      </c>
      <c r="B125" t="s">
        <v>28</v>
      </c>
      <c r="C125" t="s">
        <v>29</v>
      </c>
      <c r="D125" t="s">
        <v>25</v>
      </c>
      <c r="E125" t="s">
        <v>30</v>
      </c>
      <c r="F125" t="s">
        <v>40</v>
      </c>
      <c r="G125" t="s">
        <v>16</v>
      </c>
      <c r="H125">
        <v>2</v>
      </c>
      <c r="I125" s="30">
        <v>283.60000000000002</v>
      </c>
      <c r="J125" s="10">
        <v>567.20000000000005</v>
      </c>
      <c r="K125" t="s">
        <v>35</v>
      </c>
    </row>
    <row r="126" spans="1:11" x14ac:dyDescent="0.25">
      <c r="A126" s="1">
        <v>44784</v>
      </c>
      <c r="B126" t="s">
        <v>48</v>
      </c>
      <c r="C126" t="s">
        <v>49</v>
      </c>
      <c r="D126" t="s">
        <v>50</v>
      </c>
      <c r="E126" t="s">
        <v>30</v>
      </c>
      <c r="F126" t="s">
        <v>15</v>
      </c>
      <c r="G126" t="s">
        <v>16</v>
      </c>
      <c r="H126">
        <v>2</v>
      </c>
      <c r="I126" s="30">
        <v>194.31</v>
      </c>
      <c r="J126" s="10">
        <v>388.62</v>
      </c>
      <c r="K126" t="s">
        <v>35</v>
      </c>
    </row>
    <row r="127" spans="1:11" x14ac:dyDescent="0.25">
      <c r="A127" s="1">
        <v>44735</v>
      </c>
      <c r="B127" t="s">
        <v>41</v>
      </c>
      <c r="C127" t="s">
        <v>29</v>
      </c>
      <c r="D127" t="s">
        <v>42</v>
      </c>
      <c r="E127" t="s">
        <v>14</v>
      </c>
      <c r="F127" t="s">
        <v>15</v>
      </c>
      <c r="G127" t="s">
        <v>16</v>
      </c>
      <c r="H127">
        <v>4</v>
      </c>
      <c r="I127" s="30">
        <v>199.68</v>
      </c>
      <c r="J127" s="10">
        <v>798.72</v>
      </c>
      <c r="K127" t="s">
        <v>36</v>
      </c>
    </row>
    <row r="128" spans="1:11" x14ac:dyDescent="0.25">
      <c r="A128" s="1">
        <v>44659</v>
      </c>
      <c r="B128" t="s">
        <v>11</v>
      </c>
      <c r="C128" t="s">
        <v>12</v>
      </c>
      <c r="D128" t="s">
        <v>13</v>
      </c>
      <c r="E128" t="s">
        <v>26</v>
      </c>
      <c r="F128" t="s">
        <v>40</v>
      </c>
      <c r="G128" t="s">
        <v>16</v>
      </c>
      <c r="H128">
        <v>5</v>
      </c>
      <c r="I128" s="30">
        <v>145.47</v>
      </c>
      <c r="J128" s="10">
        <v>727.35</v>
      </c>
      <c r="K128" t="s">
        <v>17</v>
      </c>
    </row>
    <row r="129" spans="1:11" x14ac:dyDescent="0.25">
      <c r="A129" s="1">
        <v>44592</v>
      </c>
      <c r="B129" t="s">
        <v>41</v>
      </c>
      <c r="C129" t="s">
        <v>29</v>
      </c>
      <c r="D129" t="s">
        <v>42</v>
      </c>
      <c r="E129" t="s">
        <v>26</v>
      </c>
      <c r="F129" t="s">
        <v>15</v>
      </c>
      <c r="G129" t="s">
        <v>33</v>
      </c>
      <c r="H129">
        <v>1</v>
      </c>
      <c r="I129" s="30">
        <v>141.11000000000001</v>
      </c>
      <c r="J129" s="10">
        <v>141.11000000000001</v>
      </c>
      <c r="K129" t="s">
        <v>35</v>
      </c>
    </row>
    <row r="130" spans="1:11" x14ac:dyDescent="0.25">
      <c r="A130" s="1">
        <v>44667</v>
      </c>
      <c r="B130" t="s">
        <v>31</v>
      </c>
      <c r="C130" t="s">
        <v>19</v>
      </c>
      <c r="D130" t="s">
        <v>25</v>
      </c>
      <c r="E130" t="s">
        <v>26</v>
      </c>
      <c r="F130" t="s">
        <v>32</v>
      </c>
      <c r="G130" t="s">
        <v>34</v>
      </c>
      <c r="H130">
        <v>2</v>
      </c>
      <c r="I130" s="30">
        <v>188.4</v>
      </c>
      <c r="J130" s="10">
        <v>376.8</v>
      </c>
      <c r="K130" t="s">
        <v>17</v>
      </c>
    </row>
    <row r="131" spans="1:11" x14ac:dyDescent="0.25">
      <c r="A131" s="1">
        <v>44650</v>
      </c>
      <c r="B131" t="s">
        <v>41</v>
      </c>
      <c r="C131" t="s">
        <v>29</v>
      </c>
      <c r="D131" t="s">
        <v>42</v>
      </c>
      <c r="E131" t="s">
        <v>30</v>
      </c>
      <c r="F131" t="s">
        <v>15</v>
      </c>
      <c r="G131" t="s">
        <v>27</v>
      </c>
      <c r="H131">
        <v>4</v>
      </c>
      <c r="I131" s="30">
        <v>145.28</v>
      </c>
      <c r="J131" s="10">
        <v>581.12</v>
      </c>
      <c r="K131" t="s">
        <v>17</v>
      </c>
    </row>
    <row r="132" spans="1:11" x14ac:dyDescent="0.25">
      <c r="A132" s="1">
        <v>44757</v>
      </c>
      <c r="B132" t="s">
        <v>44</v>
      </c>
      <c r="C132" t="s">
        <v>19</v>
      </c>
      <c r="D132" t="s">
        <v>20</v>
      </c>
      <c r="E132" t="s">
        <v>30</v>
      </c>
      <c r="F132" t="s">
        <v>21</v>
      </c>
      <c r="G132" t="s">
        <v>33</v>
      </c>
      <c r="H132">
        <v>2</v>
      </c>
      <c r="I132" s="30">
        <v>277.48</v>
      </c>
      <c r="J132" s="10">
        <v>554.96</v>
      </c>
      <c r="K132" t="s">
        <v>17</v>
      </c>
    </row>
    <row r="133" spans="1:11" x14ac:dyDescent="0.25">
      <c r="A133" s="1">
        <v>44789</v>
      </c>
      <c r="B133" t="s">
        <v>28</v>
      </c>
      <c r="C133" t="s">
        <v>29</v>
      </c>
      <c r="D133" t="s">
        <v>25</v>
      </c>
      <c r="E133" t="s">
        <v>26</v>
      </c>
      <c r="F133" t="s">
        <v>15</v>
      </c>
      <c r="G133" t="s">
        <v>16</v>
      </c>
      <c r="H133">
        <v>4</v>
      </c>
      <c r="I133" s="30">
        <v>153.56</v>
      </c>
      <c r="J133" s="10">
        <v>614.24</v>
      </c>
      <c r="K133" t="s">
        <v>36</v>
      </c>
    </row>
    <row r="134" spans="1:11" x14ac:dyDescent="0.25">
      <c r="A134" s="1">
        <v>44635</v>
      </c>
      <c r="B134" t="s">
        <v>11</v>
      </c>
      <c r="C134" t="s">
        <v>12</v>
      </c>
      <c r="D134" t="s">
        <v>13</v>
      </c>
      <c r="E134" t="s">
        <v>30</v>
      </c>
      <c r="F134" t="s">
        <v>32</v>
      </c>
      <c r="G134" t="s">
        <v>16</v>
      </c>
      <c r="H134">
        <v>2</v>
      </c>
      <c r="I134" s="30">
        <v>74.83</v>
      </c>
      <c r="J134" s="10">
        <v>149.66</v>
      </c>
      <c r="K134" t="s">
        <v>17</v>
      </c>
    </row>
    <row r="135" spans="1:11" x14ac:dyDescent="0.25">
      <c r="A135" s="1">
        <v>44748</v>
      </c>
      <c r="B135" t="s">
        <v>41</v>
      </c>
      <c r="C135" t="s">
        <v>29</v>
      </c>
      <c r="D135" t="s">
        <v>42</v>
      </c>
      <c r="E135" t="s">
        <v>26</v>
      </c>
      <c r="F135" t="s">
        <v>15</v>
      </c>
      <c r="G135" t="s">
        <v>27</v>
      </c>
      <c r="H135">
        <v>1</v>
      </c>
      <c r="I135" s="30">
        <v>136.80000000000001</v>
      </c>
      <c r="J135" s="10">
        <v>136.80000000000001</v>
      </c>
      <c r="K135" t="s">
        <v>35</v>
      </c>
    </row>
    <row r="136" spans="1:11" x14ac:dyDescent="0.25">
      <c r="A136" s="1">
        <v>44738</v>
      </c>
      <c r="B136" t="s">
        <v>18</v>
      </c>
      <c r="C136" t="s">
        <v>19</v>
      </c>
      <c r="D136" t="s">
        <v>20</v>
      </c>
      <c r="E136" t="s">
        <v>14</v>
      </c>
      <c r="F136" t="s">
        <v>32</v>
      </c>
      <c r="G136" t="s">
        <v>22</v>
      </c>
      <c r="H136">
        <v>3</v>
      </c>
      <c r="I136" s="30">
        <v>209.69</v>
      </c>
      <c r="J136" s="10">
        <v>629.07000000000005</v>
      </c>
      <c r="K136" t="s">
        <v>36</v>
      </c>
    </row>
    <row r="137" spans="1:11" x14ac:dyDescent="0.25">
      <c r="A137" s="1">
        <v>44638</v>
      </c>
      <c r="B137" t="s">
        <v>41</v>
      </c>
      <c r="C137" t="s">
        <v>29</v>
      </c>
      <c r="D137" t="s">
        <v>42</v>
      </c>
      <c r="E137" t="s">
        <v>30</v>
      </c>
      <c r="F137" t="s">
        <v>32</v>
      </c>
      <c r="G137" t="s">
        <v>43</v>
      </c>
      <c r="H137">
        <v>3</v>
      </c>
      <c r="I137" s="30">
        <v>200.87</v>
      </c>
      <c r="J137" s="10">
        <v>602.61</v>
      </c>
      <c r="K137" t="s">
        <v>23</v>
      </c>
    </row>
    <row r="138" spans="1:11" x14ac:dyDescent="0.25">
      <c r="A138" s="1">
        <v>44596</v>
      </c>
      <c r="B138" t="s">
        <v>48</v>
      </c>
      <c r="C138" t="s">
        <v>49</v>
      </c>
      <c r="D138" t="s">
        <v>50</v>
      </c>
      <c r="E138" t="s">
        <v>30</v>
      </c>
      <c r="F138" t="s">
        <v>21</v>
      </c>
      <c r="G138" t="s">
        <v>16</v>
      </c>
      <c r="H138">
        <v>1</v>
      </c>
      <c r="I138" s="30">
        <v>221.26</v>
      </c>
      <c r="J138" s="10">
        <v>221.26</v>
      </c>
      <c r="K138" t="s">
        <v>17</v>
      </c>
    </row>
    <row r="139" spans="1:11" x14ac:dyDescent="0.25">
      <c r="A139" s="1">
        <v>44564</v>
      </c>
      <c r="B139" t="s">
        <v>24</v>
      </c>
      <c r="C139" t="s">
        <v>19</v>
      </c>
      <c r="D139" t="s">
        <v>25</v>
      </c>
      <c r="E139" t="s">
        <v>26</v>
      </c>
      <c r="F139" t="s">
        <v>21</v>
      </c>
      <c r="G139" t="s">
        <v>22</v>
      </c>
      <c r="H139">
        <v>5</v>
      </c>
      <c r="I139" s="30">
        <v>176.98</v>
      </c>
      <c r="J139" s="10">
        <v>884.9</v>
      </c>
      <c r="K139" t="s">
        <v>17</v>
      </c>
    </row>
    <row r="140" spans="1:11" x14ac:dyDescent="0.25">
      <c r="A140" s="1">
        <v>44779</v>
      </c>
      <c r="B140" t="s">
        <v>45</v>
      </c>
      <c r="C140" t="s">
        <v>46</v>
      </c>
      <c r="D140" t="s">
        <v>47</v>
      </c>
      <c r="E140" t="s">
        <v>30</v>
      </c>
      <c r="F140" t="s">
        <v>32</v>
      </c>
      <c r="G140" t="s">
        <v>34</v>
      </c>
      <c r="H140">
        <v>5</v>
      </c>
      <c r="I140" s="30">
        <v>77.08</v>
      </c>
      <c r="J140" s="10">
        <v>385.4</v>
      </c>
      <c r="K140" t="s">
        <v>36</v>
      </c>
    </row>
    <row r="141" spans="1:11" x14ac:dyDescent="0.25">
      <c r="A141" s="1">
        <v>44626</v>
      </c>
      <c r="B141" t="s">
        <v>31</v>
      </c>
      <c r="C141" t="s">
        <v>19</v>
      </c>
      <c r="D141" t="s">
        <v>25</v>
      </c>
      <c r="E141" t="s">
        <v>30</v>
      </c>
      <c r="F141" t="s">
        <v>32</v>
      </c>
      <c r="G141" t="s">
        <v>39</v>
      </c>
      <c r="H141">
        <v>4</v>
      </c>
      <c r="I141" s="30">
        <v>239.54</v>
      </c>
      <c r="J141" s="10">
        <v>958.16</v>
      </c>
      <c r="K141" t="s">
        <v>36</v>
      </c>
    </row>
    <row r="142" spans="1:11" x14ac:dyDescent="0.25">
      <c r="A142" s="1">
        <v>44639</v>
      </c>
      <c r="B142" t="s">
        <v>41</v>
      </c>
      <c r="C142" t="s">
        <v>29</v>
      </c>
      <c r="D142" t="s">
        <v>42</v>
      </c>
      <c r="E142" t="s">
        <v>30</v>
      </c>
      <c r="F142" t="s">
        <v>21</v>
      </c>
      <c r="G142" t="s">
        <v>43</v>
      </c>
      <c r="H142">
        <v>5</v>
      </c>
      <c r="I142" s="30">
        <v>179.54</v>
      </c>
      <c r="J142" s="10">
        <v>897.7</v>
      </c>
      <c r="K142" t="s">
        <v>35</v>
      </c>
    </row>
    <row r="143" spans="1:11" x14ac:dyDescent="0.25">
      <c r="A143" s="1">
        <v>44656</v>
      </c>
      <c r="B143" t="s">
        <v>37</v>
      </c>
      <c r="C143" t="s">
        <v>29</v>
      </c>
      <c r="D143" t="s">
        <v>38</v>
      </c>
      <c r="E143" t="s">
        <v>26</v>
      </c>
      <c r="F143" t="s">
        <v>21</v>
      </c>
      <c r="G143" t="s">
        <v>39</v>
      </c>
      <c r="H143">
        <v>3</v>
      </c>
      <c r="I143" s="30">
        <v>274.23</v>
      </c>
      <c r="J143" s="10">
        <v>822.69</v>
      </c>
      <c r="K143" t="s">
        <v>23</v>
      </c>
    </row>
    <row r="144" spans="1:11" x14ac:dyDescent="0.25">
      <c r="A144" s="1">
        <v>44631</v>
      </c>
      <c r="B144" t="s">
        <v>28</v>
      </c>
      <c r="C144" t="s">
        <v>29</v>
      </c>
      <c r="D144" t="s">
        <v>25</v>
      </c>
      <c r="E144" t="s">
        <v>26</v>
      </c>
      <c r="F144" t="s">
        <v>15</v>
      </c>
      <c r="G144" t="s">
        <v>43</v>
      </c>
      <c r="H144">
        <v>5</v>
      </c>
      <c r="I144" s="30">
        <v>99.89</v>
      </c>
      <c r="J144" s="10">
        <v>499.45</v>
      </c>
      <c r="K144" t="s">
        <v>23</v>
      </c>
    </row>
    <row r="145" spans="1:11" x14ac:dyDescent="0.25">
      <c r="A145" s="1">
        <v>44654</v>
      </c>
      <c r="B145" t="s">
        <v>18</v>
      </c>
      <c r="C145" t="s">
        <v>19</v>
      </c>
      <c r="D145" t="s">
        <v>20</v>
      </c>
      <c r="E145" t="s">
        <v>26</v>
      </c>
      <c r="F145" t="s">
        <v>40</v>
      </c>
      <c r="G145" t="s">
        <v>34</v>
      </c>
      <c r="H145">
        <v>4</v>
      </c>
      <c r="I145" s="30">
        <v>148.11000000000001</v>
      </c>
      <c r="J145" s="10">
        <v>592.44000000000005</v>
      </c>
      <c r="K145" t="s">
        <v>23</v>
      </c>
    </row>
    <row r="146" spans="1:11" x14ac:dyDescent="0.25">
      <c r="A146" s="1">
        <v>44742</v>
      </c>
      <c r="B146" t="s">
        <v>31</v>
      </c>
      <c r="C146" t="s">
        <v>19</v>
      </c>
      <c r="D146" t="s">
        <v>25</v>
      </c>
      <c r="E146" t="s">
        <v>14</v>
      </c>
      <c r="F146" t="s">
        <v>40</v>
      </c>
      <c r="G146" t="s">
        <v>43</v>
      </c>
      <c r="H146">
        <v>5</v>
      </c>
      <c r="I146" s="30">
        <v>81.97</v>
      </c>
      <c r="J146" s="10">
        <v>409.85</v>
      </c>
      <c r="K146" t="s">
        <v>23</v>
      </c>
    </row>
    <row r="147" spans="1:11" x14ac:dyDescent="0.25">
      <c r="A147" s="1">
        <v>44570</v>
      </c>
      <c r="B147" t="s">
        <v>18</v>
      </c>
      <c r="C147" t="s">
        <v>19</v>
      </c>
      <c r="D147" t="s">
        <v>20</v>
      </c>
      <c r="E147" t="s">
        <v>26</v>
      </c>
      <c r="F147" t="s">
        <v>15</v>
      </c>
      <c r="G147" t="s">
        <v>43</v>
      </c>
      <c r="H147">
        <v>3</v>
      </c>
      <c r="I147" s="30">
        <v>291.29000000000002</v>
      </c>
      <c r="J147" s="10">
        <v>873.87</v>
      </c>
      <c r="K147" t="s">
        <v>36</v>
      </c>
    </row>
    <row r="148" spans="1:11" x14ac:dyDescent="0.25">
      <c r="A148" s="1">
        <v>44683</v>
      </c>
      <c r="B148" t="s">
        <v>44</v>
      </c>
      <c r="C148" t="s">
        <v>19</v>
      </c>
      <c r="D148" t="s">
        <v>20</v>
      </c>
      <c r="E148" t="s">
        <v>30</v>
      </c>
      <c r="F148" t="s">
        <v>21</v>
      </c>
      <c r="G148" t="s">
        <v>39</v>
      </c>
      <c r="H148">
        <v>5</v>
      </c>
      <c r="I148" s="30">
        <v>138.94999999999999</v>
      </c>
      <c r="J148" s="10">
        <v>694.75</v>
      </c>
      <c r="K148" t="s">
        <v>35</v>
      </c>
    </row>
    <row r="149" spans="1:11" x14ac:dyDescent="0.25">
      <c r="A149" s="1">
        <v>44588</v>
      </c>
      <c r="B149" t="s">
        <v>44</v>
      </c>
      <c r="C149" t="s">
        <v>19</v>
      </c>
      <c r="D149" t="s">
        <v>20</v>
      </c>
      <c r="E149" t="s">
        <v>30</v>
      </c>
      <c r="F149" t="s">
        <v>21</v>
      </c>
      <c r="G149" t="s">
        <v>16</v>
      </c>
      <c r="H149">
        <v>4</v>
      </c>
      <c r="I149" s="30">
        <v>208.19</v>
      </c>
      <c r="J149" s="10">
        <v>832.76</v>
      </c>
      <c r="K149" t="s">
        <v>36</v>
      </c>
    </row>
    <row r="150" spans="1:11" x14ac:dyDescent="0.25">
      <c r="A150" s="1">
        <v>44769</v>
      </c>
      <c r="B150" t="s">
        <v>31</v>
      </c>
      <c r="C150" t="s">
        <v>19</v>
      </c>
      <c r="D150" t="s">
        <v>25</v>
      </c>
      <c r="E150" t="s">
        <v>30</v>
      </c>
      <c r="F150" t="s">
        <v>15</v>
      </c>
      <c r="G150" t="s">
        <v>43</v>
      </c>
      <c r="H150">
        <v>5</v>
      </c>
      <c r="I150" s="30">
        <v>291.7</v>
      </c>
      <c r="J150" s="10">
        <v>1458.5</v>
      </c>
      <c r="K150" t="s">
        <v>36</v>
      </c>
    </row>
    <row r="151" spans="1:11" x14ac:dyDescent="0.25">
      <c r="A151" s="1">
        <v>44722</v>
      </c>
      <c r="B151" t="s">
        <v>11</v>
      </c>
      <c r="C151" t="s">
        <v>12</v>
      </c>
      <c r="D151" t="s">
        <v>13</v>
      </c>
      <c r="E151" t="s">
        <v>26</v>
      </c>
      <c r="F151" t="s">
        <v>40</v>
      </c>
      <c r="G151" t="s">
        <v>33</v>
      </c>
      <c r="H151">
        <v>3</v>
      </c>
      <c r="I151" s="30">
        <v>209.89</v>
      </c>
      <c r="J151" s="10">
        <v>629.66999999999996</v>
      </c>
      <c r="K151" t="s">
        <v>35</v>
      </c>
    </row>
    <row r="152" spans="1:11" x14ac:dyDescent="0.25">
      <c r="A152" s="1">
        <v>44685</v>
      </c>
      <c r="B152" t="s">
        <v>31</v>
      </c>
      <c r="C152" t="s">
        <v>19</v>
      </c>
      <c r="D152" t="s">
        <v>25</v>
      </c>
      <c r="E152" t="s">
        <v>14</v>
      </c>
      <c r="F152" t="s">
        <v>32</v>
      </c>
      <c r="G152" t="s">
        <v>16</v>
      </c>
      <c r="H152">
        <v>4</v>
      </c>
      <c r="I152" s="30">
        <v>171.49</v>
      </c>
      <c r="J152" s="10">
        <v>685.96</v>
      </c>
      <c r="K152" t="s">
        <v>23</v>
      </c>
    </row>
    <row r="153" spans="1:11" x14ac:dyDescent="0.25">
      <c r="A153" s="1">
        <v>44578</v>
      </c>
      <c r="B153" t="s">
        <v>28</v>
      </c>
      <c r="C153" t="s">
        <v>29</v>
      </c>
      <c r="D153" t="s">
        <v>25</v>
      </c>
      <c r="E153" t="s">
        <v>30</v>
      </c>
      <c r="F153" t="s">
        <v>32</v>
      </c>
      <c r="G153" t="s">
        <v>27</v>
      </c>
      <c r="H153">
        <v>3</v>
      </c>
      <c r="I153" s="30">
        <v>156.22</v>
      </c>
      <c r="J153" s="10">
        <v>468.66</v>
      </c>
      <c r="K153" t="s">
        <v>36</v>
      </c>
    </row>
    <row r="154" spans="1:11" x14ac:dyDescent="0.25">
      <c r="A154" s="1">
        <v>44719</v>
      </c>
      <c r="B154" t="s">
        <v>18</v>
      </c>
      <c r="C154" t="s">
        <v>19</v>
      </c>
      <c r="D154" t="s">
        <v>20</v>
      </c>
      <c r="E154" t="s">
        <v>30</v>
      </c>
      <c r="F154" t="s">
        <v>21</v>
      </c>
      <c r="G154" t="s">
        <v>16</v>
      </c>
      <c r="H154">
        <v>4</v>
      </c>
      <c r="I154" s="30">
        <v>158.82</v>
      </c>
      <c r="J154" s="10">
        <v>635.28</v>
      </c>
      <c r="K154" t="s">
        <v>35</v>
      </c>
    </row>
    <row r="155" spans="1:11" x14ac:dyDescent="0.25">
      <c r="A155" s="1">
        <v>44754</v>
      </c>
      <c r="B155" t="s">
        <v>37</v>
      </c>
      <c r="C155" t="s">
        <v>29</v>
      </c>
      <c r="D155" t="s">
        <v>38</v>
      </c>
      <c r="E155" t="s">
        <v>30</v>
      </c>
      <c r="F155" t="s">
        <v>40</v>
      </c>
      <c r="G155" t="s">
        <v>34</v>
      </c>
      <c r="H155">
        <v>3</v>
      </c>
      <c r="I155" s="30">
        <v>218.91</v>
      </c>
      <c r="J155" s="10">
        <v>656.73</v>
      </c>
      <c r="K155" t="s">
        <v>36</v>
      </c>
    </row>
    <row r="156" spans="1:11" x14ac:dyDescent="0.25">
      <c r="A156" s="1">
        <v>44769</v>
      </c>
      <c r="B156" t="s">
        <v>41</v>
      </c>
      <c r="C156" t="s">
        <v>29</v>
      </c>
      <c r="D156" t="s">
        <v>42</v>
      </c>
      <c r="E156" t="s">
        <v>26</v>
      </c>
      <c r="F156" t="s">
        <v>15</v>
      </c>
      <c r="G156" t="s">
        <v>33</v>
      </c>
      <c r="H156">
        <v>5</v>
      </c>
      <c r="I156" s="30">
        <v>54.88</v>
      </c>
      <c r="J156" s="10">
        <v>274.39999999999998</v>
      </c>
      <c r="K156" t="s">
        <v>36</v>
      </c>
    </row>
    <row r="157" spans="1:11" x14ac:dyDescent="0.25">
      <c r="A157" s="1">
        <v>44689</v>
      </c>
      <c r="B157" t="s">
        <v>45</v>
      </c>
      <c r="C157" t="s">
        <v>46</v>
      </c>
      <c r="D157" t="s">
        <v>47</v>
      </c>
      <c r="E157" t="s">
        <v>26</v>
      </c>
      <c r="F157" t="s">
        <v>40</v>
      </c>
      <c r="G157" t="s">
        <v>39</v>
      </c>
      <c r="H157">
        <v>1</v>
      </c>
      <c r="I157" s="30">
        <v>75.27</v>
      </c>
      <c r="J157" s="10">
        <v>75.27</v>
      </c>
      <c r="K157" t="s">
        <v>17</v>
      </c>
    </row>
    <row r="158" spans="1:11" x14ac:dyDescent="0.25">
      <c r="A158" s="1">
        <v>44724</v>
      </c>
      <c r="B158" t="s">
        <v>48</v>
      </c>
      <c r="C158" t="s">
        <v>49</v>
      </c>
      <c r="D158" t="s">
        <v>50</v>
      </c>
      <c r="E158" t="s">
        <v>30</v>
      </c>
      <c r="F158" t="s">
        <v>15</v>
      </c>
      <c r="G158" t="s">
        <v>43</v>
      </c>
      <c r="H158">
        <v>1</v>
      </c>
      <c r="I158" s="30">
        <v>144.04</v>
      </c>
      <c r="J158" s="10">
        <v>144.04</v>
      </c>
      <c r="K158" t="s">
        <v>23</v>
      </c>
    </row>
    <row r="159" spans="1:11" x14ac:dyDescent="0.25">
      <c r="A159" s="1">
        <v>44768</v>
      </c>
      <c r="B159" t="s">
        <v>31</v>
      </c>
      <c r="C159" t="s">
        <v>19</v>
      </c>
      <c r="D159" t="s">
        <v>25</v>
      </c>
      <c r="E159" t="s">
        <v>30</v>
      </c>
      <c r="F159" t="s">
        <v>21</v>
      </c>
      <c r="G159" t="s">
        <v>27</v>
      </c>
      <c r="H159">
        <v>4</v>
      </c>
      <c r="I159" s="30">
        <v>196.45</v>
      </c>
      <c r="J159" s="10">
        <v>785.8</v>
      </c>
      <c r="K159" t="s">
        <v>35</v>
      </c>
    </row>
    <row r="160" spans="1:11" x14ac:dyDescent="0.25">
      <c r="A160" s="1">
        <v>44578</v>
      </c>
      <c r="B160" t="s">
        <v>24</v>
      </c>
      <c r="C160" t="s">
        <v>19</v>
      </c>
      <c r="D160" t="s">
        <v>25</v>
      </c>
      <c r="E160" t="s">
        <v>30</v>
      </c>
      <c r="F160" t="s">
        <v>15</v>
      </c>
      <c r="G160" t="s">
        <v>22</v>
      </c>
      <c r="H160">
        <v>3</v>
      </c>
      <c r="I160" s="30">
        <v>213.66</v>
      </c>
      <c r="J160" s="10">
        <v>640.98</v>
      </c>
      <c r="K160" t="s">
        <v>17</v>
      </c>
    </row>
    <row r="161" spans="1:11" x14ac:dyDescent="0.25">
      <c r="A161" s="1">
        <v>44789</v>
      </c>
      <c r="B161" t="s">
        <v>18</v>
      </c>
      <c r="C161" t="s">
        <v>19</v>
      </c>
      <c r="D161" t="s">
        <v>20</v>
      </c>
      <c r="E161" t="s">
        <v>30</v>
      </c>
      <c r="F161" t="s">
        <v>21</v>
      </c>
      <c r="G161" t="s">
        <v>34</v>
      </c>
      <c r="H161">
        <v>1</v>
      </c>
      <c r="I161" s="30">
        <v>164.57</v>
      </c>
      <c r="J161" s="10">
        <v>164.57</v>
      </c>
      <c r="K161" t="s">
        <v>23</v>
      </c>
    </row>
    <row r="162" spans="1:11" x14ac:dyDescent="0.25">
      <c r="A162" s="1">
        <v>44664</v>
      </c>
      <c r="B162" t="s">
        <v>31</v>
      </c>
      <c r="C162" t="s">
        <v>19</v>
      </c>
      <c r="D162" t="s">
        <v>25</v>
      </c>
      <c r="E162" t="s">
        <v>30</v>
      </c>
      <c r="F162" t="s">
        <v>32</v>
      </c>
      <c r="G162" t="s">
        <v>39</v>
      </c>
      <c r="H162">
        <v>4</v>
      </c>
      <c r="I162" s="30">
        <v>203.25</v>
      </c>
      <c r="J162" s="10">
        <v>813</v>
      </c>
      <c r="K162" t="s">
        <v>36</v>
      </c>
    </row>
    <row r="163" spans="1:11" x14ac:dyDescent="0.25">
      <c r="A163" s="1">
        <v>44694</v>
      </c>
      <c r="B163" t="s">
        <v>37</v>
      </c>
      <c r="C163" t="s">
        <v>29</v>
      </c>
      <c r="D163" t="s">
        <v>38</v>
      </c>
      <c r="E163" t="s">
        <v>26</v>
      </c>
      <c r="F163" t="s">
        <v>40</v>
      </c>
      <c r="G163" t="s">
        <v>34</v>
      </c>
      <c r="H163">
        <v>5</v>
      </c>
      <c r="I163" s="30">
        <v>91.11</v>
      </c>
      <c r="J163" s="10">
        <v>455.55</v>
      </c>
      <c r="K163" t="s">
        <v>23</v>
      </c>
    </row>
    <row r="164" spans="1:11" x14ac:dyDescent="0.25">
      <c r="A164" s="1">
        <v>44609</v>
      </c>
      <c r="B164" t="s">
        <v>37</v>
      </c>
      <c r="C164" t="s">
        <v>29</v>
      </c>
      <c r="D164" t="s">
        <v>38</v>
      </c>
      <c r="E164" t="s">
        <v>14</v>
      </c>
      <c r="F164" t="s">
        <v>21</v>
      </c>
      <c r="G164" t="s">
        <v>22</v>
      </c>
      <c r="H164">
        <v>3</v>
      </c>
      <c r="I164" s="30">
        <v>57.92</v>
      </c>
      <c r="J164" s="10">
        <v>173.76</v>
      </c>
      <c r="K164" t="s">
        <v>23</v>
      </c>
    </row>
    <row r="165" spans="1:11" x14ac:dyDescent="0.25">
      <c r="A165" s="1">
        <v>44773</v>
      </c>
      <c r="B165" t="s">
        <v>31</v>
      </c>
      <c r="C165" t="s">
        <v>19</v>
      </c>
      <c r="D165" t="s">
        <v>25</v>
      </c>
      <c r="E165" t="s">
        <v>26</v>
      </c>
      <c r="F165" t="s">
        <v>15</v>
      </c>
      <c r="G165" t="s">
        <v>16</v>
      </c>
      <c r="H165">
        <v>3</v>
      </c>
      <c r="I165" s="30">
        <v>209.3</v>
      </c>
      <c r="J165" s="10">
        <v>627.9</v>
      </c>
      <c r="K165" t="s">
        <v>36</v>
      </c>
    </row>
    <row r="166" spans="1:11" x14ac:dyDescent="0.25">
      <c r="A166" s="1">
        <v>44798</v>
      </c>
      <c r="B166" t="s">
        <v>44</v>
      </c>
      <c r="C166" t="s">
        <v>19</v>
      </c>
      <c r="D166" t="s">
        <v>20</v>
      </c>
      <c r="E166" t="s">
        <v>14</v>
      </c>
      <c r="F166" t="s">
        <v>32</v>
      </c>
      <c r="G166" t="s">
        <v>27</v>
      </c>
      <c r="H166">
        <v>1</v>
      </c>
      <c r="I166" s="30">
        <v>112.26</v>
      </c>
      <c r="J166" s="10">
        <v>112.26</v>
      </c>
      <c r="K166" t="s">
        <v>35</v>
      </c>
    </row>
    <row r="167" spans="1:11" x14ac:dyDescent="0.25">
      <c r="A167" s="1">
        <v>44803</v>
      </c>
      <c r="B167" t="s">
        <v>24</v>
      </c>
      <c r="C167" t="s">
        <v>19</v>
      </c>
      <c r="D167" t="s">
        <v>25</v>
      </c>
      <c r="E167" t="s">
        <v>26</v>
      </c>
      <c r="F167" t="s">
        <v>15</v>
      </c>
      <c r="G167" t="s">
        <v>39</v>
      </c>
      <c r="H167">
        <v>2</v>
      </c>
      <c r="I167" s="30">
        <v>216.83</v>
      </c>
      <c r="J167" s="10">
        <v>433.66</v>
      </c>
      <c r="K167" t="s">
        <v>35</v>
      </c>
    </row>
    <row r="168" spans="1:11" x14ac:dyDescent="0.25">
      <c r="A168" s="1">
        <v>44763</v>
      </c>
      <c r="B168" t="s">
        <v>48</v>
      </c>
      <c r="C168" t="s">
        <v>49</v>
      </c>
      <c r="D168" t="s">
        <v>50</v>
      </c>
      <c r="E168" t="s">
        <v>14</v>
      </c>
      <c r="F168" t="s">
        <v>15</v>
      </c>
      <c r="G168" t="s">
        <v>39</v>
      </c>
      <c r="H168">
        <v>5</v>
      </c>
      <c r="I168" s="30">
        <v>68.52</v>
      </c>
      <c r="J168" s="10">
        <v>342.6</v>
      </c>
      <c r="K168" t="s">
        <v>35</v>
      </c>
    </row>
    <row r="169" spans="1:11" x14ac:dyDescent="0.25">
      <c r="A169" s="1">
        <v>44775</v>
      </c>
      <c r="B169" t="s">
        <v>41</v>
      </c>
      <c r="C169" t="s">
        <v>29</v>
      </c>
      <c r="D169" t="s">
        <v>42</v>
      </c>
      <c r="E169" t="s">
        <v>30</v>
      </c>
      <c r="F169" t="s">
        <v>32</v>
      </c>
      <c r="G169" t="s">
        <v>39</v>
      </c>
      <c r="H169">
        <v>1</v>
      </c>
      <c r="I169" s="30">
        <v>98.04</v>
      </c>
      <c r="J169" s="10">
        <v>98.04</v>
      </c>
      <c r="K169" t="s">
        <v>23</v>
      </c>
    </row>
    <row r="170" spans="1:11" x14ac:dyDescent="0.25">
      <c r="A170" s="1">
        <v>44742</v>
      </c>
      <c r="B170" t="s">
        <v>11</v>
      </c>
      <c r="C170" t="s">
        <v>12</v>
      </c>
      <c r="D170" t="s">
        <v>13</v>
      </c>
      <c r="E170" t="s">
        <v>30</v>
      </c>
      <c r="F170" t="s">
        <v>32</v>
      </c>
      <c r="G170" t="s">
        <v>43</v>
      </c>
      <c r="H170">
        <v>5</v>
      </c>
      <c r="I170" s="30">
        <v>204.35</v>
      </c>
      <c r="J170" s="10">
        <v>1021.75</v>
      </c>
      <c r="K170" t="s">
        <v>36</v>
      </c>
    </row>
    <row r="171" spans="1:11" x14ac:dyDescent="0.25">
      <c r="A171" s="1">
        <v>44661</v>
      </c>
      <c r="B171" t="s">
        <v>24</v>
      </c>
      <c r="C171" t="s">
        <v>19</v>
      </c>
      <c r="D171" t="s">
        <v>25</v>
      </c>
      <c r="E171" t="s">
        <v>26</v>
      </c>
      <c r="F171" t="s">
        <v>21</v>
      </c>
      <c r="G171" t="s">
        <v>27</v>
      </c>
      <c r="H171">
        <v>4</v>
      </c>
      <c r="I171" s="30">
        <v>283.7</v>
      </c>
      <c r="J171" s="10">
        <v>1134.8</v>
      </c>
      <c r="K171" t="s">
        <v>17</v>
      </c>
    </row>
    <row r="172" spans="1:11" x14ac:dyDescent="0.25">
      <c r="A172" s="1">
        <v>44745</v>
      </c>
      <c r="B172" t="s">
        <v>37</v>
      </c>
      <c r="C172" t="s">
        <v>29</v>
      </c>
      <c r="D172" t="s">
        <v>38</v>
      </c>
      <c r="E172" t="s">
        <v>26</v>
      </c>
      <c r="F172" t="s">
        <v>15</v>
      </c>
      <c r="G172" t="s">
        <v>43</v>
      </c>
      <c r="H172">
        <v>4</v>
      </c>
      <c r="I172" s="30">
        <v>172.52</v>
      </c>
      <c r="J172" s="10">
        <v>690.08</v>
      </c>
      <c r="K172" t="s">
        <v>35</v>
      </c>
    </row>
    <row r="173" spans="1:11" x14ac:dyDescent="0.25">
      <c r="A173" s="1">
        <v>44618</v>
      </c>
      <c r="B173" t="s">
        <v>31</v>
      </c>
      <c r="C173" t="s">
        <v>19</v>
      </c>
      <c r="D173" t="s">
        <v>25</v>
      </c>
      <c r="E173" t="s">
        <v>30</v>
      </c>
      <c r="F173" t="s">
        <v>15</v>
      </c>
      <c r="G173" t="s">
        <v>22</v>
      </c>
      <c r="H173">
        <v>3</v>
      </c>
      <c r="I173" s="30">
        <v>51.81</v>
      </c>
      <c r="J173" s="10">
        <v>155.43</v>
      </c>
      <c r="K173" t="s">
        <v>36</v>
      </c>
    </row>
    <row r="174" spans="1:11" x14ac:dyDescent="0.25">
      <c r="A174" s="1">
        <v>44680</v>
      </c>
      <c r="B174" t="s">
        <v>28</v>
      </c>
      <c r="C174" t="s">
        <v>29</v>
      </c>
      <c r="D174" t="s">
        <v>25</v>
      </c>
      <c r="E174" t="s">
        <v>30</v>
      </c>
      <c r="F174" t="s">
        <v>40</v>
      </c>
      <c r="G174" t="s">
        <v>16</v>
      </c>
      <c r="H174">
        <v>5</v>
      </c>
      <c r="I174" s="30">
        <v>71.28</v>
      </c>
      <c r="J174" s="10">
        <v>356.4</v>
      </c>
      <c r="K174" t="s">
        <v>23</v>
      </c>
    </row>
    <row r="175" spans="1:11" x14ac:dyDescent="0.25">
      <c r="A175" s="1">
        <v>44616</v>
      </c>
      <c r="B175" t="s">
        <v>18</v>
      </c>
      <c r="C175" t="s">
        <v>19</v>
      </c>
      <c r="D175" t="s">
        <v>20</v>
      </c>
      <c r="E175" t="s">
        <v>14</v>
      </c>
      <c r="F175" t="s">
        <v>40</v>
      </c>
      <c r="G175" t="s">
        <v>39</v>
      </c>
      <c r="H175">
        <v>2</v>
      </c>
      <c r="I175" s="30">
        <v>248.44</v>
      </c>
      <c r="J175" s="10">
        <v>496.88</v>
      </c>
      <c r="K175" t="s">
        <v>23</v>
      </c>
    </row>
    <row r="176" spans="1:11" x14ac:dyDescent="0.25">
      <c r="A176" s="1">
        <v>44745</v>
      </c>
      <c r="B176" t="s">
        <v>18</v>
      </c>
      <c r="C176" t="s">
        <v>19</v>
      </c>
      <c r="D176" t="s">
        <v>20</v>
      </c>
      <c r="E176" t="s">
        <v>26</v>
      </c>
      <c r="F176" t="s">
        <v>40</v>
      </c>
      <c r="G176" t="s">
        <v>43</v>
      </c>
      <c r="H176">
        <v>2</v>
      </c>
      <c r="I176" s="30">
        <v>107.04</v>
      </c>
      <c r="J176" s="10">
        <v>214.08</v>
      </c>
      <c r="K176" t="s">
        <v>17</v>
      </c>
    </row>
    <row r="177" spans="1:11" x14ac:dyDescent="0.25">
      <c r="A177" s="1">
        <v>44803</v>
      </c>
      <c r="B177" t="s">
        <v>48</v>
      </c>
      <c r="C177" t="s">
        <v>49</v>
      </c>
      <c r="D177" t="s">
        <v>50</v>
      </c>
      <c r="E177" t="s">
        <v>26</v>
      </c>
      <c r="F177" t="s">
        <v>40</v>
      </c>
      <c r="G177" t="s">
        <v>33</v>
      </c>
      <c r="H177">
        <v>1</v>
      </c>
      <c r="I177" s="30">
        <v>132.07</v>
      </c>
      <c r="J177" s="10">
        <v>132.07</v>
      </c>
      <c r="K177" t="s">
        <v>36</v>
      </c>
    </row>
    <row r="178" spans="1:11" x14ac:dyDescent="0.25">
      <c r="A178" s="1">
        <v>44751</v>
      </c>
      <c r="B178" t="s">
        <v>24</v>
      </c>
      <c r="C178" t="s">
        <v>19</v>
      </c>
      <c r="D178" t="s">
        <v>25</v>
      </c>
      <c r="E178" t="s">
        <v>30</v>
      </c>
      <c r="F178" t="s">
        <v>32</v>
      </c>
      <c r="G178" t="s">
        <v>16</v>
      </c>
      <c r="H178">
        <v>3</v>
      </c>
      <c r="I178" s="30">
        <v>118.37</v>
      </c>
      <c r="J178" s="10">
        <v>355.11</v>
      </c>
      <c r="K178" t="s">
        <v>17</v>
      </c>
    </row>
    <row r="179" spans="1:11" x14ac:dyDescent="0.25">
      <c r="A179" s="1">
        <v>44669</v>
      </c>
      <c r="B179" t="s">
        <v>28</v>
      </c>
      <c r="C179" t="s">
        <v>29</v>
      </c>
      <c r="D179" t="s">
        <v>25</v>
      </c>
      <c r="E179" t="s">
        <v>26</v>
      </c>
      <c r="F179" t="s">
        <v>21</v>
      </c>
      <c r="G179" t="s">
        <v>27</v>
      </c>
      <c r="H179">
        <v>5</v>
      </c>
      <c r="I179" s="30">
        <v>243.74</v>
      </c>
      <c r="J179" s="10">
        <v>1218.7</v>
      </c>
      <c r="K179" t="s">
        <v>36</v>
      </c>
    </row>
    <row r="180" spans="1:11" x14ac:dyDescent="0.25">
      <c r="A180" s="1">
        <v>44577</v>
      </c>
      <c r="B180" t="s">
        <v>24</v>
      </c>
      <c r="C180" t="s">
        <v>19</v>
      </c>
      <c r="D180" t="s">
        <v>25</v>
      </c>
      <c r="E180" t="s">
        <v>14</v>
      </c>
      <c r="F180" t="s">
        <v>15</v>
      </c>
      <c r="G180" t="s">
        <v>16</v>
      </c>
      <c r="H180">
        <v>5</v>
      </c>
      <c r="I180" s="30">
        <v>150.02000000000001</v>
      </c>
      <c r="J180" s="10">
        <v>750.1</v>
      </c>
      <c r="K180" t="s">
        <v>23</v>
      </c>
    </row>
    <row r="181" spans="1:11" x14ac:dyDescent="0.25">
      <c r="A181" s="1">
        <v>44653</v>
      </c>
      <c r="B181" t="s">
        <v>28</v>
      </c>
      <c r="C181" t="s">
        <v>29</v>
      </c>
      <c r="D181" t="s">
        <v>25</v>
      </c>
      <c r="E181" t="s">
        <v>26</v>
      </c>
      <c r="F181" t="s">
        <v>21</v>
      </c>
      <c r="G181" t="s">
        <v>33</v>
      </c>
      <c r="H181">
        <v>3</v>
      </c>
      <c r="I181" s="30">
        <v>73.31</v>
      </c>
      <c r="J181" s="10">
        <v>219.93</v>
      </c>
      <c r="K181" t="s">
        <v>36</v>
      </c>
    </row>
    <row r="182" spans="1:11" x14ac:dyDescent="0.25">
      <c r="A182" s="1">
        <v>44798</v>
      </c>
      <c r="B182" t="s">
        <v>48</v>
      </c>
      <c r="C182" t="s">
        <v>49</v>
      </c>
      <c r="D182" t="s">
        <v>50</v>
      </c>
      <c r="E182" t="s">
        <v>30</v>
      </c>
      <c r="F182" t="s">
        <v>32</v>
      </c>
      <c r="G182" t="s">
        <v>33</v>
      </c>
      <c r="H182">
        <v>2</v>
      </c>
      <c r="I182" s="30">
        <v>176.24</v>
      </c>
      <c r="J182" s="10">
        <v>352.48</v>
      </c>
      <c r="K182" t="s">
        <v>23</v>
      </c>
    </row>
    <row r="183" spans="1:11" x14ac:dyDescent="0.25">
      <c r="A183" s="1">
        <v>44708</v>
      </c>
      <c r="B183" t="s">
        <v>44</v>
      </c>
      <c r="C183" t="s">
        <v>19</v>
      </c>
      <c r="D183" t="s">
        <v>20</v>
      </c>
      <c r="E183" t="s">
        <v>26</v>
      </c>
      <c r="F183" t="s">
        <v>40</v>
      </c>
      <c r="G183" t="s">
        <v>34</v>
      </c>
      <c r="H183">
        <v>5</v>
      </c>
      <c r="I183" s="30">
        <v>135.5</v>
      </c>
      <c r="J183" s="10">
        <v>677.5</v>
      </c>
      <c r="K183" t="s">
        <v>35</v>
      </c>
    </row>
    <row r="184" spans="1:11" x14ac:dyDescent="0.25">
      <c r="A184" s="1">
        <v>44791</v>
      </c>
      <c r="B184" t="s">
        <v>11</v>
      </c>
      <c r="C184" t="s">
        <v>12</v>
      </c>
      <c r="D184" t="s">
        <v>13</v>
      </c>
      <c r="E184" t="s">
        <v>30</v>
      </c>
      <c r="F184" t="s">
        <v>40</v>
      </c>
      <c r="G184" t="s">
        <v>39</v>
      </c>
      <c r="H184">
        <v>4</v>
      </c>
      <c r="I184" s="30">
        <v>250.12</v>
      </c>
      <c r="J184" s="10">
        <v>1000.48</v>
      </c>
      <c r="K184" t="s">
        <v>17</v>
      </c>
    </row>
    <row r="185" spans="1:11" x14ac:dyDescent="0.25">
      <c r="A185" s="1">
        <v>44745</v>
      </c>
      <c r="B185" t="s">
        <v>18</v>
      </c>
      <c r="C185" t="s">
        <v>19</v>
      </c>
      <c r="D185" t="s">
        <v>20</v>
      </c>
      <c r="E185" t="s">
        <v>26</v>
      </c>
      <c r="F185" t="s">
        <v>32</v>
      </c>
      <c r="G185" t="s">
        <v>33</v>
      </c>
      <c r="H185">
        <v>4</v>
      </c>
      <c r="I185" s="30">
        <v>145.88999999999999</v>
      </c>
      <c r="J185" s="10">
        <v>583.55999999999995</v>
      </c>
      <c r="K185" t="s">
        <v>17</v>
      </c>
    </row>
    <row r="186" spans="1:11" x14ac:dyDescent="0.25">
      <c r="A186" s="1">
        <v>44688</v>
      </c>
      <c r="B186" t="s">
        <v>28</v>
      </c>
      <c r="C186" t="s">
        <v>29</v>
      </c>
      <c r="D186" t="s">
        <v>25</v>
      </c>
      <c r="E186" t="s">
        <v>14</v>
      </c>
      <c r="F186" t="s">
        <v>32</v>
      </c>
      <c r="G186" t="s">
        <v>22</v>
      </c>
      <c r="H186">
        <v>4</v>
      </c>
      <c r="I186" s="30">
        <v>281.54000000000002</v>
      </c>
      <c r="J186" s="10">
        <v>1126.1600000000001</v>
      </c>
      <c r="K186" t="s">
        <v>36</v>
      </c>
    </row>
    <row r="187" spans="1:11" x14ac:dyDescent="0.25">
      <c r="A187" s="1">
        <v>44737</v>
      </c>
      <c r="B187" t="s">
        <v>31</v>
      </c>
      <c r="C187" t="s">
        <v>19</v>
      </c>
      <c r="D187" t="s">
        <v>25</v>
      </c>
      <c r="E187" t="s">
        <v>14</v>
      </c>
      <c r="F187" t="s">
        <v>32</v>
      </c>
      <c r="G187" t="s">
        <v>33</v>
      </c>
      <c r="H187">
        <v>4</v>
      </c>
      <c r="I187" s="30">
        <v>121.42</v>
      </c>
      <c r="J187" s="10">
        <v>485.68</v>
      </c>
      <c r="K187" t="s">
        <v>17</v>
      </c>
    </row>
    <row r="188" spans="1:11" x14ac:dyDescent="0.25">
      <c r="A188" s="1">
        <v>44715</v>
      </c>
      <c r="B188" t="s">
        <v>31</v>
      </c>
      <c r="C188" t="s">
        <v>19</v>
      </c>
      <c r="D188" t="s">
        <v>25</v>
      </c>
      <c r="E188" t="s">
        <v>26</v>
      </c>
      <c r="F188" t="s">
        <v>21</v>
      </c>
      <c r="G188" t="s">
        <v>43</v>
      </c>
      <c r="H188">
        <v>4</v>
      </c>
      <c r="I188" s="30">
        <v>265.91000000000003</v>
      </c>
      <c r="J188" s="10">
        <v>1063.6400000000001</v>
      </c>
      <c r="K188" t="s">
        <v>35</v>
      </c>
    </row>
    <row r="189" spans="1:11" x14ac:dyDescent="0.25">
      <c r="A189" s="1">
        <v>44586</v>
      </c>
      <c r="B189" t="s">
        <v>11</v>
      </c>
      <c r="C189" t="s">
        <v>12</v>
      </c>
      <c r="D189" t="s">
        <v>13</v>
      </c>
      <c r="E189" t="s">
        <v>26</v>
      </c>
      <c r="F189" t="s">
        <v>15</v>
      </c>
      <c r="G189" t="s">
        <v>27</v>
      </c>
      <c r="H189">
        <v>1</v>
      </c>
      <c r="I189" s="30">
        <v>240.42</v>
      </c>
      <c r="J189" s="10">
        <v>240.42</v>
      </c>
      <c r="K189" t="s">
        <v>17</v>
      </c>
    </row>
    <row r="190" spans="1:11" x14ac:dyDescent="0.25">
      <c r="A190" s="1">
        <v>44569</v>
      </c>
      <c r="B190" t="s">
        <v>44</v>
      </c>
      <c r="C190" t="s">
        <v>19</v>
      </c>
      <c r="D190" t="s">
        <v>20</v>
      </c>
      <c r="E190" t="s">
        <v>26</v>
      </c>
      <c r="F190" t="s">
        <v>40</v>
      </c>
      <c r="G190" t="s">
        <v>22</v>
      </c>
      <c r="H190">
        <v>5</v>
      </c>
      <c r="I190" s="30">
        <v>275.27</v>
      </c>
      <c r="J190" s="10">
        <v>1376.35</v>
      </c>
      <c r="K190" t="s">
        <v>17</v>
      </c>
    </row>
    <row r="191" spans="1:11" x14ac:dyDescent="0.25">
      <c r="A191" s="1">
        <v>44782</v>
      </c>
      <c r="B191" t="s">
        <v>41</v>
      </c>
      <c r="C191" t="s">
        <v>29</v>
      </c>
      <c r="D191" t="s">
        <v>42</v>
      </c>
      <c r="E191" t="s">
        <v>26</v>
      </c>
      <c r="F191" t="s">
        <v>21</v>
      </c>
      <c r="G191" t="s">
        <v>43</v>
      </c>
      <c r="H191">
        <v>3</v>
      </c>
      <c r="I191" s="30">
        <v>154.79</v>
      </c>
      <c r="J191" s="10">
        <v>464.37</v>
      </c>
      <c r="K191" t="s">
        <v>17</v>
      </c>
    </row>
    <row r="192" spans="1:11" x14ac:dyDescent="0.25">
      <c r="A192" s="1">
        <v>44786</v>
      </c>
      <c r="B192" t="s">
        <v>41</v>
      </c>
      <c r="C192" t="s">
        <v>29</v>
      </c>
      <c r="D192" t="s">
        <v>42</v>
      </c>
      <c r="E192" t="s">
        <v>14</v>
      </c>
      <c r="F192" t="s">
        <v>40</v>
      </c>
      <c r="G192" t="s">
        <v>43</v>
      </c>
      <c r="H192">
        <v>5</v>
      </c>
      <c r="I192" s="30">
        <v>139</v>
      </c>
      <c r="J192" s="10">
        <v>695</v>
      </c>
      <c r="K192" t="s">
        <v>35</v>
      </c>
    </row>
    <row r="193" spans="1:11" x14ac:dyDescent="0.25">
      <c r="A193" s="1">
        <v>44733</v>
      </c>
      <c r="B193" t="s">
        <v>28</v>
      </c>
      <c r="C193" t="s">
        <v>29</v>
      </c>
      <c r="D193" t="s">
        <v>25</v>
      </c>
      <c r="E193" t="s">
        <v>14</v>
      </c>
      <c r="F193" t="s">
        <v>21</v>
      </c>
      <c r="G193" t="s">
        <v>33</v>
      </c>
      <c r="H193">
        <v>3</v>
      </c>
      <c r="I193" s="30">
        <v>79.27</v>
      </c>
      <c r="J193" s="10">
        <v>237.81</v>
      </c>
      <c r="K193" t="s">
        <v>17</v>
      </c>
    </row>
    <row r="194" spans="1:11" x14ac:dyDescent="0.25">
      <c r="A194" s="1">
        <v>44796</v>
      </c>
      <c r="B194" t="s">
        <v>37</v>
      </c>
      <c r="C194" t="s">
        <v>29</v>
      </c>
      <c r="D194" t="s">
        <v>38</v>
      </c>
      <c r="E194" t="s">
        <v>30</v>
      </c>
      <c r="F194" t="s">
        <v>32</v>
      </c>
      <c r="G194" t="s">
        <v>39</v>
      </c>
      <c r="H194">
        <v>2</v>
      </c>
      <c r="I194" s="30">
        <v>237.1</v>
      </c>
      <c r="J194" s="10">
        <v>474.2</v>
      </c>
      <c r="K194" t="s">
        <v>23</v>
      </c>
    </row>
    <row r="195" spans="1:11" x14ac:dyDescent="0.25">
      <c r="A195" s="1">
        <v>44590</v>
      </c>
      <c r="B195" t="s">
        <v>37</v>
      </c>
      <c r="C195" t="s">
        <v>29</v>
      </c>
      <c r="D195" t="s">
        <v>38</v>
      </c>
      <c r="E195" t="s">
        <v>30</v>
      </c>
      <c r="F195" t="s">
        <v>32</v>
      </c>
      <c r="G195" t="s">
        <v>34</v>
      </c>
      <c r="H195">
        <v>4</v>
      </c>
      <c r="I195" s="30">
        <v>228.46</v>
      </c>
      <c r="J195" s="10">
        <v>913.84</v>
      </c>
      <c r="K195" t="s">
        <v>23</v>
      </c>
    </row>
    <row r="196" spans="1:11" x14ac:dyDescent="0.25">
      <c r="A196" s="1">
        <v>44724</v>
      </c>
      <c r="B196" t="s">
        <v>41</v>
      </c>
      <c r="C196" t="s">
        <v>29</v>
      </c>
      <c r="D196" t="s">
        <v>42</v>
      </c>
      <c r="E196" t="s">
        <v>30</v>
      </c>
      <c r="F196" t="s">
        <v>40</v>
      </c>
      <c r="G196" t="s">
        <v>39</v>
      </c>
      <c r="H196">
        <v>4</v>
      </c>
      <c r="I196" s="30">
        <v>52.42</v>
      </c>
      <c r="J196" s="10">
        <v>209.68</v>
      </c>
      <c r="K196" t="s">
        <v>36</v>
      </c>
    </row>
    <row r="197" spans="1:11" x14ac:dyDescent="0.25">
      <c r="A197" s="1">
        <v>44799</v>
      </c>
      <c r="B197" t="s">
        <v>24</v>
      </c>
      <c r="C197" t="s">
        <v>19</v>
      </c>
      <c r="D197" t="s">
        <v>25</v>
      </c>
      <c r="E197" t="s">
        <v>30</v>
      </c>
      <c r="F197" t="s">
        <v>15</v>
      </c>
      <c r="G197" t="s">
        <v>16</v>
      </c>
      <c r="H197">
        <v>3</v>
      </c>
      <c r="I197" s="30">
        <v>270.52</v>
      </c>
      <c r="J197" s="10">
        <v>811.56</v>
      </c>
      <c r="K197" t="s">
        <v>35</v>
      </c>
    </row>
    <row r="198" spans="1:11" x14ac:dyDescent="0.25">
      <c r="A198" s="1">
        <v>44569</v>
      </c>
      <c r="B198" t="s">
        <v>31</v>
      </c>
      <c r="C198" t="s">
        <v>19</v>
      </c>
      <c r="D198" t="s">
        <v>25</v>
      </c>
      <c r="E198" t="s">
        <v>14</v>
      </c>
      <c r="F198" t="s">
        <v>15</v>
      </c>
      <c r="G198" t="s">
        <v>34</v>
      </c>
      <c r="H198">
        <v>4</v>
      </c>
      <c r="I198" s="30">
        <v>119.36</v>
      </c>
      <c r="J198" s="10">
        <v>477.44</v>
      </c>
      <c r="K198" t="s">
        <v>23</v>
      </c>
    </row>
    <row r="199" spans="1:11" x14ac:dyDescent="0.25">
      <c r="A199" s="1">
        <v>44584</v>
      </c>
      <c r="B199" t="s">
        <v>45</v>
      </c>
      <c r="C199" t="s">
        <v>46</v>
      </c>
      <c r="D199" t="s">
        <v>47</v>
      </c>
      <c r="E199" t="s">
        <v>26</v>
      </c>
      <c r="F199" t="s">
        <v>15</v>
      </c>
      <c r="G199" t="s">
        <v>34</v>
      </c>
      <c r="H199">
        <v>3</v>
      </c>
      <c r="I199" s="30">
        <v>125.26</v>
      </c>
      <c r="J199" s="10">
        <v>375.78</v>
      </c>
      <c r="K199" t="s">
        <v>36</v>
      </c>
    </row>
    <row r="200" spans="1:11" x14ac:dyDescent="0.25">
      <c r="A200" s="1">
        <v>44714</v>
      </c>
      <c r="B200" t="s">
        <v>37</v>
      </c>
      <c r="C200" t="s">
        <v>29</v>
      </c>
      <c r="D200" t="s">
        <v>38</v>
      </c>
      <c r="E200" t="s">
        <v>26</v>
      </c>
      <c r="F200" t="s">
        <v>32</v>
      </c>
      <c r="G200" t="s">
        <v>39</v>
      </c>
      <c r="H200">
        <v>3</v>
      </c>
      <c r="I200" s="30">
        <v>296.55</v>
      </c>
      <c r="J200" s="10">
        <v>889.65</v>
      </c>
      <c r="K200" t="s">
        <v>17</v>
      </c>
    </row>
    <row r="201" spans="1:11" x14ac:dyDescent="0.25">
      <c r="A201" s="1">
        <v>44725</v>
      </c>
      <c r="B201" t="s">
        <v>48</v>
      </c>
      <c r="C201" t="s">
        <v>49</v>
      </c>
      <c r="D201" t="s">
        <v>50</v>
      </c>
      <c r="E201" t="s">
        <v>26</v>
      </c>
      <c r="F201" t="s">
        <v>32</v>
      </c>
      <c r="G201" t="s">
        <v>34</v>
      </c>
      <c r="H201">
        <v>1</v>
      </c>
      <c r="I201" s="30">
        <v>56.73</v>
      </c>
      <c r="J201" s="10">
        <v>56.73</v>
      </c>
      <c r="K201" t="s">
        <v>36</v>
      </c>
    </row>
    <row r="202" spans="1:11" x14ac:dyDescent="0.25">
      <c r="A202" s="1">
        <v>44579</v>
      </c>
      <c r="B202" t="s">
        <v>41</v>
      </c>
      <c r="C202" t="s">
        <v>29</v>
      </c>
      <c r="D202" t="s">
        <v>42</v>
      </c>
      <c r="E202" t="s">
        <v>14</v>
      </c>
      <c r="F202" t="s">
        <v>32</v>
      </c>
      <c r="G202" t="s">
        <v>34</v>
      </c>
      <c r="H202">
        <v>1</v>
      </c>
      <c r="I202" s="30">
        <v>91.56</v>
      </c>
      <c r="J202" s="10">
        <v>91.56</v>
      </c>
      <c r="K202" t="s">
        <v>35</v>
      </c>
    </row>
    <row r="203" spans="1:11" x14ac:dyDescent="0.25">
      <c r="A203" s="1">
        <v>44662</v>
      </c>
      <c r="B203" t="s">
        <v>45</v>
      </c>
      <c r="C203" t="s">
        <v>46</v>
      </c>
      <c r="D203" t="s">
        <v>47</v>
      </c>
      <c r="E203" t="s">
        <v>26</v>
      </c>
      <c r="F203" t="s">
        <v>21</v>
      </c>
      <c r="G203" t="s">
        <v>22</v>
      </c>
      <c r="H203">
        <v>2</v>
      </c>
      <c r="I203" s="30">
        <v>152.54</v>
      </c>
      <c r="J203" s="10">
        <v>305.08</v>
      </c>
      <c r="K203" t="s">
        <v>17</v>
      </c>
    </row>
    <row r="204" spans="1:11" x14ac:dyDescent="0.25">
      <c r="A204" s="1">
        <v>44746</v>
      </c>
      <c r="B204" t="s">
        <v>45</v>
      </c>
      <c r="C204" t="s">
        <v>46</v>
      </c>
      <c r="D204" t="s">
        <v>47</v>
      </c>
      <c r="E204" t="s">
        <v>26</v>
      </c>
      <c r="F204" t="s">
        <v>32</v>
      </c>
      <c r="G204" t="s">
        <v>33</v>
      </c>
      <c r="H204">
        <v>4</v>
      </c>
      <c r="I204" s="30">
        <v>61.37</v>
      </c>
      <c r="J204" s="10">
        <v>245.48</v>
      </c>
      <c r="K204" t="s">
        <v>23</v>
      </c>
    </row>
    <row r="205" spans="1:11" x14ac:dyDescent="0.25">
      <c r="A205" s="1">
        <v>44627</v>
      </c>
      <c r="B205" t="s">
        <v>37</v>
      </c>
      <c r="C205" t="s">
        <v>29</v>
      </c>
      <c r="D205" t="s">
        <v>38</v>
      </c>
      <c r="E205" t="s">
        <v>30</v>
      </c>
      <c r="F205" t="s">
        <v>21</v>
      </c>
      <c r="G205" t="s">
        <v>16</v>
      </c>
      <c r="H205">
        <v>3</v>
      </c>
      <c r="I205" s="30">
        <v>162.36000000000001</v>
      </c>
      <c r="J205" s="10">
        <v>487.08</v>
      </c>
      <c r="K205" t="s">
        <v>36</v>
      </c>
    </row>
    <row r="206" spans="1:11" x14ac:dyDescent="0.25">
      <c r="A206" s="1">
        <v>44741</v>
      </c>
      <c r="B206" t="s">
        <v>41</v>
      </c>
      <c r="C206" t="s">
        <v>29</v>
      </c>
      <c r="D206" t="s">
        <v>42</v>
      </c>
      <c r="E206" t="s">
        <v>30</v>
      </c>
      <c r="F206" t="s">
        <v>21</v>
      </c>
      <c r="G206" t="s">
        <v>22</v>
      </c>
      <c r="H206">
        <v>2</v>
      </c>
      <c r="I206" s="30">
        <v>257.5</v>
      </c>
      <c r="J206" s="10">
        <v>515</v>
      </c>
      <c r="K206" t="s">
        <v>35</v>
      </c>
    </row>
    <row r="207" spans="1:11" x14ac:dyDescent="0.25">
      <c r="A207" s="1">
        <v>44702</v>
      </c>
      <c r="B207" t="s">
        <v>24</v>
      </c>
      <c r="C207" t="s">
        <v>19</v>
      </c>
      <c r="D207" t="s">
        <v>25</v>
      </c>
      <c r="E207" t="s">
        <v>26</v>
      </c>
      <c r="F207" t="s">
        <v>32</v>
      </c>
      <c r="G207" t="s">
        <v>27</v>
      </c>
      <c r="H207">
        <v>4</v>
      </c>
      <c r="I207" s="30">
        <v>202.28</v>
      </c>
      <c r="J207" s="10">
        <v>809.12</v>
      </c>
      <c r="K207" t="s">
        <v>17</v>
      </c>
    </row>
    <row r="208" spans="1:11" x14ac:dyDescent="0.25">
      <c r="A208" s="1">
        <v>44749</v>
      </c>
      <c r="B208" t="s">
        <v>45</v>
      </c>
      <c r="C208" t="s">
        <v>46</v>
      </c>
      <c r="D208" t="s">
        <v>47</v>
      </c>
      <c r="E208" t="s">
        <v>14</v>
      </c>
      <c r="F208" t="s">
        <v>32</v>
      </c>
      <c r="G208" t="s">
        <v>43</v>
      </c>
      <c r="H208">
        <v>1</v>
      </c>
      <c r="I208" s="30">
        <v>224.83</v>
      </c>
      <c r="J208" s="10">
        <v>224.83</v>
      </c>
      <c r="K208" t="s">
        <v>23</v>
      </c>
    </row>
    <row r="209" spans="1:11" x14ac:dyDescent="0.25">
      <c r="A209" s="1">
        <v>44653</v>
      </c>
      <c r="B209" t="s">
        <v>48</v>
      </c>
      <c r="C209" t="s">
        <v>49</v>
      </c>
      <c r="D209" t="s">
        <v>50</v>
      </c>
      <c r="E209" t="s">
        <v>30</v>
      </c>
      <c r="F209" t="s">
        <v>21</v>
      </c>
      <c r="G209" t="s">
        <v>39</v>
      </c>
      <c r="H209">
        <v>3</v>
      </c>
      <c r="I209" s="30">
        <v>256.27</v>
      </c>
      <c r="J209" s="10">
        <v>768.81</v>
      </c>
      <c r="K209" t="s">
        <v>23</v>
      </c>
    </row>
    <row r="210" spans="1:11" x14ac:dyDescent="0.25">
      <c r="A210" s="1">
        <v>44646</v>
      </c>
      <c r="B210" t="s">
        <v>18</v>
      </c>
      <c r="C210" t="s">
        <v>19</v>
      </c>
      <c r="D210" t="s">
        <v>20</v>
      </c>
      <c r="E210" t="s">
        <v>26</v>
      </c>
      <c r="F210" t="s">
        <v>15</v>
      </c>
      <c r="G210" t="s">
        <v>34</v>
      </c>
      <c r="H210">
        <v>2</v>
      </c>
      <c r="I210" s="30">
        <v>277.26</v>
      </c>
      <c r="J210" s="10">
        <v>554.52</v>
      </c>
      <c r="K210" t="s">
        <v>35</v>
      </c>
    </row>
    <row r="211" spans="1:11" x14ac:dyDescent="0.25">
      <c r="A211" s="1">
        <v>44746</v>
      </c>
      <c r="B211" t="s">
        <v>48</v>
      </c>
      <c r="C211" t="s">
        <v>49</v>
      </c>
      <c r="D211" t="s">
        <v>50</v>
      </c>
      <c r="E211" t="s">
        <v>14</v>
      </c>
      <c r="F211" t="s">
        <v>21</v>
      </c>
      <c r="G211" t="s">
        <v>39</v>
      </c>
      <c r="H211">
        <v>3</v>
      </c>
      <c r="I211" s="30">
        <v>271.19</v>
      </c>
      <c r="J211" s="10">
        <v>813.57</v>
      </c>
      <c r="K211" t="s">
        <v>23</v>
      </c>
    </row>
    <row r="212" spans="1:11" x14ac:dyDescent="0.25">
      <c r="A212" s="1">
        <v>44573</v>
      </c>
      <c r="B212" t="s">
        <v>37</v>
      </c>
      <c r="C212" t="s">
        <v>29</v>
      </c>
      <c r="D212" t="s">
        <v>38</v>
      </c>
      <c r="E212" t="s">
        <v>30</v>
      </c>
      <c r="F212" t="s">
        <v>21</v>
      </c>
      <c r="G212" t="s">
        <v>39</v>
      </c>
      <c r="H212">
        <v>3</v>
      </c>
      <c r="I212" s="30">
        <v>205.62</v>
      </c>
      <c r="J212" s="10">
        <v>616.86</v>
      </c>
      <c r="K212" t="s">
        <v>36</v>
      </c>
    </row>
    <row r="213" spans="1:11" x14ac:dyDescent="0.25">
      <c r="A213" s="1">
        <v>44774</v>
      </c>
      <c r="B213" t="s">
        <v>31</v>
      </c>
      <c r="C213" t="s">
        <v>19</v>
      </c>
      <c r="D213" t="s">
        <v>25</v>
      </c>
      <c r="E213" t="s">
        <v>30</v>
      </c>
      <c r="F213" t="s">
        <v>21</v>
      </c>
      <c r="G213" t="s">
        <v>22</v>
      </c>
      <c r="H213">
        <v>4</v>
      </c>
      <c r="I213" s="30">
        <v>130.97</v>
      </c>
      <c r="J213" s="10">
        <v>523.88</v>
      </c>
      <c r="K213" t="s">
        <v>17</v>
      </c>
    </row>
    <row r="214" spans="1:11" x14ac:dyDescent="0.25">
      <c r="A214" s="1">
        <v>44646</v>
      </c>
      <c r="B214" t="s">
        <v>11</v>
      </c>
      <c r="C214" t="s">
        <v>12</v>
      </c>
      <c r="D214" t="s">
        <v>13</v>
      </c>
      <c r="E214" t="s">
        <v>30</v>
      </c>
      <c r="F214" t="s">
        <v>21</v>
      </c>
      <c r="G214" t="s">
        <v>39</v>
      </c>
      <c r="H214">
        <v>5</v>
      </c>
      <c r="I214" s="30">
        <v>267.70999999999998</v>
      </c>
      <c r="J214" s="10">
        <v>1338.55</v>
      </c>
      <c r="K214" t="s">
        <v>23</v>
      </c>
    </row>
    <row r="215" spans="1:11" x14ac:dyDescent="0.25">
      <c r="A215" s="1">
        <v>44565</v>
      </c>
      <c r="B215" t="s">
        <v>24</v>
      </c>
      <c r="C215" t="s">
        <v>19</v>
      </c>
      <c r="D215" t="s">
        <v>25</v>
      </c>
      <c r="E215" t="s">
        <v>30</v>
      </c>
      <c r="F215" t="s">
        <v>40</v>
      </c>
      <c r="G215" t="s">
        <v>22</v>
      </c>
      <c r="H215">
        <v>4</v>
      </c>
      <c r="I215" s="30">
        <v>151.37</v>
      </c>
      <c r="J215" s="10">
        <v>605.48</v>
      </c>
      <c r="K215" t="s">
        <v>35</v>
      </c>
    </row>
    <row r="216" spans="1:11" x14ac:dyDescent="0.25">
      <c r="A216" s="1">
        <v>44627</v>
      </c>
      <c r="B216" t="s">
        <v>37</v>
      </c>
      <c r="C216" t="s">
        <v>29</v>
      </c>
      <c r="D216" t="s">
        <v>38</v>
      </c>
      <c r="E216" t="s">
        <v>30</v>
      </c>
      <c r="F216" t="s">
        <v>40</v>
      </c>
      <c r="G216" t="s">
        <v>39</v>
      </c>
      <c r="H216">
        <v>5</v>
      </c>
      <c r="I216" s="30">
        <v>89.84</v>
      </c>
      <c r="J216" s="10">
        <v>449.2</v>
      </c>
      <c r="K216" t="s">
        <v>36</v>
      </c>
    </row>
    <row r="217" spans="1:11" x14ac:dyDescent="0.25">
      <c r="A217" s="1">
        <v>44676</v>
      </c>
      <c r="B217" t="s">
        <v>48</v>
      </c>
      <c r="C217" t="s">
        <v>49</v>
      </c>
      <c r="D217" t="s">
        <v>50</v>
      </c>
      <c r="E217" t="s">
        <v>30</v>
      </c>
      <c r="F217" t="s">
        <v>21</v>
      </c>
      <c r="G217" t="s">
        <v>39</v>
      </c>
      <c r="H217">
        <v>1</v>
      </c>
      <c r="I217" s="30">
        <v>276.64</v>
      </c>
      <c r="J217" s="10">
        <v>276.64</v>
      </c>
      <c r="K217" t="s">
        <v>17</v>
      </c>
    </row>
    <row r="218" spans="1:11" x14ac:dyDescent="0.25">
      <c r="A218" s="1">
        <v>44635</v>
      </c>
      <c r="B218" t="s">
        <v>48</v>
      </c>
      <c r="C218" t="s">
        <v>49</v>
      </c>
      <c r="D218" t="s">
        <v>50</v>
      </c>
      <c r="E218" t="s">
        <v>14</v>
      </c>
      <c r="F218" t="s">
        <v>15</v>
      </c>
      <c r="G218" t="s">
        <v>43</v>
      </c>
      <c r="H218">
        <v>3</v>
      </c>
      <c r="I218" s="30">
        <v>203.41</v>
      </c>
      <c r="J218" s="10">
        <v>610.23</v>
      </c>
      <c r="K218" t="s">
        <v>17</v>
      </c>
    </row>
    <row r="219" spans="1:11" x14ac:dyDescent="0.25">
      <c r="A219" s="1">
        <v>44783</v>
      </c>
      <c r="B219" t="s">
        <v>28</v>
      </c>
      <c r="C219" t="s">
        <v>29</v>
      </c>
      <c r="D219" t="s">
        <v>25</v>
      </c>
      <c r="E219" t="s">
        <v>30</v>
      </c>
      <c r="F219" t="s">
        <v>15</v>
      </c>
      <c r="G219" t="s">
        <v>34</v>
      </c>
      <c r="H219">
        <v>2</v>
      </c>
      <c r="I219" s="30">
        <v>195.85</v>
      </c>
      <c r="J219" s="10">
        <v>391.7</v>
      </c>
      <c r="K219" t="s">
        <v>36</v>
      </c>
    </row>
    <row r="220" spans="1:11" x14ac:dyDescent="0.25">
      <c r="A220" s="1">
        <v>44777</v>
      </c>
      <c r="B220" t="s">
        <v>48</v>
      </c>
      <c r="C220" t="s">
        <v>49</v>
      </c>
      <c r="D220" t="s">
        <v>50</v>
      </c>
      <c r="E220" t="s">
        <v>30</v>
      </c>
      <c r="F220" t="s">
        <v>40</v>
      </c>
      <c r="G220" t="s">
        <v>33</v>
      </c>
      <c r="H220">
        <v>2</v>
      </c>
      <c r="I220" s="30">
        <v>288.87</v>
      </c>
      <c r="J220" s="10">
        <v>577.74</v>
      </c>
      <c r="K220" t="s">
        <v>35</v>
      </c>
    </row>
    <row r="221" spans="1:11" x14ac:dyDescent="0.25">
      <c r="A221" s="1">
        <v>44692</v>
      </c>
      <c r="B221" t="s">
        <v>28</v>
      </c>
      <c r="C221" t="s">
        <v>29</v>
      </c>
      <c r="D221" t="s">
        <v>25</v>
      </c>
      <c r="E221" t="s">
        <v>30</v>
      </c>
      <c r="F221" t="s">
        <v>40</v>
      </c>
      <c r="G221" t="s">
        <v>33</v>
      </c>
      <c r="H221">
        <v>1</v>
      </c>
      <c r="I221" s="30">
        <v>65.45</v>
      </c>
      <c r="J221" s="10">
        <v>65.45</v>
      </c>
      <c r="K221" t="s">
        <v>23</v>
      </c>
    </row>
    <row r="222" spans="1:11" x14ac:dyDescent="0.25">
      <c r="A222" s="1">
        <v>44562</v>
      </c>
      <c r="B222" t="s">
        <v>18</v>
      </c>
      <c r="C222" t="s">
        <v>19</v>
      </c>
      <c r="D222" t="s">
        <v>20</v>
      </c>
      <c r="E222" t="s">
        <v>14</v>
      </c>
      <c r="F222" t="s">
        <v>32</v>
      </c>
      <c r="G222" t="s">
        <v>22</v>
      </c>
      <c r="H222">
        <v>1</v>
      </c>
      <c r="I222" s="30">
        <v>202.42</v>
      </c>
      <c r="J222" s="10">
        <v>202.42</v>
      </c>
      <c r="K222" t="s">
        <v>36</v>
      </c>
    </row>
    <row r="223" spans="1:11" x14ac:dyDescent="0.25">
      <c r="A223" s="1">
        <v>44625</v>
      </c>
      <c r="B223" t="s">
        <v>28</v>
      </c>
      <c r="C223" t="s">
        <v>29</v>
      </c>
      <c r="D223" t="s">
        <v>25</v>
      </c>
      <c r="E223" t="s">
        <v>30</v>
      </c>
      <c r="F223" t="s">
        <v>21</v>
      </c>
      <c r="G223" t="s">
        <v>33</v>
      </c>
      <c r="H223">
        <v>2</v>
      </c>
      <c r="I223" s="30">
        <v>51.11</v>
      </c>
      <c r="J223" s="10">
        <v>102.22</v>
      </c>
      <c r="K223" t="s">
        <v>23</v>
      </c>
    </row>
    <row r="224" spans="1:11" x14ac:dyDescent="0.25">
      <c r="A224" s="1">
        <v>44766</v>
      </c>
      <c r="B224" t="s">
        <v>45</v>
      </c>
      <c r="C224" t="s">
        <v>46</v>
      </c>
      <c r="D224" t="s">
        <v>47</v>
      </c>
      <c r="E224" t="s">
        <v>30</v>
      </c>
      <c r="F224" t="s">
        <v>15</v>
      </c>
      <c r="G224" t="s">
        <v>16</v>
      </c>
      <c r="H224">
        <v>1</v>
      </c>
      <c r="I224" s="30">
        <v>292.68</v>
      </c>
      <c r="J224" s="10">
        <v>292.68</v>
      </c>
      <c r="K224" t="s">
        <v>35</v>
      </c>
    </row>
    <row r="225" spans="1:11" x14ac:dyDescent="0.25">
      <c r="A225" s="1">
        <v>44783</v>
      </c>
      <c r="B225" t="s">
        <v>48</v>
      </c>
      <c r="C225" t="s">
        <v>49</v>
      </c>
      <c r="D225" t="s">
        <v>50</v>
      </c>
      <c r="E225" t="s">
        <v>26</v>
      </c>
      <c r="F225" t="s">
        <v>32</v>
      </c>
      <c r="G225" t="s">
        <v>22</v>
      </c>
      <c r="H225">
        <v>2</v>
      </c>
      <c r="I225" s="30">
        <v>175.51</v>
      </c>
      <c r="J225" s="10">
        <v>351.02</v>
      </c>
      <c r="K225" t="s">
        <v>35</v>
      </c>
    </row>
    <row r="226" spans="1:11" x14ac:dyDescent="0.25">
      <c r="A226" s="1">
        <v>44633</v>
      </c>
      <c r="B226" t="s">
        <v>18</v>
      </c>
      <c r="C226" t="s">
        <v>19</v>
      </c>
      <c r="D226" t="s">
        <v>20</v>
      </c>
      <c r="E226" t="s">
        <v>26</v>
      </c>
      <c r="F226" t="s">
        <v>40</v>
      </c>
      <c r="G226" t="s">
        <v>27</v>
      </c>
      <c r="H226">
        <v>4</v>
      </c>
      <c r="I226" s="30">
        <v>211.37</v>
      </c>
      <c r="J226" s="10">
        <v>845.48</v>
      </c>
      <c r="K226" t="s">
        <v>17</v>
      </c>
    </row>
    <row r="227" spans="1:11" x14ac:dyDescent="0.25">
      <c r="A227" s="1">
        <v>44643</v>
      </c>
      <c r="B227" t="s">
        <v>28</v>
      </c>
      <c r="C227" t="s">
        <v>29</v>
      </c>
      <c r="D227" t="s">
        <v>25</v>
      </c>
      <c r="E227" t="s">
        <v>14</v>
      </c>
      <c r="F227" t="s">
        <v>32</v>
      </c>
      <c r="G227" t="s">
        <v>27</v>
      </c>
      <c r="H227">
        <v>1</v>
      </c>
      <c r="I227" s="30">
        <v>209.78</v>
      </c>
      <c r="J227" s="10">
        <v>209.78</v>
      </c>
      <c r="K227" t="s">
        <v>35</v>
      </c>
    </row>
    <row r="228" spans="1:11" x14ac:dyDescent="0.25">
      <c r="A228" s="1">
        <v>44693</v>
      </c>
      <c r="B228" t="s">
        <v>24</v>
      </c>
      <c r="C228" t="s">
        <v>19</v>
      </c>
      <c r="D228" t="s">
        <v>25</v>
      </c>
      <c r="E228" t="s">
        <v>14</v>
      </c>
      <c r="F228" t="s">
        <v>32</v>
      </c>
      <c r="G228" t="s">
        <v>43</v>
      </c>
      <c r="H228">
        <v>1</v>
      </c>
      <c r="I228" s="30">
        <v>59.85</v>
      </c>
      <c r="J228" s="10">
        <v>59.85</v>
      </c>
      <c r="K228" t="s">
        <v>36</v>
      </c>
    </row>
    <row r="229" spans="1:11" x14ac:dyDescent="0.25">
      <c r="A229" s="1">
        <v>44759</v>
      </c>
      <c r="B229" t="s">
        <v>24</v>
      </c>
      <c r="C229" t="s">
        <v>19</v>
      </c>
      <c r="D229" t="s">
        <v>25</v>
      </c>
      <c r="E229" t="s">
        <v>14</v>
      </c>
      <c r="F229" t="s">
        <v>21</v>
      </c>
      <c r="G229" t="s">
        <v>39</v>
      </c>
      <c r="H229">
        <v>3</v>
      </c>
      <c r="I229" s="30">
        <v>156.27000000000001</v>
      </c>
      <c r="J229" s="10">
        <v>468.81</v>
      </c>
      <c r="K229" t="s">
        <v>35</v>
      </c>
    </row>
    <row r="230" spans="1:11" x14ac:dyDescent="0.25">
      <c r="A230" s="1">
        <v>44628</v>
      </c>
      <c r="B230" t="s">
        <v>18</v>
      </c>
      <c r="C230" t="s">
        <v>19</v>
      </c>
      <c r="D230" t="s">
        <v>20</v>
      </c>
      <c r="E230" t="s">
        <v>14</v>
      </c>
      <c r="F230" t="s">
        <v>15</v>
      </c>
      <c r="G230" t="s">
        <v>33</v>
      </c>
      <c r="H230">
        <v>2</v>
      </c>
      <c r="I230" s="30">
        <v>175</v>
      </c>
      <c r="J230" s="10">
        <v>350</v>
      </c>
      <c r="K230" t="s">
        <v>17</v>
      </c>
    </row>
    <row r="231" spans="1:11" x14ac:dyDescent="0.25">
      <c r="A231" s="1">
        <v>44778</v>
      </c>
      <c r="B231" t="s">
        <v>37</v>
      </c>
      <c r="C231" t="s">
        <v>29</v>
      </c>
      <c r="D231" t="s">
        <v>38</v>
      </c>
      <c r="E231" t="s">
        <v>30</v>
      </c>
      <c r="F231" t="s">
        <v>32</v>
      </c>
      <c r="G231" t="s">
        <v>34</v>
      </c>
      <c r="H231">
        <v>2</v>
      </c>
      <c r="I231" s="30">
        <v>88</v>
      </c>
      <c r="J231" s="10">
        <v>176</v>
      </c>
      <c r="K231" t="s">
        <v>36</v>
      </c>
    </row>
    <row r="232" spans="1:11" x14ac:dyDescent="0.25">
      <c r="A232" s="1">
        <v>44744</v>
      </c>
      <c r="B232" t="s">
        <v>24</v>
      </c>
      <c r="C232" t="s">
        <v>19</v>
      </c>
      <c r="D232" t="s">
        <v>25</v>
      </c>
      <c r="E232" t="s">
        <v>30</v>
      </c>
      <c r="F232" t="s">
        <v>32</v>
      </c>
      <c r="G232" t="s">
        <v>34</v>
      </c>
      <c r="H232">
        <v>4</v>
      </c>
      <c r="I232" s="30">
        <v>293.33</v>
      </c>
      <c r="J232" s="10">
        <v>1173.32</v>
      </c>
      <c r="K232" t="s">
        <v>17</v>
      </c>
    </row>
    <row r="233" spans="1:11" x14ac:dyDescent="0.25">
      <c r="A233" s="1">
        <v>44759</v>
      </c>
      <c r="B233" t="s">
        <v>24</v>
      </c>
      <c r="C233" t="s">
        <v>19</v>
      </c>
      <c r="D233" t="s">
        <v>25</v>
      </c>
      <c r="E233" t="s">
        <v>14</v>
      </c>
      <c r="F233" t="s">
        <v>15</v>
      </c>
      <c r="G233" t="s">
        <v>27</v>
      </c>
      <c r="H233">
        <v>5</v>
      </c>
      <c r="I233" s="30">
        <v>285.37</v>
      </c>
      <c r="J233" s="10">
        <v>1426.85</v>
      </c>
      <c r="K233" t="s">
        <v>35</v>
      </c>
    </row>
    <row r="234" spans="1:11" x14ac:dyDescent="0.25">
      <c r="A234" s="1">
        <v>44576</v>
      </c>
      <c r="B234" t="s">
        <v>37</v>
      </c>
      <c r="C234" t="s">
        <v>29</v>
      </c>
      <c r="D234" t="s">
        <v>38</v>
      </c>
      <c r="E234" t="s">
        <v>26</v>
      </c>
      <c r="F234" t="s">
        <v>40</v>
      </c>
      <c r="G234" t="s">
        <v>22</v>
      </c>
      <c r="H234">
        <v>5</v>
      </c>
      <c r="I234" s="30">
        <v>220.59</v>
      </c>
      <c r="J234" s="10">
        <v>1102.95</v>
      </c>
      <c r="K234" t="s">
        <v>36</v>
      </c>
    </row>
    <row r="235" spans="1:11" x14ac:dyDescent="0.25">
      <c r="A235" s="1">
        <v>44623</v>
      </c>
      <c r="B235" t="s">
        <v>24</v>
      </c>
      <c r="C235" t="s">
        <v>19</v>
      </c>
      <c r="D235" t="s">
        <v>25</v>
      </c>
      <c r="E235" t="s">
        <v>30</v>
      </c>
      <c r="F235" t="s">
        <v>21</v>
      </c>
      <c r="G235" t="s">
        <v>33</v>
      </c>
      <c r="H235">
        <v>5</v>
      </c>
      <c r="I235" s="30">
        <v>214</v>
      </c>
      <c r="J235" s="10">
        <v>1070</v>
      </c>
      <c r="K235" t="s">
        <v>36</v>
      </c>
    </row>
    <row r="236" spans="1:11" x14ac:dyDescent="0.25">
      <c r="A236" s="1">
        <v>44791</v>
      </c>
      <c r="B236" t="s">
        <v>18</v>
      </c>
      <c r="C236" t="s">
        <v>19</v>
      </c>
      <c r="D236" t="s">
        <v>20</v>
      </c>
      <c r="E236" t="s">
        <v>14</v>
      </c>
      <c r="F236" t="s">
        <v>15</v>
      </c>
      <c r="G236" t="s">
        <v>27</v>
      </c>
      <c r="H236">
        <v>5</v>
      </c>
      <c r="I236" s="30">
        <v>208.24</v>
      </c>
      <c r="J236" s="10">
        <v>1041.2</v>
      </c>
      <c r="K236" t="s">
        <v>17</v>
      </c>
    </row>
    <row r="237" spans="1:11" x14ac:dyDescent="0.25">
      <c r="A237" s="1">
        <v>44719</v>
      </c>
      <c r="B237" t="s">
        <v>41</v>
      </c>
      <c r="C237" t="s">
        <v>29</v>
      </c>
      <c r="D237" t="s">
        <v>42</v>
      </c>
      <c r="E237" t="s">
        <v>14</v>
      </c>
      <c r="F237" t="s">
        <v>32</v>
      </c>
      <c r="G237" t="s">
        <v>27</v>
      </c>
      <c r="H237">
        <v>4</v>
      </c>
      <c r="I237" s="30">
        <v>133.69999999999999</v>
      </c>
      <c r="J237" s="10">
        <v>534.79999999999995</v>
      </c>
      <c r="K237" t="s">
        <v>35</v>
      </c>
    </row>
    <row r="238" spans="1:11" x14ac:dyDescent="0.25">
      <c r="A238" s="1">
        <v>44797</v>
      </c>
      <c r="B238" t="s">
        <v>11</v>
      </c>
      <c r="C238" t="s">
        <v>12</v>
      </c>
      <c r="D238" t="s">
        <v>13</v>
      </c>
      <c r="E238" t="s">
        <v>30</v>
      </c>
      <c r="F238" t="s">
        <v>32</v>
      </c>
      <c r="G238" t="s">
        <v>43</v>
      </c>
      <c r="H238">
        <v>2</v>
      </c>
      <c r="I238" s="30">
        <v>158.69999999999999</v>
      </c>
      <c r="J238" s="10">
        <v>317.39999999999998</v>
      </c>
      <c r="K238" t="s">
        <v>36</v>
      </c>
    </row>
    <row r="239" spans="1:11" x14ac:dyDescent="0.25">
      <c r="A239" s="1">
        <v>44580</v>
      </c>
      <c r="B239" t="s">
        <v>28</v>
      </c>
      <c r="C239" t="s">
        <v>29</v>
      </c>
      <c r="D239" t="s">
        <v>25</v>
      </c>
      <c r="E239" t="s">
        <v>26</v>
      </c>
      <c r="F239" t="s">
        <v>21</v>
      </c>
      <c r="G239" t="s">
        <v>34</v>
      </c>
      <c r="H239">
        <v>2</v>
      </c>
      <c r="I239" s="30">
        <v>244.13</v>
      </c>
      <c r="J239" s="10">
        <v>488.26</v>
      </c>
      <c r="K239" t="s">
        <v>23</v>
      </c>
    </row>
    <row r="240" spans="1:11" x14ac:dyDescent="0.25">
      <c r="A240" s="1">
        <v>44792</v>
      </c>
      <c r="B240" t="s">
        <v>28</v>
      </c>
      <c r="C240" t="s">
        <v>29</v>
      </c>
      <c r="D240" t="s">
        <v>25</v>
      </c>
      <c r="E240" t="s">
        <v>26</v>
      </c>
      <c r="F240" t="s">
        <v>32</v>
      </c>
      <c r="G240" t="s">
        <v>33</v>
      </c>
      <c r="H240">
        <v>5</v>
      </c>
      <c r="I240" s="30">
        <v>147.99</v>
      </c>
      <c r="J240" s="10">
        <v>739.95</v>
      </c>
      <c r="K240" t="s">
        <v>35</v>
      </c>
    </row>
    <row r="241" spans="1:11" x14ac:dyDescent="0.25">
      <c r="A241" s="1">
        <v>44784</v>
      </c>
      <c r="B241" t="s">
        <v>11</v>
      </c>
      <c r="C241" t="s">
        <v>12</v>
      </c>
      <c r="D241" t="s">
        <v>13</v>
      </c>
      <c r="E241" t="s">
        <v>14</v>
      </c>
      <c r="F241" t="s">
        <v>32</v>
      </c>
      <c r="G241" t="s">
        <v>16</v>
      </c>
      <c r="H241">
        <v>1</v>
      </c>
      <c r="I241" s="30">
        <v>157.81</v>
      </c>
      <c r="J241" s="10">
        <v>157.81</v>
      </c>
      <c r="K241" t="s">
        <v>23</v>
      </c>
    </row>
    <row r="242" spans="1:11" x14ac:dyDescent="0.25">
      <c r="A242" s="1">
        <v>44644</v>
      </c>
      <c r="B242" t="s">
        <v>48</v>
      </c>
      <c r="C242" t="s">
        <v>49</v>
      </c>
      <c r="D242" t="s">
        <v>50</v>
      </c>
      <c r="E242" t="s">
        <v>14</v>
      </c>
      <c r="F242" t="s">
        <v>21</v>
      </c>
      <c r="G242" t="s">
        <v>27</v>
      </c>
      <c r="H242">
        <v>2</v>
      </c>
      <c r="I242" s="30">
        <v>212.76</v>
      </c>
      <c r="J242" s="10">
        <v>425.52</v>
      </c>
      <c r="K242" t="s">
        <v>36</v>
      </c>
    </row>
    <row r="243" spans="1:11" x14ac:dyDescent="0.25">
      <c r="A243" s="1">
        <v>44578</v>
      </c>
      <c r="B243" t="s">
        <v>44</v>
      </c>
      <c r="C243" t="s">
        <v>19</v>
      </c>
      <c r="D243" t="s">
        <v>20</v>
      </c>
      <c r="E243" t="s">
        <v>26</v>
      </c>
      <c r="F243" t="s">
        <v>32</v>
      </c>
      <c r="G243" t="s">
        <v>33</v>
      </c>
      <c r="H243">
        <v>3</v>
      </c>
      <c r="I243" s="30">
        <v>225.9</v>
      </c>
      <c r="J243" s="10">
        <v>677.7</v>
      </c>
      <c r="K243" t="s">
        <v>36</v>
      </c>
    </row>
    <row r="244" spans="1:11" x14ac:dyDescent="0.25">
      <c r="A244" s="1">
        <v>44601</v>
      </c>
      <c r="B244" t="s">
        <v>45</v>
      </c>
      <c r="C244" t="s">
        <v>46</v>
      </c>
      <c r="D244" t="s">
        <v>47</v>
      </c>
      <c r="E244" t="s">
        <v>30</v>
      </c>
      <c r="F244" t="s">
        <v>21</v>
      </c>
      <c r="G244" t="s">
        <v>39</v>
      </c>
      <c r="H244">
        <v>3</v>
      </c>
      <c r="I244" s="30">
        <v>112.98</v>
      </c>
      <c r="J244" s="10">
        <v>338.94</v>
      </c>
      <c r="K244" t="s">
        <v>36</v>
      </c>
    </row>
    <row r="245" spans="1:11" x14ac:dyDescent="0.25">
      <c r="A245" s="1">
        <v>44694</v>
      </c>
      <c r="B245" t="s">
        <v>45</v>
      </c>
      <c r="C245" t="s">
        <v>46</v>
      </c>
      <c r="D245" t="s">
        <v>47</v>
      </c>
      <c r="E245" t="s">
        <v>14</v>
      </c>
      <c r="F245" t="s">
        <v>32</v>
      </c>
      <c r="G245" t="s">
        <v>39</v>
      </c>
      <c r="H245">
        <v>2</v>
      </c>
      <c r="I245" s="30">
        <v>100.84</v>
      </c>
      <c r="J245" s="10">
        <v>201.68</v>
      </c>
      <c r="K245" t="s">
        <v>23</v>
      </c>
    </row>
    <row r="246" spans="1:11" x14ac:dyDescent="0.25">
      <c r="A246" s="1">
        <v>44595</v>
      </c>
      <c r="B246" t="s">
        <v>31</v>
      </c>
      <c r="C246" t="s">
        <v>19</v>
      </c>
      <c r="D246" t="s">
        <v>25</v>
      </c>
      <c r="E246" t="s">
        <v>26</v>
      </c>
      <c r="F246" t="s">
        <v>32</v>
      </c>
      <c r="G246" t="s">
        <v>39</v>
      </c>
      <c r="H246">
        <v>4</v>
      </c>
      <c r="I246" s="30">
        <v>292.75</v>
      </c>
      <c r="J246" s="10">
        <v>1171</v>
      </c>
      <c r="K246" t="s">
        <v>36</v>
      </c>
    </row>
    <row r="247" spans="1:11" x14ac:dyDescent="0.25">
      <c r="A247" s="1">
        <v>44600</v>
      </c>
      <c r="B247" t="s">
        <v>28</v>
      </c>
      <c r="C247" t="s">
        <v>29</v>
      </c>
      <c r="D247" t="s">
        <v>25</v>
      </c>
      <c r="E247" t="s">
        <v>30</v>
      </c>
      <c r="F247" t="s">
        <v>21</v>
      </c>
      <c r="G247" t="s">
        <v>34</v>
      </c>
      <c r="H247">
        <v>3</v>
      </c>
      <c r="I247" s="30">
        <v>82.62</v>
      </c>
      <c r="J247" s="10">
        <v>247.86</v>
      </c>
      <c r="K247" t="s">
        <v>23</v>
      </c>
    </row>
    <row r="248" spans="1:11" x14ac:dyDescent="0.25">
      <c r="A248" s="1">
        <v>44760</v>
      </c>
      <c r="B248" t="s">
        <v>37</v>
      </c>
      <c r="C248" t="s">
        <v>29</v>
      </c>
      <c r="D248" t="s">
        <v>38</v>
      </c>
      <c r="E248" t="s">
        <v>30</v>
      </c>
      <c r="F248" t="s">
        <v>40</v>
      </c>
      <c r="G248" t="s">
        <v>33</v>
      </c>
      <c r="H248">
        <v>3</v>
      </c>
      <c r="I248" s="30">
        <v>246.13</v>
      </c>
      <c r="J248" s="10">
        <v>738.39</v>
      </c>
      <c r="K248" t="s">
        <v>35</v>
      </c>
    </row>
    <row r="249" spans="1:11" x14ac:dyDescent="0.25">
      <c r="A249" s="1">
        <v>44680</v>
      </c>
      <c r="B249" t="s">
        <v>24</v>
      </c>
      <c r="C249" t="s">
        <v>19</v>
      </c>
      <c r="D249" t="s">
        <v>25</v>
      </c>
      <c r="E249" t="s">
        <v>30</v>
      </c>
      <c r="F249" t="s">
        <v>21</v>
      </c>
      <c r="G249" t="s">
        <v>27</v>
      </c>
      <c r="H249">
        <v>4</v>
      </c>
      <c r="I249" s="30">
        <v>168.01</v>
      </c>
      <c r="J249" s="10">
        <v>672.04</v>
      </c>
      <c r="K249" t="s">
        <v>36</v>
      </c>
    </row>
    <row r="250" spans="1:11" x14ac:dyDescent="0.25">
      <c r="A250" s="1">
        <v>44799</v>
      </c>
      <c r="B250" t="s">
        <v>44</v>
      </c>
      <c r="C250" t="s">
        <v>19</v>
      </c>
      <c r="D250" t="s">
        <v>20</v>
      </c>
      <c r="E250" t="s">
        <v>30</v>
      </c>
      <c r="F250" t="s">
        <v>40</v>
      </c>
      <c r="G250" t="s">
        <v>16</v>
      </c>
      <c r="H250">
        <v>1</v>
      </c>
      <c r="I250" s="30">
        <v>93.08</v>
      </c>
      <c r="J250" s="10">
        <v>93.08</v>
      </c>
      <c r="K250" t="s">
        <v>36</v>
      </c>
    </row>
    <row r="251" spans="1:11" x14ac:dyDescent="0.25">
      <c r="A251" s="1">
        <v>44575</v>
      </c>
      <c r="B251" t="s">
        <v>37</v>
      </c>
      <c r="C251" t="s">
        <v>29</v>
      </c>
      <c r="D251" t="s">
        <v>38</v>
      </c>
      <c r="E251" t="s">
        <v>26</v>
      </c>
      <c r="F251" t="s">
        <v>15</v>
      </c>
      <c r="G251" t="s">
        <v>33</v>
      </c>
      <c r="H251">
        <v>3</v>
      </c>
      <c r="I251" s="30">
        <v>161.55000000000001</v>
      </c>
      <c r="J251" s="10">
        <v>484.65</v>
      </c>
      <c r="K251" t="s">
        <v>35</v>
      </c>
    </row>
    <row r="252" spans="1:11" x14ac:dyDescent="0.25">
      <c r="A252" s="1">
        <v>44617</v>
      </c>
      <c r="B252" t="s">
        <v>45</v>
      </c>
      <c r="C252" t="s">
        <v>46</v>
      </c>
      <c r="D252" t="s">
        <v>47</v>
      </c>
      <c r="E252" t="s">
        <v>30</v>
      </c>
      <c r="F252" t="s">
        <v>32</v>
      </c>
      <c r="G252" t="s">
        <v>27</v>
      </c>
      <c r="H252">
        <v>3</v>
      </c>
      <c r="I252" s="30">
        <v>228.84</v>
      </c>
      <c r="J252" s="10">
        <v>686.52</v>
      </c>
      <c r="K252" t="s">
        <v>35</v>
      </c>
    </row>
    <row r="253" spans="1:11" x14ac:dyDescent="0.25">
      <c r="A253" s="1">
        <v>44704</v>
      </c>
      <c r="B253" t="s">
        <v>37</v>
      </c>
      <c r="C253" t="s">
        <v>29</v>
      </c>
      <c r="D253" t="s">
        <v>38</v>
      </c>
      <c r="E253" t="s">
        <v>26</v>
      </c>
      <c r="F253" t="s">
        <v>40</v>
      </c>
      <c r="G253" t="s">
        <v>22</v>
      </c>
      <c r="H253">
        <v>4</v>
      </c>
      <c r="I253" s="30">
        <v>221.31</v>
      </c>
      <c r="J253" s="10">
        <v>885.24</v>
      </c>
      <c r="K253" t="s">
        <v>17</v>
      </c>
    </row>
    <row r="254" spans="1:11" x14ac:dyDescent="0.25">
      <c r="A254" s="1">
        <v>44768</v>
      </c>
      <c r="B254" t="s">
        <v>45</v>
      </c>
      <c r="C254" t="s">
        <v>46</v>
      </c>
      <c r="D254" t="s">
        <v>47</v>
      </c>
      <c r="E254" t="s">
        <v>26</v>
      </c>
      <c r="F254" t="s">
        <v>40</v>
      </c>
      <c r="G254" t="s">
        <v>34</v>
      </c>
      <c r="H254">
        <v>2</v>
      </c>
      <c r="I254" s="30">
        <v>287.68</v>
      </c>
      <c r="J254" s="10">
        <v>575.36</v>
      </c>
      <c r="K254" t="s">
        <v>23</v>
      </c>
    </row>
    <row r="255" spans="1:11" x14ac:dyDescent="0.25">
      <c r="A255" s="1">
        <v>44577</v>
      </c>
      <c r="B255" t="s">
        <v>24</v>
      </c>
      <c r="C255" t="s">
        <v>19</v>
      </c>
      <c r="D255" t="s">
        <v>25</v>
      </c>
      <c r="E255" t="s">
        <v>26</v>
      </c>
      <c r="F255" t="s">
        <v>15</v>
      </c>
      <c r="G255" t="s">
        <v>34</v>
      </c>
      <c r="H255">
        <v>5</v>
      </c>
      <c r="I255" s="30">
        <v>168.7</v>
      </c>
      <c r="J255" s="10">
        <v>843.5</v>
      </c>
      <c r="K255" t="s">
        <v>36</v>
      </c>
    </row>
    <row r="256" spans="1:11" x14ac:dyDescent="0.25">
      <c r="A256" s="1">
        <v>44713</v>
      </c>
      <c r="B256" t="s">
        <v>11</v>
      </c>
      <c r="C256" t="s">
        <v>12</v>
      </c>
      <c r="D256" t="s">
        <v>13</v>
      </c>
      <c r="E256" t="s">
        <v>26</v>
      </c>
      <c r="F256" t="s">
        <v>21</v>
      </c>
      <c r="G256" t="s">
        <v>34</v>
      </c>
      <c r="H256">
        <v>3</v>
      </c>
      <c r="I256" s="30">
        <v>153.82</v>
      </c>
      <c r="J256" s="10">
        <v>461.46</v>
      </c>
      <c r="K256" t="s">
        <v>23</v>
      </c>
    </row>
    <row r="257" spans="1:11" x14ac:dyDescent="0.25">
      <c r="A257" s="1">
        <v>44605</v>
      </c>
      <c r="B257" t="s">
        <v>44</v>
      </c>
      <c r="C257" t="s">
        <v>19</v>
      </c>
      <c r="D257" t="s">
        <v>20</v>
      </c>
      <c r="E257" t="s">
        <v>14</v>
      </c>
      <c r="F257" t="s">
        <v>32</v>
      </c>
      <c r="G257" t="s">
        <v>16</v>
      </c>
      <c r="H257">
        <v>4</v>
      </c>
      <c r="I257" s="30">
        <v>281</v>
      </c>
      <c r="J257" s="10">
        <v>1124</v>
      </c>
      <c r="K257" t="s">
        <v>35</v>
      </c>
    </row>
    <row r="258" spans="1:11" x14ac:dyDescent="0.25">
      <c r="A258" s="1">
        <v>44648</v>
      </c>
      <c r="B258" t="s">
        <v>48</v>
      </c>
      <c r="C258" t="s">
        <v>49</v>
      </c>
      <c r="D258" t="s">
        <v>50</v>
      </c>
      <c r="E258" t="s">
        <v>26</v>
      </c>
      <c r="F258" t="s">
        <v>21</v>
      </c>
      <c r="G258" t="s">
        <v>43</v>
      </c>
      <c r="H258">
        <v>5</v>
      </c>
      <c r="I258" s="30">
        <v>112.4</v>
      </c>
      <c r="J258" s="10">
        <v>562</v>
      </c>
      <c r="K258" t="s">
        <v>36</v>
      </c>
    </row>
    <row r="259" spans="1:11" x14ac:dyDescent="0.25">
      <c r="A259" s="1">
        <v>44581</v>
      </c>
      <c r="B259" t="s">
        <v>37</v>
      </c>
      <c r="C259" t="s">
        <v>29</v>
      </c>
      <c r="D259" t="s">
        <v>38</v>
      </c>
      <c r="E259" t="s">
        <v>14</v>
      </c>
      <c r="F259" t="s">
        <v>15</v>
      </c>
      <c r="G259" t="s">
        <v>39</v>
      </c>
      <c r="H259">
        <v>1</v>
      </c>
      <c r="I259" s="30">
        <v>233.16</v>
      </c>
      <c r="J259" s="10">
        <v>233.16</v>
      </c>
      <c r="K259" t="s">
        <v>23</v>
      </c>
    </row>
    <row r="260" spans="1:11" x14ac:dyDescent="0.25">
      <c r="A260" s="1">
        <v>44619</v>
      </c>
      <c r="B260" t="s">
        <v>18</v>
      </c>
      <c r="C260" t="s">
        <v>19</v>
      </c>
      <c r="D260" t="s">
        <v>20</v>
      </c>
      <c r="E260" t="s">
        <v>14</v>
      </c>
      <c r="F260" t="s">
        <v>40</v>
      </c>
      <c r="G260" t="s">
        <v>22</v>
      </c>
      <c r="H260">
        <v>5</v>
      </c>
      <c r="I260" s="30">
        <v>248.71</v>
      </c>
      <c r="J260" s="10">
        <v>1243.55</v>
      </c>
      <c r="K260" t="s">
        <v>36</v>
      </c>
    </row>
    <row r="261" spans="1:11" x14ac:dyDescent="0.25">
      <c r="A261" s="1">
        <v>44707</v>
      </c>
      <c r="B261" t="s">
        <v>28</v>
      </c>
      <c r="C261" t="s">
        <v>29</v>
      </c>
      <c r="D261" t="s">
        <v>25</v>
      </c>
      <c r="E261" t="s">
        <v>30</v>
      </c>
      <c r="F261" t="s">
        <v>32</v>
      </c>
      <c r="G261" t="s">
        <v>33</v>
      </c>
      <c r="H261">
        <v>5</v>
      </c>
      <c r="I261" s="30">
        <v>157.19999999999999</v>
      </c>
      <c r="J261" s="10">
        <v>786</v>
      </c>
      <c r="K261" t="s">
        <v>36</v>
      </c>
    </row>
    <row r="262" spans="1:11" x14ac:dyDescent="0.25">
      <c r="A262" s="1">
        <v>44590</v>
      </c>
      <c r="B262" t="s">
        <v>18</v>
      </c>
      <c r="C262" t="s">
        <v>19</v>
      </c>
      <c r="D262" t="s">
        <v>20</v>
      </c>
      <c r="E262" t="s">
        <v>30</v>
      </c>
      <c r="F262" t="s">
        <v>15</v>
      </c>
      <c r="G262" t="s">
        <v>33</v>
      </c>
      <c r="H262">
        <v>4</v>
      </c>
      <c r="I262" s="30">
        <v>113.75</v>
      </c>
      <c r="J262" s="10">
        <v>455</v>
      </c>
      <c r="K262" t="s">
        <v>36</v>
      </c>
    </row>
    <row r="263" spans="1:11" x14ac:dyDescent="0.25">
      <c r="A263" s="1">
        <v>44665</v>
      </c>
      <c r="B263" t="s">
        <v>18</v>
      </c>
      <c r="C263" t="s">
        <v>19</v>
      </c>
      <c r="D263" t="s">
        <v>20</v>
      </c>
      <c r="E263" t="s">
        <v>26</v>
      </c>
      <c r="F263" t="s">
        <v>21</v>
      </c>
      <c r="G263" t="s">
        <v>27</v>
      </c>
      <c r="H263">
        <v>1</v>
      </c>
      <c r="I263" s="30">
        <v>109.66</v>
      </c>
      <c r="J263" s="10">
        <v>109.66</v>
      </c>
      <c r="K263" t="s">
        <v>23</v>
      </c>
    </row>
    <row r="264" spans="1:11" x14ac:dyDescent="0.25">
      <c r="A264" s="1">
        <v>44718</v>
      </c>
      <c r="B264" t="s">
        <v>48</v>
      </c>
      <c r="C264" t="s">
        <v>49</v>
      </c>
      <c r="D264" t="s">
        <v>50</v>
      </c>
      <c r="E264" t="s">
        <v>26</v>
      </c>
      <c r="F264" t="s">
        <v>32</v>
      </c>
      <c r="G264" t="s">
        <v>43</v>
      </c>
      <c r="H264">
        <v>1</v>
      </c>
      <c r="I264" s="30">
        <v>81.569999999999993</v>
      </c>
      <c r="J264" s="10">
        <v>81.569999999999993</v>
      </c>
      <c r="K264" t="s">
        <v>35</v>
      </c>
    </row>
    <row r="265" spans="1:11" x14ac:dyDescent="0.25">
      <c r="A265" s="1">
        <v>44600</v>
      </c>
      <c r="B265" t="s">
        <v>11</v>
      </c>
      <c r="C265" t="s">
        <v>12</v>
      </c>
      <c r="D265" t="s">
        <v>13</v>
      </c>
      <c r="E265" t="s">
        <v>30</v>
      </c>
      <c r="F265" t="s">
        <v>32</v>
      </c>
      <c r="G265" t="s">
        <v>39</v>
      </c>
      <c r="H265">
        <v>2</v>
      </c>
      <c r="I265" s="30">
        <v>247.2</v>
      </c>
      <c r="J265" s="10">
        <v>494.4</v>
      </c>
      <c r="K265" t="s">
        <v>35</v>
      </c>
    </row>
    <row r="266" spans="1:11" x14ac:dyDescent="0.25">
      <c r="A266" s="1">
        <v>44687</v>
      </c>
      <c r="B266" t="s">
        <v>48</v>
      </c>
      <c r="C266" t="s">
        <v>49</v>
      </c>
      <c r="D266" t="s">
        <v>50</v>
      </c>
      <c r="E266" t="s">
        <v>26</v>
      </c>
      <c r="F266" t="s">
        <v>40</v>
      </c>
      <c r="G266" t="s">
        <v>16</v>
      </c>
      <c r="H266">
        <v>4</v>
      </c>
      <c r="I266" s="30">
        <v>250.26</v>
      </c>
      <c r="J266" s="10">
        <v>1001.04</v>
      </c>
      <c r="K266" t="s">
        <v>17</v>
      </c>
    </row>
    <row r="267" spans="1:11" x14ac:dyDescent="0.25">
      <c r="A267" s="1">
        <v>44567</v>
      </c>
      <c r="B267" t="s">
        <v>44</v>
      </c>
      <c r="C267" t="s">
        <v>19</v>
      </c>
      <c r="D267" t="s">
        <v>20</v>
      </c>
      <c r="E267" t="s">
        <v>14</v>
      </c>
      <c r="F267" t="s">
        <v>40</v>
      </c>
      <c r="G267" t="s">
        <v>27</v>
      </c>
      <c r="H267">
        <v>1</v>
      </c>
      <c r="I267" s="30">
        <v>137.19999999999999</v>
      </c>
      <c r="J267" s="10">
        <v>137.19999999999999</v>
      </c>
      <c r="K267" t="s">
        <v>17</v>
      </c>
    </row>
    <row r="268" spans="1:11" x14ac:dyDescent="0.25">
      <c r="A268" s="1">
        <v>44638</v>
      </c>
      <c r="B268" t="s">
        <v>44</v>
      </c>
      <c r="C268" t="s">
        <v>19</v>
      </c>
      <c r="D268" t="s">
        <v>20</v>
      </c>
      <c r="E268" t="s">
        <v>26</v>
      </c>
      <c r="F268" t="s">
        <v>21</v>
      </c>
      <c r="G268" t="s">
        <v>39</v>
      </c>
      <c r="H268">
        <v>3</v>
      </c>
      <c r="I268" s="30">
        <v>164.06</v>
      </c>
      <c r="J268" s="10">
        <v>492.18</v>
      </c>
      <c r="K268" t="s">
        <v>35</v>
      </c>
    </row>
    <row r="269" spans="1:11" x14ac:dyDescent="0.25">
      <c r="A269" s="1">
        <v>44599</v>
      </c>
      <c r="B269" t="s">
        <v>37</v>
      </c>
      <c r="C269" t="s">
        <v>29</v>
      </c>
      <c r="D269" t="s">
        <v>38</v>
      </c>
      <c r="E269" t="s">
        <v>14</v>
      </c>
      <c r="F269" t="s">
        <v>21</v>
      </c>
      <c r="G269" t="s">
        <v>22</v>
      </c>
      <c r="H269">
        <v>4</v>
      </c>
      <c r="I269" s="30">
        <v>198.45</v>
      </c>
      <c r="J269" s="10">
        <v>793.8</v>
      </c>
      <c r="K269" t="s">
        <v>36</v>
      </c>
    </row>
    <row r="270" spans="1:11" x14ac:dyDescent="0.25">
      <c r="A270" s="1">
        <v>44717</v>
      </c>
      <c r="B270" t="s">
        <v>48</v>
      </c>
      <c r="C270" t="s">
        <v>49</v>
      </c>
      <c r="D270" t="s">
        <v>50</v>
      </c>
      <c r="E270" t="s">
        <v>14</v>
      </c>
      <c r="F270" t="s">
        <v>15</v>
      </c>
      <c r="G270" t="s">
        <v>27</v>
      </c>
      <c r="H270">
        <v>2</v>
      </c>
      <c r="I270" s="30">
        <v>162.47999999999999</v>
      </c>
      <c r="J270" s="10">
        <v>324.95999999999998</v>
      </c>
      <c r="K270" t="s">
        <v>23</v>
      </c>
    </row>
    <row r="271" spans="1:11" x14ac:dyDescent="0.25">
      <c r="A271" s="1">
        <v>44725</v>
      </c>
      <c r="B271" t="s">
        <v>41</v>
      </c>
      <c r="C271" t="s">
        <v>29</v>
      </c>
      <c r="D271" t="s">
        <v>42</v>
      </c>
      <c r="E271" t="s">
        <v>30</v>
      </c>
      <c r="F271" t="s">
        <v>32</v>
      </c>
      <c r="G271" t="s">
        <v>34</v>
      </c>
      <c r="H271">
        <v>4</v>
      </c>
      <c r="I271" s="30">
        <v>243.48</v>
      </c>
      <c r="J271" s="10">
        <v>973.92</v>
      </c>
      <c r="K271" t="s">
        <v>36</v>
      </c>
    </row>
    <row r="272" spans="1:11" x14ac:dyDescent="0.25">
      <c r="A272" s="1">
        <v>44783</v>
      </c>
      <c r="B272" t="s">
        <v>24</v>
      </c>
      <c r="C272" t="s">
        <v>19</v>
      </c>
      <c r="D272" t="s">
        <v>25</v>
      </c>
      <c r="E272" t="s">
        <v>26</v>
      </c>
      <c r="F272" t="s">
        <v>15</v>
      </c>
      <c r="G272" t="s">
        <v>34</v>
      </c>
      <c r="H272">
        <v>4</v>
      </c>
      <c r="I272" s="30">
        <v>183.4</v>
      </c>
      <c r="J272" s="10">
        <v>733.6</v>
      </c>
      <c r="K272" t="s">
        <v>17</v>
      </c>
    </row>
    <row r="273" spans="1:11" x14ac:dyDescent="0.25">
      <c r="A273" s="1">
        <v>44686</v>
      </c>
      <c r="B273" t="s">
        <v>37</v>
      </c>
      <c r="C273" t="s">
        <v>29</v>
      </c>
      <c r="D273" t="s">
        <v>38</v>
      </c>
      <c r="E273" t="s">
        <v>30</v>
      </c>
      <c r="F273" t="s">
        <v>21</v>
      </c>
      <c r="G273" t="s">
        <v>34</v>
      </c>
      <c r="H273">
        <v>1</v>
      </c>
      <c r="I273" s="30">
        <v>271.44</v>
      </c>
      <c r="J273" s="10">
        <v>271.44</v>
      </c>
      <c r="K273" t="s">
        <v>23</v>
      </c>
    </row>
    <row r="274" spans="1:11" x14ac:dyDescent="0.25">
      <c r="A274" s="1">
        <v>44621</v>
      </c>
      <c r="B274" t="s">
        <v>37</v>
      </c>
      <c r="C274" t="s">
        <v>29</v>
      </c>
      <c r="D274" t="s">
        <v>38</v>
      </c>
      <c r="E274" t="s">
        <v>14</v>
      </c>
      <c r="F274" t="s">
        <v>15</v>
      </c>
      <c r="G274" t="s">
        <v>22</v>
      </c>
      <c r="H274">
        <v>2</v>
      </c>
      <c r="I274" s="30">
        <v>135.47999999999999</v>
      </c>
      <c r="J274" s="10">
        <v>270.95999999999998</v>
      </c>
      <c r="K274" t="s">
        <v>23</v>
      </c>
    </row>
    <row r="275" spans="1:11" x14ac:dyDescent="0.25">
      <c r="A275" s="1">
        <v>44582</v>
      </c>
      <c r="B275" t="s">
        <v>11</v>
      </c>
      <c r="C275" t="s">
        <v>12</v>
      </c>
      <c r="D275" t="s">
        <v>13</v>
      </c>
      <c r="E275" t="s">
        <v>30</v>
      </c>
      <c r="F275" t="s">
        <v>40</v>
      </c>
      <c r="G275" t="s">
        <v>16</v>
      </c>
      <c r="H275">
        <v>5</v>
      </c>
      <c r="I275" s="30">
        <v>148.46</v>
      </c>
      <c r="J275" s="10">
        <v>742.3</v>
      </c>
      <c r="K275" t="s">
        <v>17</v>
      </c>
    </row>
    <row r="276" spans="1:11" x14ac:dyDescent="0.25">
      <c r="A276" s="1">
        <v>44752</v>
      </c>
      <c r="B276" t="s">
        <v>45</v>
      </c>
      <c r="C276" t="s">
        <v>46</v>
      </c>
      <c r="D276" t="s">
        <v>47</v>
      </c>
      <c r="E276" t="s">
        <v>30</v>
      </c>
      <c r="F276" t="s">
        <v>32</v>
      </c>
      <c r="G276" t="s">
        <v>39</v>
      </c>
      <c r="H276">
        <v>5</v>
      </c>
      <c r="I276" s="30">
        <v>251.06</v>
      </c>
      <c r="J276" s="10">
        <v>1255.3</v>
      </c>
      <c r="K276" t="s">
        <v>35</v>
      </c>
    </row>
    <row r="277" spans="1:11" x14ac:dyDescent="0.25">
      <c r="A277" s="1">
        <v>44632</v>
      </c>
      <c r="B277" t="s">
        <v>45</v>
      </c>
      <c r="C277" t="s">
        <v>46</v>
      </c>
      <c r="D277" t="s">
        <v>47</v>
      </c>
      <c r="E277" t="s">
        <v>14</v>
      </c>
      <c r="F277" t="s">
        <v>21</v>
      </c>
      <c r="G277" t="s">
        <v>27</v>
      </c>
      <c r="H277">
        <v>2</v>
      </c>
      <c r="I277" s="30">
        <v>195.41</v>
      </c>
      <c r="J277" s="10">
        <v>390.82</v>
      </c>
      <c r="K277" t="s">
        <v>17</v>
      </c>
    </row>
    <row r="278" spans="1:11" x14ac:dyDescent="0.25">
      <c r="A278" s="1">
        <v>44583</v>
      </c>
      <c r="B278" t="s">
        <v>18</v>
      </c>
      <c r="C278" t="s">
        <v>19</v>
      </c>
      <c r="D278" t="s">
        <v>20</v>
      </c>
      <c r="E278" t="s">
        <v>14</v>
      </c>
      <c r="F278" t="s">
        <v>15</v>
      </c>
      <c r="G278" t="s">
        <v>43</v>
      </c>
      <c r="H278">
        <v>4</v>
      </c>
      <c r="I278" s="30">
        <v>206.29</v>
      </c>
      <c r="J278" s="10">
        <v>825.16</v>
      </c>
      <c r="K278" t="s">
        <v>36</v>
      </c>
    </row>
    <row r="279" spans="1:11" x14ac:dyDescent="0.25">
      <c r="A279" s="1">
        <v>44694</v>
      </c>
      <c r="B279" t="s">
        <v>45</v>
      </c>
      <c r="C279" t="s">
        <v>46</v>
      </c>
      <c r="D279" t="s">
        <v>47</v>
      </c>
      <c r="E279" t="s">
        <v>26</v>
      </c>
      <c r="F279" t="s">
        <v>21</v>
      </c>
      <c r="G279" t="s">
        <v>16</v>
      </c>
      <c r="H279">
        <v>4</v>
      </c>
      <c r="I279" s="30">
        <v>146.09</v>
      </c>
      <c r="J279" s="10">
        <v>584.36</v>
      </c>
      <c r="K279" t="s">
        <v>23</v>
      </c>
    </row>
    <row r="280" spans="1:11" x14ac:dyDescent="0.25">
      <c r="A280" s="1">
        <v>44707</v>
      </c>
      <c r="B280" t="s">
        <v>18</v>
      </c>
      <c r="C280" t="s">
        <v>19</v>
      </c>
      <c r="D280" t="s">
        <v>20</v>
      </c>
      <c r="E280" t="s">
        <v>26</v>
      </c>
      <c r="F280" t="s">
        <v>15</v>
      </c>
      <c r="G280" t="s">
        <v>22</v>
      </c>
      <c r="H280">
        <v>1</v>
      </c>
      <c r="I280" s="30">
        <v>284.3</v>
      </c>
      <c r="J280" s="10">
        <v>284.3</v>
      </c>
      <c r="K280" t="s">
        <v>17</v>
      </c>
    </row>
    <row r="281" spans="1:11" x14ac:dyDescent="0.25">
      <c r="A281" s="1">
        <v>44575</v>
      </c>
      <c r="B281" t="s">
        <v>48</v>
      </c>
      <c r="C281" t="s">
        <v>49</v>
      </c>
      <c r="D281" t="s">
        <v>50</v>
      </c>
      <c r="E281" t="s">
        <v>14</v>
      </c>
      <c r="F281" t="s">
        <v>15</v>
      </c>
      <c r="G281" t="s">
        <v>33</v>
      </c>
      <c r="H281">
        <v>5</v>
      </c>
      <c r="I281" s="30">
        <v>289.47000000000003</v>
      </c>
      <c r="J281" s="10">
        <v>1447.35</v>
      </c>
      <c r="K281" t="s">
        <v>17</v>
      </c>
    </row>
    <row r="282" spans="1:11" x14ac:dyDescent="0.25">
      <c r="A282" s="1">
        <v>44630</v>
      </c>
      <c r="B282" t="s">
        <v>28</v>
      </c>
      <c r="C282" t="s">
        <v>29</v>
      </c>
      <c r="D282" t="s">
        <v>25</v>
      </c>
      <c r="E282" t="s">
        <v>26</v>
      </c>
      <c r="F282" t="s">
        <v>40</v>
      </c>
      <c r="G282" t="s">
        <v>34</v>
      </c>
      <c r="H282">
        <v>2</v>
      </c>
      <c r="I282" s="30">
        <v>218.25</v>
      </c>
      <c r="J282" s="10">
        <v>436.5</v>
      </c>
      <c r="K282" t="s">
        <v>36</v>
      </c>
    </row>
    <row r="283" spans="1:11" x14ac:dyDescent="0.25">
      <c r="A283" s="1">
        <v>44750</v>
      </c>
      <c r="B283" t="s">
        <v>31</v>
      </c>
      <c r="C283" t="s">
        <v>19</v>
      </c>
      <c r="D283" t="s">
        <v>25</v>
      </c>
      <c r="E283" t="s">
        <v>30</v>
      </c>
      <c r="F283" t="s">
        <v>21</v>
      </c>
      <c r="G283" t="s">
        <v>43</v>
      </c>
      <c r="H283">
        <v>4</v>
      </c>
      <c r="I283" s="30">
        <v>204.62</v>
      </c>
      <c r="J283" s="10">
        <v>818.48</v>
      </c>
      <c r="K283" t="s">
        <v>36</v>
      </c>
    </row>
    <row r="284" spans="1:11" x14ac:dyDescent="0.25">
      <c r="A284" s="1">
        <v>44564</v>
      </c>
      <c r="B284" t="s">
        <v>48</v>
      </c>
      <c r="C284" t="s">
        <v>49</v>
      </c>
      <c r="D284" t="s">
        <v>50</v>
      </c>
      <c r="E284" t="s">
        <v>26</v>
      </c>
      <c r="F284" t="s">
        <v>15</v>
      </c>
      <c r="G284" t="s">
        <v>16</v>
      </c>
      <c r="H284">
        <v>2</v>
      </c>
      <c r="I284" s="30">
        <v>267.42</v>
      </c>
      <c r="J284" s="10">
        <v>534.84</v>
      </c>
      <c r="K284" t="s">
        <v>23</v>
      </c>
    </row>
    <row r="285" spans="1:11" x14ac:dyDescent="0.25">
      <c r="A285" s="1">
        <v>44653</v>
      </c>
      <c r="B285" t="s">
        <v>41</v>
      </c>
      <c r="C285" t="s">
        <v>29</v>
      </c>
      <c r="D285" t="s">
        <v>42</v>
      </c>
      <c r="E285" t="s">
        <v>30</v>
      </c>
      <c r="F285" t="s">
        <v>32</v>
      </c>
      <c r="G285" t="s">
        <v>27</v>
      </c>
      <c r="H285">
        <v>1</v>
      </c>
      <c r="I285" s="30">
        <v>144.59</v>
      </c>
      <c r="J285" s="10">
        <v>144.59</v>
      </c>
      <c r="K285" t="s">
        <v>35</v>
      </c>
    </row>
    <row r="286" spans="1:11" x14ac:dyDescent="0.25">
      <c r="A286" s="1">
        <v>44790</v>
      </c>
      <c r="B286" t="s">
        <v>18</v>
      </c>
      <c r="C286" t="s">
        <v>19</v>
      </c>
      <c r="D286" t="s">
        <v>20</v>
      </c>
      <c r="E286" t="s">
        <v>30</v>
      </c>
      <c r="F286" t="s">
        <v>40</v>
      </c>
      <c r="G286" t="s">
        <v>39</v>
      </c>
      <c r="H286">
        <v>2</v>
      </c>
      <c r="I286" s="30">
        <v>80.47</v>
      </c>
      <c r="J286" s="10">
        <v>160.94</v>
      </c>
      <c r="K286" t="s">
        <v>17</v>
      </c>
    </row>
    <row r="287" spans="1:11" x14ac:dyDescent="0.25">
      <c r="A287" s="1">
        <v>44677</v>
      </c>
      <c r="B287" t="s">
        <v>28</v>
      </c>
      <c r="C287" t="s">
        <v>29</v>
      </c>
      <c r="D287" t="s">
        <v>25</v>
      </c>
      <c r="E287" t="s">
        <v>30</v>
      </c>
      <c r="F287" t="s">
        <v>32</v>
      </c>
      <c r="G287" t="s">
        <v>39</v>
      </c>
      <c r="H287">
        <v>2</v>
      </c>
      <c r="I287" s="30">
        <v>98.17</v>
      </c>
      <c r="J287" s="10">
        <v>196.34</v>
      </c>
      <c r="K287" t="s">
        <v>17</v>
      </c>
    </row>
    <row r="288" spans="1:11" x14ac:dyDescent="0.25">
      <c r="A288" s="1">
        <v>44727</v>
      </c>
      <c r="B288" t="s">
        <v>37</v>
      </c>
      <c r="C288" t="s">
        <v>29</v>
      </c>
      <c r="D288" t="s">
        <v>38</v>
      </c>
      <c r="E288" t="s">
        <v>30</v>
      </c>
      <c r="F288" t="s">
        <v>40</v>
      </c>
      <c r="G288" t="s">
        <v>34</v>
      </c>
      <c r="H288">
        <v>2</v>
      </c>
      <c r="I288" s="30">
        <v>63.76</v>
      </c>
      <c r="J288" s="10">
        <v>127.52</v>
      </c>
      <c r="K288" t="s">
        <v>23</v>
      </c>
    </row>
    <row r="289" spans="1:11" x14ac:dyDescent="0.25">
      <c r="A289" s="1">
        <v>44657</v>
      </c>
      <c r="B289" t="s">
        <v>41</v>
      </c>
      <c r="C289" t="s">
        <v>29</v>
      </c>
      <c r="D289" t="s">
        <v>42</v>
      </c>
      <c r="E289" t="s">
        <v>30</v>
      </c>
      <c r="F289" t="s">
        <v>32</v>
      </c>
      <c r="G289" t="s">
        <v>34</v>
      </c>
      <c r="H289">
        <v>2</v>
      </c>
      <c r="I289" s="30">
        <v>157.12</v>
      </c>
      <c r="J289" s="10">
        <v>314.24</v>
      </c>
      <c r="K289" t="s">
        <v>17</v>
      </c>
    </row>
    <row r="290" spans="1:11" x14ac:dyDescent="0.25">
      <c r="A290" s="1">
        <v>44658</v>
      </c>
      <c r="B290" t="s">
        <v>41</v>
      </c>
      <c r="C290" t="s">
        <v>29</v>
      </c>
      <c r="D290" t="s">
        <v>42</v>
      </c>
      <c r="E290" t="s">
        <v>26</v>
      </c>
      <c r="F290" t="s">
        <v>32</v>
      </c>
      <c r="G290" t="s">
        <v>27</v>
      </c>
      <c r="H290">
        <v>5</v>
      </c>
      <c r="I290" s="30">
        <v>293.20999999999998</v>
      </c>
      <c r="J290" s="10">
        <v>1466.05</v>
      </c>
      <c r="K290" t="s">
        <v>23</v>
      </c>
    </row>
    <row r="291" spans="1:11" x14ac:dyDescent="0.25">
      <c r="A291" s="1">
        <v>44650</v>
      </c>
      <c r="B291" t="s">
        <v>37</v>
      </c>
      <c r="C291" t="s">
        <v>29</v>
      </c>
      <c r="D291" t="s">
        <v>38</v>
      </c>
      <c r="E291" t="s">
        <v>30</v>
      </c>
      <c r="F291" t="s">
        <v>21</v>
      </c>
      <c r="G291" t="s">
        <v>34</v>
      </c>
      <c r="H291">
        <v>2</v>
      </c>
      <c r="I291" s="30">
        <v>142.25</v>
      </c>
      <c r="J291" s="10">
        <v>284.5</v>
      </c>
      <c r="K291" t="s">
        <v>35</v>
      </c>
    </row>
    <row r="292" spans="1:11" x14ac:dyDescent="0.25">
      <c r="A292" s="1">
        <v>44744</v>
      </c>
      <c r="B292" t="s">
        <v>37</v>
      </c>
      <c r="C292" t="s">
        <v>29</v>
      </c>
      <c r="D292" t="s">
        <v>38</v>
      </c>
      <c r="E292" t="s">
        <v>30</v>
      </c>
      <c r="F292" t="s">
        <v>40</v>
      </c>
      <c r="G292" t="s">
        <v>16</v>
      </c>
      <c r="H292">
        <v>1</v>
      </c>
      <c r="I292" s="30">
        <v>86.17</v>
      </c>
      <c r="J292" s="10">
        <v>86.17</v>
      </c>
      <c r="K292" t="s">
        <v>36</v>
      </c>
    </row>
    <row r="293" spans="1:11" x14ac:dyDescent="0.25">
      <c r="A293" s="1">
        <v>44751</v>
      </c>
      <c r="B293" t="s">
        <v>28</v>
      </c>
      <c r="C293" t="s">
        <v>29</v>
      </c>
      <c r="D293" t="s">
        <v>25</v>
      </c>
      <c r="E293" t="s">
        <v>26</v>
      </c>
      <c r="F293" t="s">
        <v>15</v>
      </c>
      <c r="G293" t="s">
        <v>39</v>
      </c>
      <c r="H293">
        <v>3</v>
      </c>
      <c r="I293" s="30">
        <v>172.37</v>
      </c>
      <c r="J293" s="10">
        <v>517.11</v>
      </c>
      <c r="K293" t="s">
        <v>17</v>
      </c>
    </row>
    <row r="294" spans="1:11" x14ac:dyDescent="0.25">
      <c r="A294" s="1">
        <v>44597</v>
      </c>
      <c r="B294" t="s">
        <v>37</v>
      </c>
      <c r="C294" t="s">
        <v>29</v>
      </c>
      <c r="D294" t="s">
        <v>38</v>
      </c>
      <c r="E294" t="s">
        <v>30</v>
      </c>
      <c r="F294" t="s">
        <v>40</v>
      </c>
      <c r="G294" t="s">
        <v>43</v>
      </c>
      <c r="H294">
        <v>3</v>
      </c>
      <c r="I294" s="30">
        <v>236.05</v>
      </c>
      <c r="J294" s="10">
        <v>708.15</v>
      </c>
      <c r="K294" t="s">
        <v>35</v>
      </c>
    </row>
    <row r="295" spans="1:11" x14ac:dyDescent="0.25">
      <c r="A295" s="1">
        <v>44753</v>
      </c>
      <c r="B295" t="s">
        <v>28</v>
      </c>
      <c r="C295" t="s">
        <v>29</v>
      </c>
      <c r="D295" t="s">
        <v>25</v>
      </c>
      <c r="E295" t="s">
        <v>30</v>
      </c>
      <c r="F295" t="s">
        <v>21</v>
      </c>
      <c r="G295" t="s">
        <v>34</v>
      </c>
      <c r="H295">
        <v>3</v>
      </c>
      <c r="I295" s="30">
        <v>256.72000000000003</v>
      </c>
      <c r="J295" s="10">
        <v>770.16</v>
      </c>
      <c r="K295" t="s">
        <v>35</v>
      </c>
    </row>
    <row r="296" spans="1:11" x14ac:dyDescent="0.25">
      <c r="A296" s="1">
        <v>44714</v>
      </c>
      <c r="B296" t="s">
        <v>24</v>
      </c>
      <c r="C296" t="s">
        <v>19</v>
      </c>
      <c r="D296" t="s">
        <v>25</v>
      </c>
      <c r="E296" t="s">
        <v>30</v>
      </c>
      <c r="F296" t="s">
        <v>15</v>
      </c>
      <c r="G296" t="s">
        <v>34</v>
      </c>
      <c r="H296">
        <v>4</v>
      </c>
      <c r="I296" s="30">
        <v>205.64</v>
      </c>
      <c r="J296" s="10">
        <v>822.56</v>
      </c>
      <c r="K296" t="s">
        <v>36</v>
      </c>
    </row>
    <row r="297" spans="1:11" x14ac:dyDescent="0.25">
      <c r="A297" s="1">
        <v>44710</v>
      </c>
      <c r="B297" t="s">
        <v>37</v>
      </c>
      <c r="C297" t="s">
        <v>29</v>
      </c>
      <c r="D297" t="s">
        <v>38</v>
      </c>
      <c r="E297" t="s">
        <v>30</v>
      </c>
      <c r="F297" t="s">
        <v>21</v>
      </c>
      <c r="G297" t="s">
        <v>27</v>
      </c>
      <c r="H297">
        <v>4</v>
      </c>
      <c r="I297" s="30">
        <v>68.180000000000007</v>
      </c>
      <c r="J297" s="10">
        <v>272.72000000000003</v>
      </c>
      <c r="K297" t="s">
        <v>23</v>
      </c>
    </row>
    <row r="298" spans="1:11" x14ac:dyDescent="0.25">
      <c r="A298" s="1">
        <v>44641</v>
      </c>
      <c r="B298" t="s">
        <v>45</v>
      </c>
      <c r="C298" t="s">
        <v>46</v>
      </c>
      <c r="D298" t="s">
        <v>47</v>
      </c>
      <c r="E298" t="s">
        <v>30</v>
      </c>
      <c r="F298" t="s">
        <v>15</v>
      </c>
      <c r="G298" t="s">
        <v>33</v>
      </c>
      <c r="H298">
        <v>4</v>
      </c>
      <c r="I298" s="30">
        <v>68.97</v>
      </c>
      <c r="J298" s="10">
        <v>275.88</v>
      </c>
      <c r="K298" t="s">
        <v>17</v>
      </c>
    </row>
    <row r="299" spans="1:11" x14ac:dyDescent="0.25">
      <c r="A299" s="1">
        <v>44718</v>
      </c>
      <c r="B299" t="s">
        <v>28</v>
      </c>
      <c r="C299" t="s">
        <v>29</v>
      </c>
      <c r="D299" t="s">
        <v>25</v>
      </c>
      <c r="E299" t="s">
        <v>14</v>
      </c>
      <c r="F299" t="s">
        <v>15</v>
      </c>
      <c r="G299" t="s">
        <v>27</v>
      </c>
      <c r="H299">
        <v>5</v>
      </c>
      <c r="I299" s="30">
        <v>123.23</v>
      </c>
      <c r="J299" s="10">
        <v>616.15</v>
      </c>
      <c r="K299" t="s">
        <v>36</v>
      </c>
    </row>
    <row r="300" spans="1:11" x14ac:dyDescent="0.25">
      <c r="A300" s="1">
        <v>44797</v>
      </c>
      <c r="B300" t="s">
        <v>24</v>
      </c>
      <c r="C300" t="s">
        <v>19</v>
      </c>
      <c r="D300" t="s">
        <v>25</v>
      </c>
      <c r="E300" t="s">
        <v>26</v>
      </c>
      <c r="F300" t="s">
        <v>21</v>
      </c>
      <c r="G300" t="s">
        <v>33</v>
      </c>
      <c r="H300">
        <v>5</v>
      </c>
      <c r="I300" s="30">
        <v>273</v>
      </c>
      <c r="J300" s="10">
        <v>1365</v>
      </c>
      <c r="K300" t="s">
        <v>17</v>
      </c>
    </row>
    <row r="301" spans="1:11" x14ac:dyDescent="0.25">
      <c r="A301" s="1">
        <v>44602</v>
      </c>
      <c r="B301" t="s">
        <v>18</v>
      </c>
      <c r="C301" t="s">
        <v>19</v>
      </c>
      <c r="D301" t="s">
        <v>20</v>
      </c>
      <c r="E301" t="s">
        <v>26</v>
      </c>
      <c r="F301" t="s">
        <v>32</v>
      </c>
      <c r="G301" t="s">
        <v>39</v>
      </c>
      <c r="H301">
        <v>3</v>
      </c>
      <c r="I301" s="30">
        <v>225.84</v>
      </c>
      <c r="J301" s="10">
        <v>677.52</v>
      </c>
      <c r="K301" t="s">
        <v>17</v>
      </c>
    </row>
    <row r="302" spans="1:11" x14ac:dyDescent="0.25">
      <c r="A302" s="1">
        <v>44621</v>
      </c>
      <c r="B302" t="s">
        <v>31</v>
      </c>
      <c r="C302" t="s">
        <v>19</v>
      </c>
      <c r="D302" t="s">
        <v>25</v>
      </c>
      <c r="E302" t="s">
        <v>26</v>
      </c>
      <c r="F302" t="s">
        <v>40</v>
      </c>
      <c r="G302" t="s">
        <v>39</v>
      </c>
      <c r="H302">
        <v>3</v>
      </c>
      <c r="I302" s="30">
        <v>235.36</v>
      </c>
      <c r="J302" s="10">
        <v>706.08</v>
      </c>
      <c r="K302" t="s">
        <v>36</v>
      </c>
    </row>
    <row r="303" spans="1:11" x14ac:dyDescent="0.25">
      <c r="A303" s="1">
        <v>44637</v>
      </c>
      <c r="B303" t="s">
        <v>18</v>
      </c>
      <c r="C303" t="s">
        <v>19</v>
      </c>
      <c r="D303" t="s">
        <v>20</v>
      </c>
      <c r="E303" t="s">
        <v>26</v>
      </c>
      <c r="F303" t="s">
        <v>40</v>
      </c>
      <c r="G303" t="s">
        <v>43</v>
      </c>
      <c r="H303">
        <v>5</v>
      </c>
      <c r="I303" s="30">
        <v>189.94</v>
      </c>
      <c r="J303" s="10">
        <v>949.7</v>
      </c>
      <c r="K303" t="s">
        <v>23</v>
      </c>
    </row>
    <row r="304" spans="1:11" x14ac:dyDescent="0.25">
      <c r="A304" s="1">
        <v>44564</v>
      </c>
      <c r="B304" t="s">
        <v>37</v>
      </c>
      <c r="C304" t="s">
        <v>29</v>
      </c>
      <c r="D304" t="s">
        <v>38</v>
      </c>
      <c r="E304" t="s">
        <v>26</v>
      </c>
      <c r="F304" t="s">
        <v>32</v>
      </c>
      <c r="G304" t="s">
        <v>22</v>
      </c>
      <c r="H304">
        <v>3</v>
      </c>
      <c r="I304" s="30">
        <v>110.2</v>
      </c>
      <c r="J304" s="10">
        <v>330.6</v>
      </c>
      <c r="K304" t="s">
        <v>17</v>
      </c>
    </row>
    <row r="305" spans="1:11" x14ac:dyDescent="0.25">
      <c r="A305" s="1">
        <v>44741</v>
      </c>
      <c r="B305" t="s">
        <v>37</v>
      </c>
      <c r="C305" t="s">
        <v>29</v>
      </c>
      <c r="D305" t="s">
        <v>38</v>
      </c>
      <c r="E305" t="s">
        <v>14</v>
      </c>
      <c r="F305" t="s">
        <v>40</v>
      </c>
      <c r="G305" t="s">
        <v>27</v>
      </c>
      <c r="H305">
        <v>2</v>
      </c>
      <c r="I305" s="30">
        <v>54.76</v>
      </c>
      <c r="J305" s="10">
        <v>109.52</v>
      </c>
      <c r="K305" t="s">
        <v>36</v>
      </c>
    </row>
    <row r="306" spans="1:11" x14ac:dyDescent="0.25">
      <c r="A306" s="1">
        <v>44714</v>
      </c>
      <c r="B306" t="s">
        <v>41</v>
      </c>
      <c r="C306" t="s">
        <v>29</v>
      </c>
      <c r="D306" t="s">
        <v>42</v>
      </c>
      <c r="E306" t="s">
        <v>26</v>
      </c>
      <c r="F306" t="s">
        <v>40</v>
      </c>
      <c r="G306" t="s">
        <v>33</v>
      </c>
      <c r="H306">
        <v>1</v>
      </c>
      <c r="I306" s="30">
        <v>296.56</v>
      </c>
      <c r="J306" s="10">
        <v>296.56</v>
      </c>
      <c r="K306" t="s">
        <v>35</v>
      </c>
    </row>
    <row r="307" spans="1:11" x14ac:dyDescent="0.25">
      <c r="A307" s="1">
        <v>44716</v>
      </c>
      <c r="B307" t="s">
        <v>18</v>
      </c>
      <c r="C307" t="s">
        <v>19</v>
      </c>
      <c r="D307" t="s">
        <v>20</v>
      </c>
      <c r="E307" t="s">
        <v>26</v>
      </c>
      <c r="F307" t="s">
        <v>40</v>
      </c>
      <c r="G307" t="s">
        <v>33</v>
      </c>
      <c r="H307">
        <v>1</v>
      </c>
      <c r="I307" s="30">
        <v>296.51</v>
      </c>
      <c r="J307" s="10">
        <v>296.51</v>
      </c>
      <c r="K307" t="s">
        <v>36</v>
      </c>
    </row>
    <row r="308" spans="1:11" x14ac:dyDescent="0.25">
      <c r="A308" s="1">
        <v>44654</v>
      </c>
      <c r="B308" t="s">
        <v>48</v>
      </c>
      <c r="C308" t="s">
        <v>49</v>
      </c>
      <c r="D308" t="s">
        <v>50</v>
      </c>
      <c r="E308" t="s">
        <v>30</v>
      </c>
      <c r="F308" t="s">
        <v>32</v>
      </c>
      <c r="G308" t="s">
        <v>43</v>
      </c>
      <c r="H308">
        <v>1</v>
      </c>
      <c r="I308" s="30">
        <v>89.5</v>
      </c>
      <c r="J308" s="10">
        <v>89.5</v>
      </c>
      <c r="K308" t="s">
        <v>35</v>
      </c>
    </row>
    <row r="309" spans="1:11" x14ac:dyDescent="0.25">
      <c r="A309" s="1">
        <v>44636</v>
      </c>
      <c r="B309" t="s">
        <v>18</v>
      </c>
      <c r="C309" t="s">
        <v>19</v>
      </c>
      <c r="D309" t="s">
        <v>20</v>
      </c>
      <c r="E309" t="s">
        <v>14</v>
      </c>
      <c r="F309" t="s">
        <v>32</v>
      </c>
      <c r="G309" t="s">
        <v>34</v>
      </c>
      <c r="H309">
        <v>3</v>
      </c>
      <c r="I309" s="30">
        <v>280.64</v>
      </c>
      <c r="J309" s="10">
        <v>841.92</v>
      </c>
      <c r="K309" t="s">
        <v>17</v>
      </c>
    </row>
    <row r="310" spans="1:11" x14ac:dyDescent="0.25">
      <c r="A310" s="1">
        <v>44607</v>
      </c>
      <c r="B310" t="s">
        <v>28</v>
      </c>
      <c r="C310" t="s">
        <v>29</v>
      </c>
      <c r="D310" t="s">
        <v>25</v>
      </c>
      <c r="E310" t="s">
        <v>26</v>
      </c>
      <c r="F310" t="s">
        <v>21</v>
      </c>
      <c r="G310" t="s">
        <v>39</v>
      </c>
      <c r="H310">
        <v>5</v>
      </c>
      <c r="I310" s="30">
        <v>234.28</v>
      </c>
      <c r="J310" s="10">
        <v>1171.4000000000001</v>
      </c>
      <c r="K310" t="s">
        <v>23</v>
      </c>
    </row>
    <row r="311" spans="1:11" x14ac:dyDescent="0.25">
      <c r="A311" s="1">
        <v>44562</v>
      </c>
      <c r="B311" t="s">
        <v>24</v>
      </c>
      <c r="C311" t="s">
        <v>19</v>
      </c>
      <c r="D311" t="s">
        <v>25</v>
      </c>
      <c r="E311" t="s">
        <v>26</v>
      </c>
      <c r="F311" t="s">
        <v>21</v>
      </c>
      <c r="G311" t="s">
        <v>16</v>
      </c>
      <c r="H311">
        <v>2</v>
      </c>
      <c r="I311" s="30">
        <v>294.89</v>
      </c>
      <c r="J311" s="10">
        <v>589.78</v>
      </c>
      <c r="K311" t="s">
        <v>36</v>
      </c>
    </row>
    <row r="312" spans="1:11" x14ac:dyDescent="0.25">
      <c r="A312" s="1">
        <v>44630</v>
      </c>
      <c r="B312" t="s">
        <v>31</v>
      </c>
      <c r="C312" t="s">
        <v>19</v>
      </c>
      <c r="D312" t="s">
        <v>25</v>
      </c>
      <c r="E312" t="s">
        <v>26</v>
      </c>
      <c r="F312" t="s">
        <v>40</v>
      </c>
      <c r="G312" t="s">
        <v>22</v>
      </c>
      <c r="H312">
        <v>1</v>
      </c>
      <c r="I312" s="30">
        <v>208.24</v>
      </c>
      <c r="J312" s="10">
        <v>208.24</v>
      </c>
      <c r="K312" t="s">
        <v>23</v>
      </c>
    </row>
    <row r="313" spans="1:11" x14ac:dyDescent="0.25">
      <c r="A313" s="1">
        <v>44659</v>
      </c>
      <c r="B313" t="s">
        <v>31</v>
      </c>
      <c r="C313" t="s">
        <v>19</v>
      </c>
      <c r="D313" t="s">
        <v>25</v>
      </c>
      <c r="E313" t="s">
        <v>30</v>
      </c>
      <c r="F313" t="s">
        <v>32</v>
      </c>
      <c r="G313" t="s">
        <v>43</v>
      </c>
      <c r="H313">
        <v>5</v>
      </c>
      <c r="I313" s="30">
        <v>94.25</v>
      </c>
      <c r="J313" s="10">
        <v>471.25</v>
      </c>
      <c r="K313" t="s">
        <v>36</v>
      </c>
    </row>
    <row r="314" spans="1:11" x14ac:dyDescent="0.25">
      <c r="A314" s="1">
        <v>44776</v>
      </c>
      <c r="B314" t="s">
        <v>28</v>
      </c>
      <c r="C314" t="s">
        <v>29</v>
      </c>
      <c r="D314" t="s">
        <v>25</v>
      </c>
      <c r="E314" t="s">
        <v>26</v>
      </c>
      <c r="F314" t="s">
        <v>32</v>
      </c>
      <c r="G314" t="s">
        <v>27</v>
      </c>
      <c r="H314">
        <v>5</v>
      </c>
      <c r="I314" s="30">
        <v>259</v>
      </c>
      <c r="J314" s="10">
        <v>1295</v>
      </c>
      <c r="K314" t="s">
        <v>17</v>
      </c>
    </row>
    <row r="315" spans="1:11" x14ac:dyDescent="0.25">
      <c r="A315" s="1">
        <v>44686</v>
      </c>
      <c r="B315" t="s">
        <v>48</v>
      </c>
      <c r="C315" t="s">
        <v>49</v>
      </c>
      <c r="D315" t="s">
        <v>50</v>
      </c>
      <c r="E315" t="s">
        <v>26</v>
      </c>
      <c r="F315" t="s">
        <v>32</v>
      </c>
      <c r="G315" t="s">
        <v>27</v>
      </c>
      <c r="H315">
        <v>4</v>
      </c>
      <c r="I315" s="30">
        <v>299.73</v>
      </c>
      <c r="J315" s="10">
        <v>1198.92</v>
      </c>
      <c r="K315" t="s">
        <v>23</v>
      </c>
    </row>
    <row r="316" spans="1:11" x14ac:dyDescent="0.25">
      <c r="A316" s="1">
        <v>44700</v>
      </c>
      <c r="B316" t="s">
        <v>44</v>
      </c>
      <c r="C316" t="s">
        <v>19</v>
      </c>
      <c r="D316" t="s">
        <v>20</v>
      </c>
      <c r="E316" t="s">
        <v>30</v>
      </c>
      <c r="F316" t="s">
        <v>32</v>
      </c>
      <c r="G316" t="s">
        <v>39</v>
      </c>
      <c r="H316">
        <v>5</v>
      </c>
      <c r="I316" s="30">
        <v>71.260000000000005</v>
      </c>
      <c r="J316" s="10">
        <v>356.3</v>
      </c>
      <c r="K316" t="s">
        <v>23</v>
      </c>
    </row>
    <row r="317" spans="1:11" x14ac:dyDescent="0.25">
      <c r="A317" s="1">
        <v>44759</v>
      </c>
      <c r="B317" t="s">
        <v>24</v>
      </c>
      <c r="C317" t="s">
        <v>19</v>
      </c>
      <c r="D317" t="s">
        <v>25</v>
      </c>
      <c r="E317" t="s">
        <v>26</v>
      </c>
      <c r="F317" t="s">
        <v>15</v>
      </c>
      <c r="G317" t="s">
        <v>16</v>
      </c>
      <c r="H317">
        <v>5</v>
      </c>
      <c r="I317" s="30">
        <v>270.14</v>
      </c>
      <c r="J317" s="10">
        <v>1350.7</v>
      </c>
      <c r="K317" t="s">
        <v>36</v>
      </c>
    </row>
  </sheetData>
  <mergeCells count="4">
    <mergeCell ref="N27:P27"/>
    <mergeCell ref="N4:T4"/>
    <mergeCell ref="N24:P24"/>
    <mergeCell ref="N20:P20"/>
  </mergeCells>
  <pageMargins left="0.7" right="0.7" top="0.75" bottom="0.75" header="0.3" footer="0.3"/>
  <pageSetup orientation="portrait"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317"/>
  <sheetViews>
    <sheetView tabSelected="1" topLeftCell="H1" workbookViewId="0">
      <selection activeCell="P13" sqref="P13"/>
    </sheetView>
  </sheetViews>
  <sheetFormatPr defaultRowHeight="15" x14ac:dyDescent="0.25"/>
  <cols>
    <col min="1" max="1" width="10.42578125" bestFit="1" customWidth="1"/>
    <col min="2" max="2" width="10.42578125" customWidth="1"/>
    <col min="3" max="3" width="24.42578125" bestFit="1" customWidth="1"/>
    <col min="4" max="4" width="14.85546875" bestFit="1" customWidth="1"/>
    <col min="5" max="6" width="10" bestFit="1" customWidth="1"/>
    <col min="7" max="7" width="14.5703125" bestFit="1" customWidth="1"/>
    <col min="8" max="8" width="10.140625" customWidth="1"/>
    <col min="9" max="9" width="10.85546875" customWidth="1"/>
    <col min="10" max="10" width="14.7109375" customWidth="1"/>
    <col min="11" max="11" width="13.28515625" bestFit="1" customWidth="1"/>
    <col min="12" max="12" width="17" bestFit="1" customWidth="1"/>
    <col min="14" max="14" width="13.140625" bestFit="1" customWidth="1"/>
    <col min="15" max="15" width="17.85546875" bestFit="1" customWidth="1"/>
    <col min="16" max="16" width="16.28515625" bestFit="1" customWidth="1"/>
    <col min="17" max="17" width="13.85546875" customWidth="1"/>
    <col min="18" max="18" width="11.28515625" bestFit="1" customWidth="1"/>
    <col min="19" max="19" width="10.85546875" bestFit="1" customWidth="1"/>
    <col min="20" max="20" width="11.28515625" bestFit="1" customWidth="1"/>
  </cols>
  <sheetData>
    <row r="1" spans="1:21" x14ac:dyDescent="0.25">
      <c r="A1" t="s">
        <v>0</v>
      </c>
      <c r="B1" t="s">
        <v>65</v>
      </c>
      <c r="C1" t="s">
        <v>1</v>
      </c>
      <c r="D1" t="s">
        <v>2</v>
      </c>
      <c r="E1" t="s">
        <v>3</v>
      </c>
      <c r="F1" t="s">
        <v>4</v>
      </c>
      <c r="G1" t="s">
        <v>5</v>
      </c>
      <c r="H1" t="s">
        <v>6</v>
      </c>
      <c r="I1" t="s">
        <v>7</v>
      </c>
      <c r="J1" t="s">
        <v>8</v>
      </c>
      <c r="K1" t="s">
        <v>9</v>
      </c>
      <c r="L1" t="s">
        <v>10</v>
      </c>
    </row>
    <row r="2" spans="1:21" x14ac:dyDescent="0.25">
      <c r="A2" s="1">
        <v>44708</v>
      </c>
      <c r="B2" s="1" t="str">
        <f>TEXT(Table134[Date],"mm-yyyy")</f>
        <v>05-2022</v>
      </c>
      <c r="C2" t="s">
        <v>11</v>
      </c>
      <c r="D2" t="s">
        <v>12</v>
      </c>
      <c r="E2" t="s">
        <v>13</v>
      </c>
      <c r="F2" t="s">
        <v>14</v>
      </c>
      <c r="G2" t="s">
        <v>15</v>
      </c>
      <c r="H2" t="s">
        <v>16</v>
      </c>
      <c r="I2">
        <v>5</v>
      </c>
      <c r="J2">
        <v>141.82</v>
      </c>
      <c r="K2">
        <v>709.1</v>
      </c>
      <c r="L2" t="s">
        <v>17</v>
      </c>
    </row>
    <row r="3" spans="1:21" x14ac:dyDescent="0.25">
      <c r="A3" s="1">
        <v>44679</v>
      </c>
      <c r="B3" s="1" t="str">
        <f>TEXT(Table134[Date],"mm-yyyy")</f>
        <v>04-2022</v>
      </c>
      <c r="C3" t="s">
        <v>18</v>
      </c>
      <c r="D3" t="s">
        <v>19</v>
      </c>
      <c r="E3" t="s">
        <v>20</v>
      </c>
      <c r="F3" t="s">
        <v>14</v>
      </c>
      <c r="G3" t="s">
        <v>40</v>
      </c>
      <c r="H3" t="s">
        <v>33</v>
      </c>
      <c r="I3">
        <v>1</v>
      </c>
      <c r="J3">
        <v>70.69</v>
      </c>
      <c r="K3">
        <v>70.69</v>
      </c>
      <c r="L3" t="s">
        <v>35</v>
      </c>
    </row>
    <row r="4" spans="1:21" ht="15.75" x14ac:dyDescent="0.25">
      <c r="A4" s="1">
        <v>44633</v>
      </c>
      <c r="B4" s="1" t="str">
        <f>TEXT(Table134[Date],"mm-yyyy")</f>
        <v>03-2022</v>
      </c>
      <c r="C4" t="s">
        <v>37</v>
      </c>
      <c r="D4" t="s">
        <v>29</v>
      </c>
      <c r="E4" t="s">
        <v>38</v>
      </c>
      <c r="F4" t="s">
        <v>26</v>
      </c>
      <c r="G4" t="s">
        <v>32</v>
      </c>
      <c r="H4" t="s">
        <v>34</v>
      </c>
      <c r="I4">
        <v>1</v>
      </c>
      <c r="J4">
        <v>89.14</v>
      </c>
      <c r="K4">
        <v>89.14</v>
      </c>
      <c r="L4" t="s">
        <v>23</v>
      </c>
      <c r="N4" s="2" t="s">
        <v>118</v>
      </c>
      <c r="O4" s="31" t="s">
        <v>119</v>
      </c>
      <c r="P4" s="31"/>
      <c r="Q4" s="31"/>
      <c r="R4" s="31"/>
    </row>
    <row r="5" spans="1:21" hidden="1" x14ac:dyDescent="0.25">
      <c r="A5" s="1">
        <v>44766</v>
      </c>
      <c r="B5" s="1" t="str">
        <f>TEXT(Table134[Date],"mm-yyyy")</f>
        <v>07-2022</v>
      </c>
      <c r="C5" t="s">
        <v>45</v>
      </c>
      <c r="D5" t="s">
        <v>46</v>
      </c>
      <c r="E5" t="s">
        <v>47</v>
      </c>
      <c r="F5" t="s">
        <v>14</v>
      </c>
      <c r="G5" t="s">
        <v>15</v>
      </c>
      <c r="H5" t="s">
        <v>43</v>
      </c>
      <c r="I5">
        <v>4</v>
      </c>
      <c r="J5">
        <v>135.07</v>
      </c>
      <c r="K5">
        <v>540.28</v>
      </c>
      <c r="L5" t="s">
        <v>23</v>
      </c>
    </row>
    <row r="6" spans="1:21" x14ac:dyDescent="0.25">
      <c r="A6" s="1">
        <v>44723</v>
      </c>
      <c r="B6" s="1" t="str">
        <f>TEXT(Table134[Date],"mm-yyyy")</f>
        <v>06-2022</v>
      </c>
      <c r="C6" t="s">
        <v>44</v>
      </c>
      <c r="D6" t="s">
        <v>19</v>
      </c>
      <c r="E6" t="s">
        <v>20</v>
      </c>
      <c r="F6" t="s">
        <v>30</v>
      </c>
      <c r="G6" t="s">
        <v>21</v>
      </c>
      <c r="H6" t="s">
        <v>27</v>
      </c>
      <c r="I6">
        <v>2</v>
      </c>
      <c r="J6">
        <v>223</v>
      </c>
      <c r="K6">
        <v>446</v>
      </c>
      <c r="L6" t="s">
        <v>23</v>
      </c>
    </row>
    <row r="7" spans="1:21" x14ac:dyDescent="0.25">
      <c r="A7" s="1">
        <v>44740</v>
      </c>
      <c r="B7" s="1" t="str">
        <f>TEXT(Table134[Date],"mm-yyyy")</f>
        <v>06-2022</v>
      </c>
      <c r="C7" t="s">
        <v>11</v>
      </c>
      <c r="D7" t="s">
        <v>12</v>
      </c>
      <c r="E7" t="s">
        <v>13</v>
      </c>
      <c r="F7" t="s">
        <v>14</v>
      </c>
      <c r="G7" t="s">
        <v>15</v>
      </c>
      <c r="H7" t="s">
        <v>34</v>
      </c>
      <c r="I7">
        <v>4</v>
      </c>
      <c r="J7">
        <v>238.52</v>
      </c>
      <c r="K7">
        <v>954.08</v>
      </c>
      <c r="L7" t="s">
        <v>23</v>
      </c>
    </row>
    <row r="8" spans="1:21" x14ac:dyDescent="0.25">
      <c r="A8" s="1">
        <v>44754</v>
      </c>
      <c r="B8" s="1" t="str">
        <f>TEXT(Table134[Date],"mm-yyyy")</f>
        <v>07-2022</v>
      </c>
      <c r="C8" t="s">
        <v>28</v>
      </c>
      <c r="D8" t="s">
        <v>29</v>
      </c>
      <c r="E8" t="s">
        <v>25</v>
      </c>
      <c r="F8" t="s">
        <v>26</v>
      </c>
      <c r="G8" t="s">
        <v>32</v>
      </c>
      <c r="H8" t="s">
        <v>33</v>
      </c>
      <c r="I8">
        <v>5</v>
      </c>
      <c r="J8">
        <v>120.55</v>
      </c>
      <c r="K8">
        <v>602.75</v>
      </c>
      <c r="L8" t="s">
        <v>35</v>
      </c>
      <c r="O8" s="3" t="s">
        <v>56</v>
      </c>
      <c r="P8" s="3" t="s">
        <v>74</v>
      </c>
    </row>
    <row r="9" spans="1:21" hidden="1" x14ac:dyDescent="0.25">
      <c r="A9" s="1">
        <v>44605</v>
      </c>
      <c r="B9" s="1" t="str">
        <f>TEXT(Table134[Date],"mm-yyyy")</f>
        <v>02-2022</v>
      </c>
      <c r="C9" t="s">
        <v>45</v>
      </c>
      <c r="D9" t="s">
        <v>46</v>
      </c>
      <c r="E9" t="s">
        <v>47</v>
      </c>
      <c r="F9" t="s">
        <v>26</v>
      </c>
      <c r="G9" t="s">
        <v>21</v>
      </c>
      <c r="H9" t="s">
        <v>27</v>
      </c>
      <c r="I9">
        <v>4</v>
      </c>
      <c r="J9">
        <v>212.66</v>
      </c>
      <c r="K9">
        <v>850.64</v>
      </c>
      <c r="L9" t="s">
        <v>36</v>
      </c>
      <c r="O9" s="3" t="s">
        <v>54</v>
      </c>
      <c r="P9" t="s">
        <v>15</v>
      </c>
      <c r="Q9" t="s">
        <v>21</v>
      </c>
      <c r="R9" t="s">
        <v>55</v>
      </c>
    </row>
    <row r="10" spans="1:21" x14ac:dyDescent="0.25">
      <c r="A10" s="1">
        <v>44752</v>
      </c>
      <c r="B10" s="1" t="str">
        <f>TEXT(Table134[Date],"mm-yyyy")</f>
        <v>07-2022</v>
      </c>
      <c r="C10" t="s">
        <v>37</v>
      </c>
      <c r="D10" t="s">
        <v>29</v>
      </c>
      <c r="E10" t="s">
        <v>38</v>
      </c>
      <c r="F10" t="s">
        <v>26</v>
      </c>
      <c r="G10" t="s">
        <v>21</v>
      </c>
      <c r="H10" t="s">
        <v>39</v>
      </c>
      <c r="I10">
        <v>5</v>
      </c>
      <c r="J10">
        <v>256.22000000000003</v>
      </c>
      <c r="K10">
        <v>1281.0999999999999</v>
      </c>
      <c r="L10" t="s">
        <v>36</v>
      </c>
      <c r="O10" s="4" t="s">
        <v>66</v>
      </c>
      <c r="P10" s="6">
        <v>9378.09</v>
      </c>
      <c r="Q10" s="6">
        <v>3412.5600000000004</v>
      </c>
      <c r="R10" s="6">
        <v>12790.650000000001</v>
      </c>
      <c r="T10" s="6">
        <v>9378.09</v>
      </c>
      <c r="U10" s="6">
        <v>3412.5600000000004</v>
      </c>
    </row>
    <row r="11" spans="1:21" x14ac:dyDescent="0.25">
      <c r="A11" s="1">
        <v>44583</v>
      </c>
      <c r="B11" s="1" t="str">
        <f>TEXT(Table134[Date],"mm-yyyy")</f>
        <v>01-2022</v>
      </c>
      <c r="C11" t="s">
        <v>31</v>
      </c>
      <c r="D11" t="s">
        <v>19</v>
      </c>
      <c r="E11" t="s">
        <v>25</v>
      </c>
      <c r="F11" t="s">
        <v>14</v>
      </c>
      <c r="G11" t="s">
        <v>32</v>
      </c>
      <c r="H11" t="s">
        <v>39</v>
      </c>
      <c r="I11">
        <v>4</v>
      </c>
      <c r="J11">
        <v>124.4</v>
      </c>
      <c r="K11">
        <v>497.6</v>
      </c>
      <c r="L11" t="s">
        <v>36</v>
      </c>
      <c r="O11" s="4" t="s">
        <v>67</v>
      </c>
      <c r="P11" s="6">
        <v>155.43</v>
      </c>
      <c r="Q11" s="6">
        <v>6377.7400000000007</v>
      </c>
      <c r="R11" s="6">
        <v>6533.170000000001</v>
      </c>
      <c r="T11" s="6">
        <v>155.43</v>
      </c>
      <c r="U11" s="6">
        <v>6377.7400000000007</v>
      </c>
    </row>
    <row r="12" spans="1:21" x14ac:dyDescent="0.25">
      <c r="A12" s="1">
        <v>44730</v>
      </c>
      <c r="B12" s="1" t="str">
        <f>TEXT(Table134[Date],"mm-yyyy")</f>
        <v>06-2022</v>
      </c>
      <c r="C12" t="s">
        <v>31</v>
      </c>
      <c r="D12" t="s">
        <v>19</v>
      </c>
      <c r="E12" t="s">
        <v>25</v>
      </c>
      <c r="F12" t="s">
        <v>26</v>
      </c>
      <c r="G12" t="s">
        <v>32</v>
      </c>
      <c r="H12" t="s">
        <v>27</v>
      </c>
      <c r="I12">
        <v>2</v>
      </c>
      <c r="J12">
        <v>80.33</v>
      </c>
      <c r="K12">
        <v>160.66</v>
      </c>
      <c r="L12" t="s">
        <v>17</v>
      </c>
      <c r="O12" s="4" t="s">
        <v>68</v>
      </c>
      <c r="P12" s="6">
        <v>5112.08</v>
      </c>
      <c r="Q12" s="6">
        <v>10227.560000000001</v>
      </c>
      <c r="R12" s="6">
        <v>15339.640000000001</v>
      </c>
      <c r="T12" s="6">
        <v>5112.08</v>
      </c>
      <c r="U12" s="6">
        <v>10227.560000000001</v>
      </c>
    </row>
    <row r="13" spans="1:21" x14ac:dyDescent="0.25">
      <c r="A13" s="1">
        <v>44638</v>
      </c>
      <c r="B13" s="1" t="str">
        <f>TEXT(Table134[Date],"mm-yyyy")</f>
        <v>03-2022</v>
      </c>
      <c r="C13" t="s">
        <v>41</v>
      </c>
      <c r="D13" t="s">
        <v>29</v>
      </c>
      <c r="E13" t="s">
        <v>42</v>
      </c>
      <c r="F13" t="s">
        <v>14</v>
      </c>
      <c r="G13" t="s">
        <v>40</v>
      </c>
      <c r="H13" t="s">
        <v>39</v>
      </c>
      <c r="I13">
        <v>5</v>
      </c>
      <c r="J13">
        <v>58.65</v>
      </c>
      <c r="K13">
        <v>293.25</v>
      </c>
      <c r="L13" t="s">
        <v>35</v>
      </c>
      <c r="O13" s="4" t="s">
        <v>69</v>
      </c>
      <c r="P13" s="6"/>
      <c r="Q13" s="6">
        <v>6805.6100000000006</v>
      </c>
      <c r="R13" s="6">
        <v>6805.6100000000006</v>
      </c>
      <c r="T13" s="6"/>
      <c r="U13" s="6">
        <v>6805.6100000000006</v>
      </c>
    </row>
    <row r="14" spans="1:21" x14ac:dyDescent="0.25">
      <c r="A14" s="1">
        <v>44794</v>
      </c>
      <c r="B14" s="1" t="str">
        <f>TEXT(Table134[Date],"mm-yyyy")</f>
        <v>08-2022</v>
      </c>
      <c r="C14" t="s">
        <v>24</v>
      </c>
      <c r="D14" t="s">
        <v>19</v>
      </c>
      <c r="E14" t="s">
        <v>25</v>
      </c>
      <c r="F14" t="s">
        <v>26</v>
      </c>
      <c r="G14" t="s">
        <v>21</v>
      </c>
      <c r="H14" t="s">
        <v>22</v>
      </c>
      <c r="I14">
        <v>5</v>
      </c>
      <c r="J14">
        <v>183.55</v>
      </c>
      <c r="K14">
        <v>917.75</v>
      </c>
      <c r="L14" t="s">
        <v>23</v>
      </c>
      <c r="O14" s="4" t="s">
        <v>70</v>
      </c>
      <c r="P14" s="6">
        <v>1739.01</v>
      </c>
      <c r="Q14" s="6">
        <v>4645.68</v>
      </c>
      <c r="R14" s="6">
        <v>6384.6900000000005</v>
      </c>
      <c r="T14" s="6">
        <v>1739.01</v>
      </c>
      <c r="U14" s="6">
        <v>4645.68</v>
      </c>
    </row>
    <row r="15" spans="1:21" hidden="1" x14ac:dyDescent="0.25">
      <c r="A15" s="1">
        <v>44749</v>
      </c>
      <c r="B15" s="1" t="str">
        <f>TEXT(Table134[Date],"mm-yyyy")</f>
        <v>07-2022</v>
      </c>
      <c r="C15" t="s">
        <v>48</v>
      </c>
      <c r="D15" t="s">
        <v>49</v>
      </c>
      <c r="E15" t="s">
        <v>50</v>
      </c>
      <c r="F15" t="s">
        <v>14</v>
      </c>
      <c r="G15" t="s">
        <v>21</v>
      </c>
      <c r="H15" t="s">
        <v>39</v>
      </c>
      <c r="I15">
        <v>2</v>
      </c>
      <c r="J15">
        <v>210.77</v>
      </c>
      <c r="K15">
        <v>421.54</v>
      </c>
      <c r="L15" t="s">
        <v>17</v>
      </c>
      <c r="O15" s="4" t="s">
        <v>71</v>
      </c>
      <c r="P15" s="6">
        <v>7045.93</v>
      </c>
      <c r="Q15" s="6">
        <v>5019.57</v>
      </c>
      <c r="R15" s="6">
        <v>12065.5</v>
      </c>
      <c r="T15" s="6">
        <v>7045.93</v>
      </c>
      <c r="U15" s="6">
        <v>5019.57</v>
      </c>
    </row>
    <row r="16" spans="1:21" x14ac:dyDescent="0.25">
      <c r="A16" s="1">
        <v>44692</v>
      </c>
      <c r="B16" s="1" t="str">
        <f>TEXT(Table134[Date],"mm-yyyy")</f>
        <v>05-2022</v>
      </c>
      <c r="C16" t="s">
        <v>18</v>
      </c>
      <c r="D16" t="s">
        <v>19</v>
      </c>
      <c r="E16" t="s">
        <v>20</v>
      </c>
      <c r="F16" t="s">
        <v>14</v>
      </c>
      <c r="G16" t="s">
        <v>32</v>
      </c>
      <c r="H16" t="s">
        <v>27</v>
      </c>
      <c r="I16">
        <v>4</v>
      </c>
      <c r="J16">
        <v>218.82</v>
      </c>
      <c r="K16">
        <v>875.28</v>
      </c>
      <c r="L16" t="s">
        <v>36</v>
      </c>
      <c r="O16" s="4" t="s">
        <v>72</v>
      </c>
      <c r="P16" s="6">
        <v>10479.799999999999</v>
      </c>
      <c r="Q16" s="6">
        <v>6201.66</v>
      </c>
      <c r="R16" s="6">
        <v>16681.46</v>
      </c>
      <c r="T16" s="6">
        <v>10479.799999999999</v>
      </c>
      <c r="U16" s="6">
        <v>6201.66</v>
      </c>
    </row>
    <row r="17" spans="1:21" x14ac:dyDescent="0.25">
      <c r="A17" s="1">
        <v>44729</v>
      </c>
      <c r="B17" s="1" t="str">
        <f>TEXT(Table134[Date],"mm-yyyy")</f>
        <v>06-2022</v>
      </c>
      <c r="C17" t="s">
        <v>11</v>
      </c>
      <c r="D17" t="s">
        <v>12</v>
      </c>
      <c r="E17" t="s">
        <v>13</v>
      </c>
      <c r="F17" t="s">
        <v>26</v>
      </c>
      <c r="G17" t="s">
        <v>40</v>
      </c>
      <c r="H17" t="s">
        <v>34</v>
      </c>
      <c r="I17">
        <v>5</v>
      </c>
      <c r="J17">
        <v>133.74</v>
      </c>
      <c r="K17">
        <v>668.7</v>
      </c>
      <c r="L17" t="s">
        <v>17</v>
      </c>
      <c r="O17" s="4" t="s">
        <v>73</v>
      </c>
      <c r="P17" s="6">
        <v>6524.6499999999987</v>
      </c>
      <c r="Q17" s="6">
        <v>5165.12</v>
      </c>
      <c r="R17" s="6">
        <v>11689.769999999999</v>
      </c>
      <c r="T17" s="6">
        <v>6524.6499999999987</v>
      </c>
      <c r="U17" s="6">
        <v>5165.12</v>
      </c>
    </row>
    <row r="18" spans="1:21" x14ac:dyDescent="0.25">
      <c r="A18" s="1">
        <v>44705</v>
      </c>
      <c r="B18" s="1" t="str">
        <f>TEXT(Table134[Date],"mm-yyyy")</f>
        <v>05-2022</v>
      </c>
      <c r="C18" t="s">
        <v>44</v>
      </c>
      <c r="D18" t="s">
        <v>19</v>
      </c>
      <c r="E18" t="s">
        <v>20</v>
      </c>
      <c r="F18" t="s">
        <v>26</v>
      </c>
      <c r="G18" t="s">
        <v>32</v>
      </c>
      <c r="H18" t="s">
        <v>34</v>
      </c>
      <c r="I18">
        <v>1</v>
      </c>
      <c r="J18">
        <v>208.47</v>
      </c>
      <c r="K18">
        <v>208.47</v>
      </c>
      <c r="L18" t="s">
        <v>23</v>
      </c>
      <c r="O18" s="4" t="s">
        <v>55</v>
      </c>
      <c r="P18" s="6">
        <v>40434.99</v>
      </c>
      <c r="Q18" s="6">
        <v>47855.500000000007</v>
      </c>
      <c r="R18" s="6">
        <v>88290.49</v>
      </c>
    </row>
    <row r="19" spans="1:21" x14ac:dyDescent="0.25">
      <c r="A19" s="1">
        <v>44709</v>
      </c>
      <c r="B19" s="1" t="str">
        <f>TEXT(Table134[Date],"mm-yyyy")</f>
        <v>05-2022</v>
      </c>
      <c r="C19" t="s">
        <v>37</v>
      </c>
      <c r="D19" t="s">
        <v>29</v>
      </c>
      <c r="E19" t="s">
        <v>38</v>
      </c>
      <c r="F19" t="s">
        <v>14</v>
      </c>
      <c r="G19" t="s">
        <v>15</v>
      </c>
      <c r="H19" t="s">
        <v>39</v>
      </c>
      <c r="I19">
        <v>1</v>
      </c>
      <c r="J19">
        <v>180.42</v>
      </c>
      <c r="K19">
        <v>180.42</v>
      </c>
      <c r="L19" t="s">
        <v>23</v>
      </c>
    </row>
    <row r="20" spans="1:21" hidden="1" x14ac:dyDescent="0.25">
      <c r="A20" s="1">
        <v>44741</v>
      </c>
      <c r="B20" s="1" t="str">
        <f>TEXT(Table134[Date],"mm-yyyy")</f>
        <v>06-2022</v>
      </c>
      <c r="C20" t="s">
        <v>48</v>
      </c>
      <c r="D20" t="s">
        <v>49</v>
      </c>
      <c r="E20" t="s">
        <v>50</v>
      </c>
      <c r="F20" t="s">
        <v>30</v>
      </c>
      <c r="G20" t="s">
        <v>32</v>
      </c>
      <c r="H20" t="s">
        <v>16</v>
      </c>
      <c r="I20">
        <v>3</v>
      </c>
      <c r="J20">
        <v>127.36</v>
      </c>
      <c r="K20">
        <v>382.08</v>
      </c>
      <c r="L20" t="s">
        <v>17</v>
      </c>
    </row>
    <row r="21" spans="1:21" x14ac:dyDescent="0.25">
      <c r="A21" s="1">
        <v>44706</v>
      </c>
      <c r="B21" s="1" t="str">
        <f>TEXT(Table134[Date],"mm-yyyy")</f>
        <v>05-2022</v>
      </c>
      <c r="C21" t="s">
        <v>41</v>
      </c>
      <c r="D21" t="s">
        <v>29</v>
      </c>
      <c r="E21" t="s">
        <v>42</v>
      </c>
      <c r="F21" t="s">
        <v>30</v>
      </c>
      <c r="G21" t="s">
        <v>21</v>
      </c>
      <c r="H21" t="s">
        <v>16</v>
      </c>
      <c r="I21">
        <v>3</v>
      </c>
      <c r="J21">
        <v>149.51</v>
      </c>
      <c r="K21">
        <v>448.53</v>
      </c>
      <c r="L21" t="s">
        <v>23</v>
      </c>
    </row>
    <row r="22" spans="1:21" hidden="1" x14ac:dyDescent="0.25">
      <c r="A22" s="1">
        <v>44629</v>
      </c>
      <c r="B22" s="1" t="str">
        <f>TEXT(Table134[Date],"mm-yyyy")</f>
        <v>03-2022</v>
      </c>
      <c r="C22" t="s">
        <v>45</v>
      </c>
      <c r="D22" t="s">
        <v>46</v>
      </c>
      <c r="E22" t="s">
        <v>47</v>
      </c>
      <c r="F22" t="s">
        <v>30</v>
      </c>
      <c r="G22" t="s">
        <v>32</v>
      </c>
      <c r="H22" t="s">
        <v>43</v>
      </c>
      <c r="I22">
        <v>3</v>
      </c>
      <c r="J22">
        <v>136.36000000000001</v>
      </c>
      <c r="K22">
        <v>409.08</v>
      </c>
      <c r="L22" t="s">
        <v>17</v>
      </c>
    </row>
    <row r="23" spans="1:21" x14ac:dyDescent="0.25">
      <c r="A23" s="1">
        <v>44794</v>
      </c>
      <c r="B23" s="1" t="str">
        <f>TEXT(Table134[Date],"mm-yyyy")</f>
        <v>08-2022</v>
      </c>
      <c r="C23" t="s">
        <v>28</v>
      </c>
      <c r="D23" t="s">
        <v>29</v>
      </c>
      <c r="E23" t="s">
        <v>25</v>
      </c>
      <c r="F23" t="s">
        <v>14</v>
      </c>
      <c r="G23" t="s">
        <v>32</v>
      </c>
      <c r="H23" t="s">
        <v>34</v>
      </c>
      <c r="I23">
        <v>5</v>
      </c>
      <c r="J23">
        <v>162.38</v>
      </c>
      <c r="K23">
        <v>811.9</v>
      </c>
      <c r="L23" t="s">
        <v>17</v>
      </c>
      <c r="O23" s="35" t="s">
        <v>120</v>
      </c>
      <c r="P23" s="35"/>
      <c r="Q23" s="35"/>
    </row>
    <row r="24" spans="1:21" hidden="1" x14ac:dyDescent="0.25">
      <c r="A24" s="1">
        <v>44708</v>
      </c>
      <c r="B24" s="1" t="str">
        <f>TEXT(Table134[Date],"mm-yyyy")</f>
        <v>05-2022</v>
      </c>
      <c r="C24" t="s">
        <v>48</v>
      </c>
      <c r="D24" t="s">
        <v>49</v>
      </c>
      <c r="E24" t="s">
        <v>50</v>
      </c>
      <c r="F24" t="s">
        <v>26</v>
      </c>
      <c r="G24" t="s">
        <v>40</v>
      </c>
      <c r="H24" t="s">
        <v>33</v>
      </c>
      <c r="I24">
        <v>2</v>
      </c>
      <c r="J24">
        <v>259.66000000000003</v>
      </c>
      <c r="K24">
        <v>519.32000000000005</v>
      </c>
      <c r="L24" t="s">
        <v>36</v>
      </c>
    </row>
    <row r="25" spans="1:21" x14ac:dyDescent="0.25">
      <c r="A25" s="1">
        <v>44703</v>
      </c>
      <c r="B25" s="1" t="str">
        <f>TEXT(Table134[Date],"mm-yyyy")</f>
        <v>05-2022</v>
      </c>
      <c r="C25" t="s">
        <v>37</v>
      </c>
      <c r="D25" t="s">
        <v>29</v>
      </c>
      <c r="E25" t="s">
        <v>38</v>
      </c>
      <c r="F25" t="s">
        <v>30</v>
      </c>
      <c r="G25" t="s">
        <v>21</v>
      </c>
      <c r="H25" t="s">
        <v>39</v>
      </c>
      <c r="I25">
        <v>1</v>
      </c>
      <c r="J25">
        <v>180.39</v>
      </c>
      <c r="K25">
        <v>180.39</v>
      </c>
      <c r="L25" t="s">
        <v>17</v>
      </c>
      <c r="O25" s="13" t="s">
        <v>121</v>
      </c>
      <c r="P25" s="13" t="s">
        <v>122</v>
      </c>
      <c r="Q25" s="13" t="s">
        <v>21</v>
      </c>
    </row>
    <row r="26" spans="1:21" x14ac:dyDescent="0.25">
      <c r="A26" s="1">
        <v>44714</v>
      </c>
      <c r="B26" s="1" t="str">
        <f>TEXT(Table134[Date],"mm-yyyy")</f>
        <v>06-2022</v>
      </c>
      <c r="C26" t="s">
        <v>37</v>
      </c>
      <c r="D26" t="s">
        <v>29</v>
      </c>
      <c r="E26" t="s">
        <v>38</v>
      </c>
      <c r="F26" t="s">
        <v>30</v>
      </c>
      <c r="G26" t="s">
        <v>15</v>
      </c>
      <c r="H26" t="s">
        <v>39</v>
      </c>
      <c r="I26">
        <v>3</v>
      </c>
      <c r="J26">
        <v>80.349999999999994</v>
      </c>
      <c r="K26">
        <v>241.05</v>
      </c>
      <c r="L26" t="s">
        <v>17</v>
      </c>
      <c r="O26" s="14" t="s">
        <v>66</v>
      </c>
      <c r="P26" s="16" t="s">
        <v>123</v>
      </c>
      <c r="Q26" s="12" t="s">
        <v>123</v>
      </c>
    </row>
    <row r="27" spans="1:21" x14ac:dyDescent="0.25">
      <c r="A27" s="1">
        <v>44626</v>
      </c>
      <c r="B27" s="1" t="str">
        <f>TEXT(Table134[Date],"mm-yyyy")</f>
        <v>03-2022</v>
      </c>
      <c r="C27" t="s">
        <v>11</v>
      </c>
      <c r="D27" t="s">
        <v>12</v>
      </c>
      <c r="E27" t="s">
        <v>13</v>
      </c>
      <c r="F27" t="s">
        <v>30</v>
      </c>
      <c r="G27" t="s">
        <v>21</v>
      </c>
      <c r="H27" t="s">
        <v>16</v>
      </c>
      <c r="I27">
        <v>2</v>
      </c>
      <c r="J27">
        <v>222.08</v>
      </c>
      <c r="K27">
        <v>444.16</v>
      </c>
      <c r="L27" t="s">
        <v>35</v>
      </c>
      <c r="O27" s="14" t="s">
        <v>67</v>
      </c>
      <c r="P27" s="17">
        <f>(155.3-9378.09/9378.09*100)</f>
        <v>55.300000000000011</v>
      </c>
      <c r="Q27" s="17">
        <f>(U11-U10/U10*100)</f>
        <v>6277.7400000000007</v>
      </c>
    </row>
    <row r="28" spans="1:21" hidden="1" x14ac:dyDescent="0.25">
      <c r="A28" s="1">
        <v>44641</v>
      </c>
      <c r="B28" s="1" t="str">
        <f>TEXT(Table134[Date],"mm-yyyy")</f>
        <v>03-2022</v>
      </c>
      <c r="C28" t="s">
        <v>48</v>
      </c>
      <c r="D28" t="s">
        <v>49</v>
      </c>
      <c r="E28" t="s">
        <v>50</v>
      </c>
      <c r="F28" t="s">
        <v>26</v>
      </c>
      <c r="G28" t="s">
        <v>40</v>
      </c>
      <c r="H28" t="s">
        <v>27</v>
      </c>
      <c r="I28">
        <v>1</v>
      </c>
      <c r="J28">
        <v>287.44</v>
      </c>
      <c r="K28">
        <v>287.44</v>
      </c>
      <c r="L28" t="s">
        <v>35</v>
      </c>
      <c r="O28" s="14" t="s">
        <v>68</v>
      </c>
      <c r="P28" s="17">
        <f>(155.3-9378.09/9378.09)</f>
        <v>154.30000000000001</v>
      </c>
      <c r="Q28" s="17">
        <f t="shared" ref="Q28:Q33" si="0">(U12-U11/U11)</f>
        <v>10226.560000000001</v>
      </c>
    </row>
    <row r="29" spans="1:21" x14ac:dyDescent="0.25">
      <c r="A29" s="1">
        <v>44758</v>
      </c>
      <c r="B29" s="1" t="str">
        <f>TEXT(Table134[Date],"mm-yyyy")</f>
        <v>07-2022</v>
      </c>
      <c r="C29" t="s">
        <v>11</v>
      </c>
      <c r="D29" t="s">
        <v>12</v>
      </c>
      <c r="E29" t="s">
        <v>13</v>
      </c>
      <c r="F29" t="s">
        <v>14</v>
      </c>
      <c r="G29" t="s">
        <v>15</v>
      </c>
      <c r="H29" t="s">
        <v>34</v>
      </c>
      <c r="I29">
        <v>5</v>
      </c>
      <c r="J29">
        <v>137.9</v>
      </c>
      <c r="K29">
        <v>689.5</v>
      </c>
      <c r="L29" t="s">
        <v>35</v>
      </c>
      <c r="O29" s="14" t="s">
        <v>68</v>
      </c>
      <c r="P29" s="17">
        <f>(T12-T11/T11*100)</f>
        <v>5012.08</v>
      </c>
      <c r="Q29" s="17">
        <f>(U12-U11/U11*100)</f>
        <v>10127.560000000001</v>
      </c>
    </row>
    <row r="30" spans="1:21" x14ac:dyDescent="0.25">
      <c r="A30" s="1">
        <v>44639</v>
      </c>
      <c r="B30" s="1" t="str">
        <f>TEXT(Table134[Date],"mm-yyyy")</f>
        <v>03-2022</v>
      </c>
      <c r="C30" t="s">
        <v>37</v>
      </c>
      <c r="D30" t="s">
        <v>29</v>
      </c>
      <c r="E30" t="s">
        <v>38</v>
      </c>
      <c r="F30" t="s">
        <v>14</v>
      </c>
      <c r="G30" t="s">
        <v>21</v>
      </c>
      <c r="H30" t="s">
        <v>39</v>
      </c>
      <c r="I30">
        <v>3</v>
      </c>
      <c r="J30">
        <v>214.68</v>
      </c>
      <c r="K30">
        <v>644.04</v>
      </c>
      <c r="L30" t="s">
        <v>35</v>
      </c>
      <c r="O30" s="14" t="s">
        <v>69</v>
      </c>
      <c r="P30" s="18" t="s">
        <v>123</v>
      </c>
      <c r="Q30" s="17">
        <f>(U13-U12/U12*100)</f>
        <v>6705.6100000000006</v>
      </c>
    </row>
    <row r="31" spans="1:21" x14ac:dyDescent="0.25">
      <c r="A31" s="1">
        <v>44777</v>
      </c>
      <c r="B31" s="1" t="str">
        <f>TEXT(Table134[Date],"mm-yyyy")</f>
        <v>08-2022</v>
      </c>
      <c r="C31" t="s">
        <v>28</v>
      </c>
      <c r="D31" t="s">
        <v>29</v>
      </c>
      <c r="E31" t="s">
        <v>25</v>
      </c>
      <c r="F31" t="s">
        <v>26</v>
      </c>
      <c r="G31" t="s">
        <v>15</v>
      </c>
      <c r="H31" t="s">
        <v>22</v>
      </c>
      <c r="I31">
        <v>2</v>
      </c>
      <c r="J31">
        <v>269.88</v>
      </c>
      <c r="K31">
        <v>539.76</v>
      </c>
      <c r="L31" t="s">
        <v>23</v>
      </c>
      <c r="O31" s="14" t="s">
        <v>70</v>
      </c>
      <c r="P31" s="17">
        <f>(T14-T12/T12*100)</f>
        <v>1639.01</v>
      </c>
      <c r="Q31" s="17">
        <f>(U14-U13/U13)</f>
        <v>4644.68</v>
      </c>
    </row>
    <row r="32" spans="1:21" x14ac:dyDescent="0.25">
      <c r="A32" s="1">
        <v>44684</v>
      </c>
      <c r="B32" s="1" t="str">
        <f>TEXT(Table134[Date],"mm-yyyy")</f>
        <v>05-2022</v>
      </c>
      <c r="C32" t="s">
        <v>31</v>
      </c>
      <c r="D32" t="s">
        <v>19</v>
      </c>
      <c r="E32" t="s">
        <v>25</v>
      </c>
      <c r="F32" t="s">
        <v>14</v>
      </c>
      <c r="G32" t="s">
        <v>40</v>
      </c>
      <c r="H32" t="s">
        <v>43</v>
      </c>
      <c r="I32">
        <v>1</v>
      </c>
      <c r="J32">
        <v>96.97</v>
      </c>
      <c r="K32">
        <v>96.97</v>
      </c>
      <c r="L32" t="s">
        <v>36</v>
      </c>
      <c r="O32" s="14" t="s">
        <v>72</v>
      </c>
      <c r="P32" s="17">
        <f>(T16-T14/T14*100)</f>
        <v>10379.799999999999</v>
      </c>
      <c r="Q32" s="17">
        <f>(U16-QU14/U14*100)</f>
        <v>6201.66</v>
      </c>
    </row>
    <row r="33" spans="1:17" hidden="1" x14ac:dyDescent="0.25">
      <c r="A33" s="1">
        <v>44743</v>
      </c>
      <c r="B33" s="1" t="str">
        <f>TEXT(Table134[Date],"mm-yyyy")</f>
        <v>07-2022</v>
      </c>
      <c r="C33" t="s">
        <v>45</v>
      </c>
      <c r="D33" t="s">
        <v>46</v>
      </c>
      <c r="E33" t="s">
        <v>47</v>
      </c>
      <c r="F33" t="s">
        <v>26</v>
      </c>
      <c r="G33" t="s">
        <v>15</v>
      </c>
      <c r="H33" t="s">
        <v>33</v>
      </c>
      <c r="I33">
        <v>4</v>
      </c>
      <c r="J33">
        <v>270.55</v>
      </c>
      <c r="K33">
        <v>1082.2</v>
      </c>
      <c r="L33" t="s">
        <v>23</v>
      </c>
      <c r="O33" s="15" t="s">
        <v>73</v>
      </c>
      <c r="P33" s="17">
        <f t="shared" ref="P33" si="1">(T16-T15/T15)</f>
        <v>10478.799999999999</v>
      </c>
      <c r="Q33" s="17">
        <f t="shared" si="0"/>
        <v>5164.12</v>
      </c>
    </row>
    <row r="34" spans="1:17" x14ac:dyDescent="0.25">
      <c r="A34" s="1">
        <v>44728</v>
      </c>
      <c r="B34" s="1" t="str">
        <f>TEXT(Table134[Date],"mm-yyyy")</f>
        <v>06-2022</v>
      </c>
      <c r="C34" t="s">
        <v>44</v>
      </c>
      <c r="D34" t="s">
        <v>19</v>
      </c>
      <c r="E34" t="s">
        <v>20</v>
      </c>
      <c r="F34" t="s">
        <v>14</v>
      </c>
      <c r="G34" t="s">
        <v>40</v>
      </c>
      <c r="H34" t="s">
        <v>33</v>
      </c>
      <c r="I34">
        <v>3</v>
      </c>
      <c r="J34">
        <v>261.31</v>
      </c>
      <c r="K34">
        <v>783.93</v>
      </c>
      <c r="L34" t="s">
        <v>17</v>
      </c>
      <c r="O34" s="14" t="s">
        <v>73</v>
      </c>
      <c r="P34" s="17">
        <f>(T17-T16/T16*100)</f>
        <v>6424.6499999999987</v>
      </c>
      <c r="Q34" s="17">
        <f>(U17-U16/U16*100)</f>
        <v>5065.12</v>
      </c>
    </row>
    <row r="35" spans="1:17" hidden="1" x14ac:dyDescent="0.25">
      <c r="A35" s="1">
        <v>44571</v>
      </c>
      <c r="B35" s="1" t="str">
        <f>TEXT(Table134[Date],"mm-yyyy")</f>
        <v>01-2022</v>
      </c>
      <c r="C35" t="s">
        <v>45</v>
      </c>
      <c r="D35" t="s">
        <v>46</v>
      </c>
      <c r="E35" t="s">
        <v>47</v>
      </c>
      <c r="F35" t="s">
        <v>14</v>
      </c>
      <c r="G35" t="s">
        <v>40</v>
      </c>
      <c r="H35" t="s">
        <v>22</v>
      </c>
      <c r="I35">
        <v>4</v>
      </c>
      <c r="J35">
        <v>56.4</v>
      </c>
      <c r="K35">
        <v>225.6</v>
      </c>
      <c r="L35" t="s">
        <v>17</v>
      </c>
    </row>
    <row r="36" spans="1:17" x14ac:dyDescent="0.25">
      <c r="A36" s="1">
        <v>44750</v>
      </c>
      <c r="B36" s="1" t="str">
        <f>TEXT(Table134[Date],"mm-yyyy")</f>
        <v>07-2022</v>
      </c>
      <c r="C36" t="s">
        <v>18</v>
      </c>
      <c r="D36" t="s">
        <v>19</v>
      </c>
      <c r="E36" t="s">
        <v>20</v>
      </c>
      <c r="F36" t="s">
        <v>30</v>
      </c>
      <c r="G36" t="s">
        <v>40</v>
      </c>
      <c r="H36" t="s">
        <v>27</v>
      </c>
      <c r="I36">
        <v>3</v>
      </c>
      <c r="J36">
        <v>239.55</v>
      </c>
      <c r="K36">
        <v>718.65</v>
      </c>
      <c r="L36" t="s">
        <v>17</v>
      </c>
    </row>
    <row r="37" spans="1:17" x14ac:dyDescent="0.25">
      <c r="A37" s="1">
        <v>44793</v>
      </c>
      <c r="B37" s="1" t="str">
        <f>TEXT(Table134[Date],"mm-yyyy")</f>
        <v>08-2022</v>
      </c>
      <c r="C37" t="s">
        <v>31</v>
      </c>
      <c r="D37" t="s">
        <v>19</v>
      </c>
      <c r="E37" t="s">
        <v>25</v>
      </c>
      <c r="F37" t="s">
        <v>14</v>
      </c>
      <c r="G37" t="s">
        <v>15</v>
      </c>
      <c r="H37" t="s">
        <v>27</v>
      </c>
      <c r="I37">
        <v>2</v>
      </c>
      <c r="J37">
        <v>94.62</v>
      </c>
      <c r="K37">
        <v>189.24</v>
      </c>
      <c r="L37" t="s">
        <v>23</v>
      </c>
    </row>
    <row r="38" spans="1:17" x14ac:dyDescent="0.25">
      <c r="A38" s="1">
        <v>44766</v>
      </c>
      <c r="B38" s="1" t="str">
        <f>TEXT(Table134[Date],"mm-yyyy")</f>
        <v>07-2022</v>
      </c>
      <c r="C38" t="s">
        <v>11</v>
      </c>
      <c r="D38" t="s">
        <v>12</v>
      </c>
      <c r="E38" t="s">
        <v>13</v>
      </c>
      <c r="F38" t="s">
        <v>14</v>
      </c>
      <c r="G38" t="s">
        <v>15</v>
      </c>
      <c r="H38" t="s">
        <v>27</v>
      </c>
      <c r="I38">
        <v>4</v>
      </c>
      <c r="J38">
        <v>57.22</v>
      </c>
      <c r="K38">
        <v>228.88</v>
      </c>
      <c r="L38" t="s">
        <v>23</v>
      </c>
    </row>
    <row r="39" spans="1:17" x14ac:dyDescent="0.25">
      <c r="A39" s="1">
        <v>44756</v>
      </c>
      <c r="B39" s="1" t="str">
        <f>TEXT(Table134[Date],"mm-yyyy")</f>
        <v>07-2022</v>
      </c>
      <c r="C39" t="s">
        <v>24</v>
      </c>
      <c r="D39" t="s">
        <v>19</v>
      </c>
      <c r="E39" t="s">
        <v>25</v>
      </c>
      <c r="F39" t="s">
        <v>30</v>
      </c>
      <c r="G39" t="s">
        <v>15</v>
      </c>
      <c r="H39" t="s">
        <v>27</v>
      </c>
      <c r="I39">
        <v>1</v>
      </c>
      <c r="J39">
        <v>170.86</v>
      </c>
      <c r="K39">
        <v>170.86</v>
      </c>
      <c r="L39" t="s">
        <v>36</v>
      </c>
    </row>
    <row r="40" spans="1:17" x14ac:dyDescent="0.25">
      <c r="A40" s="1">
        <v>44603</v>
      </c>
      <c r="B40" s="1" t="str">
        <f>TEXT(Table134[Date],"mm-yyyy")</f>
        <v>02-2022</v>
      </c>
      <c r="C40" t="s">
        <v>44</v>
      </c>
      <c r="D40" t="s">
        <v>19</v>
      </c>
      <c r="E40" t="s">
        <v>20</v>
      </c>
      <c r="F40" t="s">
        <v>30</v>
      </c>
      <c r="G40" t="s">
        <v>21</v>
      </c>
      <c r="H40" t="s">
        <v>33</v>
      </c>
      <c r="I40">
        <v>3</v>
      </c>
      <c r="J40">
        <v>105.79</v>
      </c>
      <c r="K40">
        <v>317.37</v>
      </c>
      <c r="L40" t="s">
        <v>36</v>
      </c>
    </row>
    <row r="41" spans="1:17" x14ac:dyDescent="0.25">
      <c r="A41" s="1">
        <v>44707</v>
      </c>
      <c r="B41" s="1" t="str">
        <f>TEXT(Table134[Date],"mm-yyyy")</f>
        <v>05-2022</v>
      </c>
      <c r="C41" t="s">
        <v>44</v>
      </c>
      <c r="D41" t="s">
        <v>19</v>
      </c>
      <c r="E41" t="s">
        <v>20</v>
      </c>
      <c r="F41" t="s">
        <v>30</v>
      </c>
      <c r="G41" t="s">
        <v>21</v>
      </c>
      <c r="H41" t="s">
        <v>33</v>
      </c>
      <c r="I41">
        <v>5</v>
      </c>
      <c r="J41">
        <v>112.95</v>
      </c>
      <c r="K41">
        <v>564.75</v>
      </c>
      <c r="L41" t="s">
        <v>17</v>
      </c>
    </row>
    <row r="42" spans="1:17" x14ac:dyDescent="0.25">
      <c r="A42" s="1">
        <v>44793</v>
      </c>
      <c r="B42" s="1" t="str">
        <f>TEXT(Table134[Date],"mm-yyyy")</f>
        <v>08-2022</v>
      </c>
      <c r="C42" t="s">
        <v>37</v>
      </c>
      <c r="D42" t="s">
        <v>29</v>
      </c>
      <c r="E42" t="s">
        <v>38</v>
      </c>
      <c r="F42" t="s">
        <v>14</v>
      </c>
      <c r="G42" t="s">
        <v>15</v>
      </c>
      <c r="H42" t="s">
        <v>22</v>
      </c>
      <c r="I42">
        <v>5</v>
      </c>
      <c r="J42">
        <v>55.8</v>
      </c>
      <c r="K42">
        <v>279</v>
      </c>
      <c r="L42" t="s">
        <v>17</v>
      </c>
    </row>
    <row r="43" spans="1:17" x14ac:dyDescent="0.25">
      <c r="A43" s="1">
        <v>44686</v>
      </c>
      <c r="B43" s="1" t="str">
        <f>TEXT(Table134[Date],"mm-yyyy")</f>
        <v>05-2022</v>
      </c>
      <c r="C43" t="s">
        <v>41</v>
      </c>
      <c r="D43" t="s">
        <v>29</v>
      </c>
      <c r="E43" t="s">
        <v>42</v>
      </c>
      <c r="F43" t="s">
        <v>30</v>
      </c>
      <c r="G43" t="s">
        <v>40</v>
      </c>
      <c r="H43" t="s">
        <v>43</v>
      </c>
      <c r="I43">
        <v>1</v>
      </c>
      <c r="J43">
        <v>50.1</v>
      </c>
      <c r="K43">
        <v>50.1</v>
      </c>
      <c r="L43" t="s">
        <v>17</v>
      </c>
    </row>
    <row r="44" spans="1:17" x14ac:dyDescent="0.25">
      <c r="A44" s="1">
        <v>44804</v>
      </c>
      <c r="B44" s="1" t="str">
        <f>TEXT(Table134[Date],"mm-yyyy")</f>
        <v>08-2022</v>
      </c>
      <c r="C44" t="s">
        <v>18</v>
      </c>
      <c r="D44" t="s">
        <v>19</v>
      </c>
      <c r="E44" t="s">
        <v>20</v>
      </c>
      <c r="F44" t="s">
        <v>30</v>
      </c>
      <c r="G44" t="s">
        <v>15</v>
      </c>
      <c r="H44" t="s">
        <v>22</v>
      </c>
      <c r="I44">
        <v>1</v>
      </c>
      <c r="J44">
        <v>56.49</v>
      </c>
      <c r="K44">
        <v>56.49</v>
      </c>
      <c r="L44" t="s">
        <v>35</v>
      </c>
    </row>
    <row r="45" spans="1:17" x14ac:dyDescent="0.25">
      <c r="A45" s="1">
        <v>44672</v>
      </c>
      <c r="B45" s="1" t="str">
        <f>TEXT(Table134[Date],"mm-yyyy")</f>
        <v>04-2022</v>
      </c>
      <c r="C45" t="s">
        <v>37</v>
      </c>
      <c r="D45" t="s">
        <v>29</v>
      </c>
      <c r="E45" t="s">
        <v>38</v>
      </c>
      <c r="F45" t="s">
        <v>30</v>
      </c>
      <c r="G45" t="s">
        <v>40</v>
      </c>
      <c r="H45" t="s">
        <v>33</v>
      </c>
      <c r="I45">
        <v>5</v>
      </c>
      <c r="J45">
        <v>100.65</v>
      </c>
      <c r="K45">
        <v>503.25</v>
      </c>
      <c r="L45" t="s">
        <v>36</v>
      </c>
    </row>
    <row r="46" spans="1:17" x14ac:dyDescent="0.25">
      <c r="A46" s="1">
        <v>44794</v>
      </c>
      <c r="B46" s="1" t="str">
        <f>TEXT(Table134[Date],"mm-yyyy")</f>
        <v>08-2022</v>
      </c>
      <c r="C46" t="s">
        <v>44</v>
      </c>
      <c r="D46" t="s">
        <v>19</v>
      </c>
      <c r="E46" t="s">
        <v>20</v>
      </c>
      <c r="F46" t="s">
        <v>30</v>
      </c>
      <c r="G46" t="s">
        <v>32</v>
      </c>
      <c r="H46" t="s">
        <v>16</v>
      </c>
      <c r="I46">
        <v>2</v>
      </c>
      <c r="J46">
        <v>160.44</v>
      </c>
      <c r="K46">
        <v>320.88</v>
      </c>
      <c r="L46" t="s">
        <v>35</v>
      </c>
    </row>
    <row r="47" spans="1:17" hidden="1" x14ac:dyDescent="0.25">
      <c r="A47" s="1">
        <v>44666</v>
      </c>
      <c r="B47" s="1" t="str">
        <f>TEXT(Table134[Date],"mm-yyyy")</f>
        <v>04-2022</v>
      </c>
      <c r="C47" t="s">
        <v>48</v>
      </c>
      <c r="D47" t="s">
        <v>49</v>
      </c>
      <c r="E47" t="s">
        <v>50</v>
      </c>
      <c r="F47" t="s">
        <v>26</v>
      </c>
      <c r="G47" t="s">
        <v>21</v>
      </c>
      <c r="H47" t="s">
        <v>16</v>
      </c>
      <c r="I47">
        <v>4</v>
      </c>
      <c r="J47">
        <v>242.44</v>
      </c>
      <c r="K47">
        <v>969.76</v>
      </c>
      <c r="L47" t="s">
        <v>23</v>
      </c>
    </row>
    <row r="48" spans="1:17" x14ac:dyDescent="0.25">
      <c r="A48" s="1">
        <v>44688</v>
      </c>
      <c r="B48" s="1" t="str">
        <f>TEXT(Table134[Date],"mm-yyyy")</f>
        <v>05-2022</v>
      </c>
      <c r="C48" t="s">
        <v>18</v>
      </c>
      <c r="D48" t="s">
        <v>19</v>
      </c>
      <c r="E48" t="s">
        <v>20</v>
      </c>
      <c r="F48" t="s">
        <v>14</v>
      </c>
      <c r="G48" t="s">
        <v>21</v>
      </c>
      <c r="H48" t="s">
        <v>33</v>
      </c>
      <c r="I48">
        <v>2</v>
      </c>
      <c r="J48">
        <v>209.81</v>
      </c>
      <c r="K48">
        <v>419.62</v>
      </c>
      <c r="L48" t="s">
        <v>17</v>
      </c>
    </row>
    <row r="49" spans="1:12" x14ac:dyDescent="0.25">
      <c r="A49" s="1">
        <v>44634</v>
      </c>
      <c r="B49" s="1" t="str">
        <f>TEXT(Table134[Date],"mm-yyyy")</f>
        <v>03-2022</v>
      </c>
      <c r="C49" t="s">
        <v>44</v>
      </c>
      <c r="D49" t="s">
        <v>19</v>
      </c>
      <c r="E49" t="s">
        <v>20</v>
      </c>
      <c r="F49" t="s">
        <v>30</v>
      </c>
      <c r="G49" t="s">
        <v>32</v>
      </c>
      <c r="H49" t="s">
        <v>43</v>
      </c>
      <c r="I49">
        <v>4</v>
      </c>
      <c r="J49">
        <v>261.95999999999998</v>
      </c>
      <c r="K49">
        <v>1047.8399999999999</v>
      </c>
      <c r="L49" t="s">
        <v>23</v>
      </c>
    </row>
    <row r="50" spans="1:12" x14ac:dyDescent="0.25">
      <c r="A50" s="1">
        <v>44803</v>
      </c>
      <c r="B50" s="1" t="str">
        <f>TEXT(Table134[Date],"mm-yyyy")</f>
        <v>08-2022</v>
      </c>
      <c r="C50" t="s">
        <v>41</v>
      </c>
      <c r="D50" t="s">
        <v>29</v>
      </c>
      <c r="E50" t="s">
        <v>42</v>
      </c>
      <c r="F50" t="s">
        <v>30</v>
      </c>
      <c r="G50" t="s">
        <v>32</v>
      </c>
      <c r="H50" t="s">
        <v>22</v>
      </c>
      <c r="I50">
        <v>3</v>
      </c>
      <c r="J50">
        <v>242.71</v>
      </c>
      <c r="K50">
        <v>728.13</v>
      </c>
      <c r="L50" t="s">
        <v>23</v>
      </c>
    </row>
    <row r="51" spans="1:12" x14ac:dyDescent="0.25">
      <c r="A51" s="1">
        <v>44718</v>
      </c>
      <c r="B51" s="1" t="str">
        <f>TEXT(Table134[Date],"mm-yyyy")</f>
        <v>06-2022</v>
      </c>
      <c r="C51" t="s">
        <v>31</v>
      </c>
      <c r="D51" t="s">
        <v>19</v>
      </c>
      <c r="E51" t="s">
        <v>25</v>
      </c>
      <c r="F51" t="s">
        <v>26</v>
      </c>
      <c r="G51" t="s">
        <v>15</v>
      </c>
      <c r="H51" t="s">
        <v>22</v>
      </c>
      <c r="I51">
        <v>5</v>
      </c>
      <c r="J51">
        <v>299.3</v>
      </c>
      <c r="K51">
        <v>1496.5</v>
      </c>
      <c r="L51" t="s">
        <v>17</v>
      </c>
    </row>
    <row r="52" spans="1:12" x14ac:dyDescent="0.25">
      <c r="A52" s="1">
        <v>44802</v>
      </c>
      <c r="B52" s="1" t="str">
        <f>TEXT(Table134[Date],"mm-yyyy")</f>
        <v>08-2022</v>
      </c>
      <c r="C52" t="s">
        <v>18</v>
      </c>
      <c r="D52" t="s">
        <v>19</v>
      </c>
      <c r="E52" t="s">
        <v>20</v>
      </c>
      <c r="F52" t="s">
        <v>14</v>
      </c>
      <c r="G52" t="s">
        <v>21</v>
      </c>
      <c r="H52" t="s">
        <v>22</v>
      </c>
      <c r="I52">
        <v>4</v>
      </c>
      <c r="J52">
        <v>162.85</v>
      </c>
      <c r="K52">
        <v>651.4</v>
      </c>
      <c r="L52" t="s">
        <v>35</v>
      </c>
    </row>
    <row r="53" spans="1:12" hidden="1" x14ac:dyDescent="0.25">
      <c r="A53" s="1">
        <v>44775</v>
      </c>
      <c r="B53" s="1" t="str">
        <f>TEXT(Table134[Date],"mm-yyyy")</f>
        <v>08-2022</v>
      </c>
      <c r="C53" t="s">
        <v>48</v>
      </c>
      <c r="D53" t="s">
        <v>49</v>
      </c>
      <c r="E53" t="s">
        <v>50</v>
      </c>
      <c r="F53" t="s">
        <v>14</v>
      </c>
      <c r="G53" t="s">
        <v>21</v>
      </c>
      <c r="H53" t="s">
        <v>16</v>
      </c>
      <c r="I53">
        <v>5</v>
      </c>
      <c r="J53">
        <v>215.63</v>
      </c>
      <c r="K53">
        <v>1078.1500000000001</v>
      </c>
      <c r="L53" t="s">
        <v>17</v>
      </c>
    </row>
    <row r="54" spans="1:12" x14ac:dyDescent="0.25">
      <c r="A54" s="1">
        <v>44712</v>
      </c>
      <c r="B54" s="1" t="str">
        <f>TEXT(Table134[Date],"mm-yyyy")</f>
        <v>05-2022</v>
      </c>
      <c r="C54" t="s">
        <v>31</v>
      </c>
      <c r="D54" t="s">
        <v>19</v>
      </c>
      <c r="E54" t="s">
        <v>25</v>
      </c>
      <c r="F54" t="s">
        <v>26</v>
      </c>
      <c r="G54" t="s">
        <v>15</v>
      </c>
      <c r="H54" t="s">
        <v>27</v>
      </c>
      <c r="I54">
        <v>1</v>
      </c>
      <c r="J54">
        <v>54.99</v>
      </c>
      <c r="K54">
        <v>54.99</v>
      </c>
      <c r="L54" t="s">
        <v>23</v>
      </c>
    </row>
    <row r="55" spans="1:12" x14ac:dyDescent="0.25">
      <c r="A55" s="1">
        <v>44593</v>
      </c>
      <c r="B55" s="1" t="str">
        <f>TEXT(Table134[Date],"mm-yyyy")</f>
        <v>02-2022</v>
      </c>
      <c r="C55" t="s">
        <v>18</v>
      </c>
      <c r="D55" t="s">
        <v>19</v>
      </c>
      <c r="E55" t="s">
        <v>20</v>
      </c>
      <c r="F55" t="s">
        <v>30</v>
      </c>
      <c r="G55" t="s">
        <v>40</v>
      </c>
      <c r="H55" t="s">
        <v>34</v>
      </c>
      <c r="I55">
        <v>4</v>
      </c>
      <c r="J55">
        <v>185.7</v>
      </c>
      <c r="K55">
        <v>742.8</v>
      </c>
      <c r="L55" t="s">
        <v>36</v>
      </c>
    </row>
    <row r="56" spans="1:12" x14ac:dyDescent="0.25">
      <c r="A56" s="1">
        <v>44660</v>
      </c>
      <c r="B56" s="1" t="str">
        <f>TEXT(Table134[Date],"mm-yyyy")</f>
        <v>04-2022</v>
      </c>
      <c r="C56" t="s">
        <v>28</v>
      </c>
      <c r="D56" t="s">
        <v>29</v>
      </c>
      <c r="E56" t="s">
        <v>25</v>
      </c>
      <c r="F56" t="s">
        <v>14</v>
      </c>
      <c r="G56" t="s">
        <v>21</v>
      </c>
      <c r="H56" t="s">
        <v>39</v>
      </c>
      <c r="I56">
        <v>2</v>
      </c>
      <c r="J56">
        <v>153.75</v>
      </c>
      <c r="K56">
        <v>307.5</v>
      </c>
      <c r="L56" t="s">
        <v>23</v>
      </c>
    </row>
    <row r="57" spans="1:12" x14ac:dyDescent="0.25">
      <c r="A57" s="1">
        <v>44641</v>
      </c>
      <c r="B57" s="1" t="str">
        <f>TEXT(Table134[Date],"mm-yyyy")</f>
        <v>03-2022</v>
      </c>
      <c r="C57" t="s">
        <v>41</v>
      </c>
      <c r="D57" t="s">
        <v>29</v>
      </c>
      <c r="E57" t="s">
        <v>42</v>
      </c>
      <c r="F57" t="s">
        <v>30</v>
      </c>
      <c r="G57" t="s">
        <v>15</v>
      </c>
      <c r="H57" t="s">
        <v>33</v>
      </c>
      <c r="I57">
        <v>5</v>
      </c>
      <c r="J57">
        <v>235.5</v>
      </c>
      <c r="K57">
        <v>1177.5</v>
      </c>
      <c r="L57" t="s">
        <v>36</v>
      </c>
    </row>
    <row r="58" spans="1:12" x14ac:dyDescent="0.25">
      <c r="A58" s="1">
        <v>44765</v>
      </c>
      <c r="B58" s="1" t="str">
        <f>TEXT(Table134[Date],"mm-yyyy")</f>
        <v>07-2022</v>
      </c>
      <c r="C58" t="s">
        <v>41</v>
      </c>
      <c r="D58" t="s">
        <v>29</v>
      </c>
      <c r="E58" t="s">
        <v>42</v>
      </c>
      <c r="F58" t="s">
        <v>26</v>
      </c>
      <c r="G58" t="s">
        <v>32</v>
      </c>
      <c r="H58" t="s">
        <v>39</v>
      </c>
      <c r="I58">
        <v>3</v>
      </c>
      <c r="J58">
        <v>239.76</v>
      </c>
      <c r="K58">
        <v>719.28</v>
      </c>
      <c r="L58" t="s">
        <v>17</v>
      </c>
    </row>
    <row r="59" spans="1:12" x14ac:dyDescent="0.25">
      <c r="A59" s="1">
        <v>44599</v>
      </c>
      <c r="B59" s="1" t="str">
        <f>TEXT(Table134[Date],"mm-yyyy")</f>
        <v>02-2022</v>
      </c>
      <c r="C59" t="s">
        <v>37</v>
      </c>
      <c r="D59" t="s">
        <v>29</v>
      </c>
      <c r="E59" t="s">
        <v>38</v>
      </c>
      <c r="F59" t="s">
        <v>30</v>
      </c>
      <c r="G59" t="s">
        <v>32</v>
      </c>
      <c r="H59" t="s">
        <v>22</v>
      </c>
      <c r="I59">
        <v>4</v>
      </c>
      <c r="J59">
        <v>213.82</v>
      </c>
      <c r="K59">
        <v>855.28</v>
      </c>
      <c r="L59" t="s">
        <v>17</v>
      </c>
    </row>
    <row r="60" spans="1:12" x14ac:dyDescent="0.25">
      <c r="A60" s="1">
        <v>44678</v>
      </c>
      <c r="B60" s="1" t="str">
        <f>TEXT(Table134[Date],"mm-yyyy")</f>
        <v>04-2022</v>
      </c>
      <c r="C60" t="s">
        <v>18</v>
      </c>
      <c r="D60" t="s">
        <v>19</v>
      </c>
      <c r="E60" t="s">
        <v>20</v>
      </c>
      <c r="F60" t="s">
        <v>26</v>
      </c>
      <c r="G60" t="s">
        <v>32</v>
      </c>
      <c r="H60" t="s">
        <v>16</v>
      </c>
      <c r="I60">
        <v>1</v>
      </c>
      <c r="J60">
        <v>67.2</v>
      </c>
      <c r="K60">
        <v>67.2</v>
      </c>
      <c r="L60" t="s">
        <v>36</v>
      </c>
    </row>
    <row r="61" spans="1:12" hidden="1" x14ac:dyDescent="0.25">
      <c r="A61" s="1">
        <v>44627</v>
      </c>
      <c r="B61" s="1" t="str">
        <f>TEXT(Table134[Date],"mm-yyyy")</f>
        <v>03-2022</v>
      </c>
      <c r="C61" t="s">
        <v>45</v>
      </c>
      <c r="D61" t="s">
        <v>46</v>
      </c>
      <c r="E61" t="s">
        <v>47</v>
      </c>
      <c r="F61" t="s">
        <v>30</v>
      </c>
      <c r="G61" t="s">
        <v>40</v>
      </c>
      <c r="H61" t="s">
        <v>16</v>
      </c>
      <c r="I61">
        <v>4</v>
      </c>
      <c r="J61">
        <v>207.05</v>
      </c>
      <c r="K61">
        <v>828.2</v>
      </c>
      <c r="L61" t="s">
        <v>35</v>
      </c>
    </row>
    <row r="62" spans="1:12" x14ac:dyDescent="0.25">
      <c r="A62" s="1">
        <v>44686</v>
      </c>
      <c r="B62" s="1" t="str">
        <f>TEXT(Table134[Date],"mm-yyyy")</f>
        <v>05-2022</v>
      </c>
      <c r="C62" t="s">
        <v>28</v>
      </c>
      <c r="D62" t="s">
        <v>29</v>
      </c>
      <c r="E62" t="s">
        <v>25</v>
      </c>
      <c r="F62" t="s">
        <v>14</v>
      </c>
      <c r="G62" t="s">
        <v>40</v>
      </c>
      <c r="H62" t="s">
        <v>16</v>
      </c>
      <c r="I62">
        <v>3</v>
      </c>
      <c r="J62">
        <v>257.92</v>
      </c>
      <c r="K62">
        <v>773.76</v>
      </c>
      <c r="L62" t="s">
        <v>36</v>
      </c>
    </row>
    <row r="63" spans="1:12" x14ac:dyDescent="0.25">
      <c r="A63" s="1">
        <v>44730</v>
      </c>
      <c r="B63" s="1" t="str">
        <f>TEXT(Table134[Date],"mm-yyyy")</f>
        <v>06-2022</v>
      </c>
      <c r="C63" t="s">
        <v>18</v>
      </c>
      <c r="D63" t="s">
        <v>19</v>
      </c>
      <c r="E63" t="s">
        <v>20</v>
      </c>
      <c r="F63" t="s">
        <v>26</v>
      </c>
      <c r="G63" t="s">
        <v>15</v>
      </c>
      <c r="H63" t="s">
        <v>39</v>
      </c>
      <c r="I63">
        <v>1</v>
      </c>
      <c r="J63">
        <v>122.32</v>
      </c>
      <c r="K63">
        <v>122.32</v>
      </c>
      <c r="L63" t="s">
        <v>23</v>
      </c>
    </row>
    <row r="64" spans="1:12" x14ac:dyDescent="0.25">
      <c r="A64" s="1">
        <v>44707</v>
      </c>
      <c r="B64" s="1" t="str">
        <f>TEXT(Table134[Date],"mm-yyyy")</f>
        <v>05-2022</v>
      </c>
      <c r="C64" t="s">
        <v>11</v>
      </c>
      <c r="D64" t="s">
        <v>12</v>
      </c>
      <c r="E64" t="s">
        <v>13</v>
      </c>
      <c r="F64" t="s">
        <v>14</v>
      </c>
      <c r="G64" t="s">
        <v>32</v>
      </c>
      <c r="H64" t="s">
        <v>22</v>
      </c>
      <c r="I64">
        <v>1</v>
      </c>
      <c r="J64">
        <v>203.63</v>
      </c>
      <c r="K64">
        <v>203.63</v>
      </c>
      <c r="L64" t="s">
        <v>23</v>
      </c>
    </row>
    <row r="65" spans="1:12" x14ac:dyDescent="0.25">
      <c r="A65" s="1">
        <v>44709</v>
      </c>
      <c r="B65" s="1" t="str">
        <f>TEXT(Table134[Date],"mm-yyyy")</f>
        <v>05-2022</v>
      </c>
      <c r="C65" t="s">
        <v>31</v>
      </c>
      <c r="D65" t="s">
        <v>19</v>
      </c>
      <c r="E65" t="s">
        <v>25</v>
      </c>
      <c r="F65" t="s">
        <v>30</v>
      </c>
      <c r="G65" t="s">
        <v>40</v>
      </c>
      <c r="H65" t="s">
        <v>39</v>
      </c>
      <c r="I65">
        <v>3</v>
      </c>
      <c r="J65">
        <v>278.14999999999998</v>
      </c>
      <c r="K65">
        <v>834.45</v>
      </c>
      <c r="L65" t="s">
        <v>36</v>
      </c>
    </row>
    <row r="66" spans="1:12" x14ac:dyDescent="0.25">
      <c r="A66" s="1">
        <v>44745</v>
      </c>
      <c r="B66" s="1" t="str">
        <f>TEXT(Table134[Date],"mm-yyyy")</f>
        <v>07-2022</v>
      </c>
      <c r="C66" t="s">
        <v>28</v>
      </c>
      <c r="D66" t="s">
        <v>29</v>
      </c>
      <c r="E66" t="s">
        <v>25</v>
      </c>
      <c r="F66" t="s">
        <v>30</v>
      </c>
      <c r="G66" t="s">
        <v>40</v>
      </c>
      <c r="H66" t="s">
        <v>27</v>
      </c>
      <c r="I66">
        <v>3</v>
      </c>
      <c r="J66">
        <v>129.78</v>
      </c>
      <c r="K66">
        <v>389.34</v>
      </c>
      <c r="L66" t="s">
        <v>17</v>
      </c>
    </row>
    <row r="67" spans="1:12" x14ac:dyDescent="0.25">
      <c r="A67" s="1">
        <v>44717</v>
      </c>
      <c r="B67" s="1" t="str">
        <f>TEXT(Table134[Date],"mm-yyyy")</f>
        <v>06-2022</v>
      </c>
      <c r="C67" t="s">
        <v>31</v>
      </c>
      <c r="D67" t="s">
        <v>19</v>
      </c>
      <c r="E67" t="s">
        <v>25</v>
      </c>
      <c r="F67" t="s">
        <v>30</v>
      </c>
      <c r="G67" t="s">
        <v>32</v>
      </c>
      <c r="H67" t="s">
        <v>33</v>
      </c>
      <c r="I67">
        <v>5</v>
      </c>
      <c r="J67">
        <v>199.42</v>
      </c>
      <c r="K67">
        <v>997.1</v>
      </c>
      <c r="L67" t="s">
        <v>23</v>
      </c>
    </row>
    <row r="68" spans="1:12" x14ac:dyDescent="0.25">
      <c r="A68" s="1">
        <v>44738</v>
      </c>
      <c r="B68" s="1" t="str">
        <f>TEXT(Table134[Date],"mm-yyyy")</f>
        <v>06-2022</v>
      </c>
      <c r="C68" t="s">
        <v>44</v>
      </c>
      <c r="D68" t="s">
        <v>19</v>
      </c>
      <c r="E68" t="s">
        <v>20</v>
      </c>
      <c r="F68" t="s">
        <v>30</v>
      </c>
      <c r="G68" t="s">
        <v>15</v>
      </c>
      <c r="H68" t="s">
        <v>16</v>
      </c>
      <c r="I68">
        <v>5</v>
      </c>
      <c r="J68">
        <v>98.23</v>
      </c>
      <c r="K68">
        <v>491.15</v>
      </c>
      <c r="L68" t="s">
        <v>23</v>
      </c>
    </row>
    <row r="69" spans="1:12" x14ac:dyDescent="0.25">
      <c r="A69" s="1">
        <v>44688</v>
      </c>
      <c r="B69" s="1" t="str">
        <f>TEXT(Table134[Date],"mm-yyyy")</f>
        <v>05-2022</v>
      </c>
      <c r="C69" t="s">
        <v>24</v>
      </c>
      <c r="D69" t="s">
        <v>19</v>
      </c>
      <c r="E69" t="s">
        <v>25</v>
      </c>
      <c r="F69" t="s">
        <v>14</v>
      </c>
      <c r="G69" t="s">
        <v>21</v>
      </c>
      <c r="H69" t="s">
        <v>33</v>
      </c>
      <c r="I69">
        <v>1</v>
      </c>
      <c r="J69">
        <v>114.47</v>
      </c>
      <c r="K69">
        <v>114.47</v>
      </c>
      <c r="L69" t="s">
        <v>36</v>
      </c>
    </row>
    <row r="70" spans="1:12" hidden="1" x14ac:dyDescent="0.25">
      <c r="A70" s="1">
        <v>44624</v>
      </c>
      <c r="B70" s="1" t="str">
        <f>TEXT(Table134[Date],"mm-yyyy")</f>
        <v>03-2022</v>
      </c>
      <c r="C70" t="s">
        <v>48</v>
      </c>
      <c r="D70" t="s">
        <v>49</v>
      </c>
      <c r="E70" t="s">
        <v>50</v>
      </c>
      <c r="F70" t="s">
        <v>26</v>
      </c>
      <c r="G70" t="s">
        <v>21</v>
      </c>
      <c r="H70" t="s">
        <v>16</v>
      </c>
      <c r="I70">
        <v>5</v>
      </c>
      <c r="J70">
        <v>224.71</v>
      </c>
      <c r="K70">
        <v>1123.55</v>
      </c>
      <c r="L70" t="s">
        <v>35</v>
      </c>
    </row>
    <row r="71" spans="1:12" x14ac:dyDescent="0.25">
      <c r="A71" s="1">
        <v>44590</v>
      </c>
      <c r="B71" s="1" t="str">
        <f>TEXT(Table134[Date],"mm-yyyy")</f>
        <v>01-2022</v>
      </c>
      <c r="C71" t="s">
        <v>31</v>
      </c>
      <c r="D71" t="s">
        <v>19</v>
      </c>
      <c r="E71" t="s">
        <v>25</v>
      </c>
      <c r="F71" t="s">
        <v>14</v>
      </c>
      <c r="G71" t="s">
        <v>15</v>
      </c>
      <c r="H71" t="s">
        <v>43</v>
      </c>
      <c r="I71">
        <v>3</v>
      </c>
      <c r="J71">
        <v>104.04</v>
      </c>
      <c r="K71">
        <v>312.12</v>
      </c>
      <c r="L71" t="s">
        <v>23</v>
      </c>
    </row>
    <row r="72" spans="1:12" hidden="1" x14ac:dyDescent="0.25">
      <c r="A72" s="1">
        <v>44622</v>
      </c>
      <c r="B72" s="1" t="str">
        <f>TEXT(Table134[Date],"mm-yyyy")</f>
        <v>03-2022</v>
      </c>
      <c r="C72" t="s">
        <v>48</v>
      </c>
      <c r="D72" t="s">
        <v>49</v>
      </c>
      <c r="E72" t="s">
        <v>50</v>
      </c>
      <c r="F72" t="s">
        <v>30</v>
      </c>
      <c r="G72" t="s">
        <v>40</v>
      </c>
      <c r="H72" t="s">
        <v>34</v>
      </c>
      <c r="I72">
        <v>5</v>
      </c>
      <c r="J72">
        <v>140.26</v>
      </c>
      <c r="K72">
        <v>701.3</v>
      </c>
      <c r="L72" t="s">
        <v>17</v>
      </c>
    </row>
    <row r="73" spans="1:12" x14ac:dyDescent="0.25">
      <c r="A73" s="1">
        <v>44713</v>
      </c>
      <c r="B73" s="1" t="str">
        <f>TEXT(Table134[Date],"mm-yyyy")</f>
        <v>06-2022</v>
      </c>
      <c r="C73" t="s">
        <v>44</v>
      </c>
      <c r="D73" t="s">
        <v>19</v>
      </c>
      <c r="E73" t="s">
        <v>20</v>
      </c>
      <c r="F73" t="s">
        <v>30</v>
      </c>
      <c r="G73" t="s">
        <v>21</v>
      </c>
      <c r="H73" t="s">
        <v>34</v>
      </c>
      <c r="I73">
        <v>5</v>
      </c>
      <c r="J73">
        <v>215.38</v>
      </c>
      <c r="K73">
        <v>1076.9000000000001</v>
      </c>
      <c r="L73" t="s">
        <v>17</v>
      </c>
    </row>
    <row r="74" spans="1:12" x14ac:dyDescent="0.25">
      <c r="A74" s="1">
        <v>44696</v>
      </c>
      <c r="B74" s="1" t="str">
        <f>TEXT(Table134[Date],"mm-yyyy")</f>
        <v>05-2022</v>
      </c>
      <c r="C74" t="s">
        <v>18</v>
      </c>
      <c r="D74" t="s">
        <v>19</v>
      </c>
      <c r="E74" t="s">
        <v>20</v>
      </c>
      <c r="F74" t="s">
        <v>26</v>
      </c>
      <c r="G74" t="s">
        <v>15</v>
      </c>
      <c r="H74" t="s">
        <v>33</v>
      </c>
      <c r="I74">
        <v>4</v>
      </c>
      <c r="J74">
        <v>127.55</v>
      </c>
      <c r="K74">
        <v>510.2</v>
      </c>
      <c r="L74" t="s">
        <v>23</v>
      </c>
    </row>
    <row r="75" spans="1:12" x14ac:dyDescent="0.25">
      <c r="A75" s="1">
        <v>44803</v>
      </c>
      <c r="B75" s="1" t="str">
        <f>TEXT(Table134[Date],"mm-yyyy")</f>
        <v>08-2022</v>
      </c>
      <c r="C75" t="s">
        <v>31</v>
      </c>
      <c r="D75" t="s">
        <v>19</v>
      </c>
      <c r="E75" t="s">
        <v>25</v>
      </c>
      <c r="F75" t="s">
        <v>26</v>
      </c>
      <c r="G75" t="s">
        <v>15</v>
      </c>
      <c r="H75" t="s">
        <v>34</v>
      </c>
      <c r="I75">
        <v>3</v>
      </c>
      <c r="J75">
        <v>182.2</v>
      </c>
      <c r="K75">
        <v>546.6</v>
      </c>
      <c r="L75" t="s">
        <v>17</v>
      </c>
    </row>
    <row r="76" spans="1:12" x14ac:dyDescent="0.25">
      <c r="A76" s="1">
        <v>44655</v>
      </c>
      <c r="B76" s="1" t="str">
        <f>TEXT(Table134[Date],"mm-yyyy")</f>
        <v>04-2022</v>
      </c>
      <c r="C76" t="s">
        <v>28</v>
      </c>
      <c r="D76" t="s">
        <v>29</v>
      </c>
      <c r="E76" t="s">
        <v>25</v>
      </c>
      <c r="F76" t="s">
        <v>30</v>
      </c>
      <c r="G76" t="s">
        <v>32</v>
      </c>
      <c r="H76" t="s">
        <v>27</v>
      </c>
      <c r="I76">
        <v>4</v>
      </c>
      <c r="J76">
        <v>246.66</v>
      </c>
      <c r="K76">
        <v>986.64</v>
      </c>
      <c r="L76" t="s">
        <v>23</v>
      </c>
    </row>
    <row r="77" spans="1:12" x14ac:dyDescent="0.25">
      <c r="A77" s="1">
        <v>44728</v>
      </c>
      <c r="B77" s="1" t="str">
        <f>TEXT(Table134[Date],"mm-yyyy")</f>
        <v>06-2022</v>
      </c>
      <c r="C77" t="s">
        <v>18</v>
      </c>
      <c r="D77" t="s">
        <v>19</v>
      </c>
      <c r="E77" t="s">
        <v>20</v>
      </c>
      <c r="F77" t="s">
        <v>26</v>
      </c>
      <c r="G77" t="s">
        <v>32</v>
      </c>
      <c r="H77" t="s">
        <v>16</v>
      </c>
      <c r="I77">
        <v>5</v>
      </c>
      <c r="J77">
        <v>262.68</v>
      </c>
      <c r="K77">
        <v>1313.4</v>
      </c>
      <c r="L77" t="s">
        <v>36</v>
      </c>
    </row>
    <row r="78" spans="1:12" x14ac:dyDescent="0.25">
      <c r="A78" s="1">
        <v>44585</v>
      </c>
      <c r="B78" s="1" t="str">
        <f>TEXT(Table134[Date],"mm-yyyy")</f>
        <v>01-2022</v>
      </c>
      <c r="C78" t="s">
        <v>44</v>
      </c>
      <c r="D78" t="s">
        <v>19</v>
      </c>
      <c r="E78" t="s">
        <v>20</v>
      </c>
      <c r="F78" t="s">
        <v>30</v>
      </c>
      <c r="G78" t="s">
        <v>15</v>
      </c>
      <c r="H78" t="s">
        <v>22</v>
      </c>
      <c r="I78">
        <v>3</v>
      </c>
      <c r="J78">
        <v>101.39</v>
      </c>
      <c r="K78">
        <v>304.17</v>
      </c>
      <c r="L78" t="s">
        <v>23</v>
      </c>
    </row>
    <row r="79" spans="1:12" x14ac:dyDescent="0.25">
      <c r="A79" s="1">
        <v>44606</v>
      </c>
      <c r="B79" s="1" t="str">
        <f>TEXT(Table134[Date],"mm-yyyy")</f>
        <v>02-2022</v>
      </c>
      <c r="C79" t="s">
        <v>37</v>
      </c>
      <c r="D79" t="s">
        <v>29</v>
      </c>
      <c r="E79" t="s">
        <v>38</v>
      </c>
      <c r="F79" t="s">
        <v>26</v>
      </c>
      <c r="G79" t="s">
        <v>32</v>
      </c>
      <c r="H79" t="s">
        <v>16</v>
      </c>
      <c r="I79">
        <v>1</v>
      </c>
      <c r="J79">
        <v>59.05</v>
      </c>
      <c r="K79">
        <v>59.05</v>
      </c>
      <c r="L79" t="s">
        <v>23</v>
      </c>
    </row>
    <row r="80" spans="1:12" x14ac:dyDescent="0.25">
      <c r="A80" s="1">
        <v>44629</v>
      </c>
      <c r="B80" s="1" t="str">
        <f>TEXT(Table134[Date],"mm-yyyy")</f>
        <v>03-2022</v>
      </c>
      <c r="C80" t="s">
        <v>37</v>
      </c>
      <c r="D80" t="s">
        <v>29</v>
      </c>
      <c r="E80" t="s">
        <v>38</v>
      </c>
      <c r="F80" t="s">
        <v>14</v>
      </c>
      <c r="G80" t="s">
        <v>21</v>
      </c>
      <c r="H80" t="s">
        <v>39</v>
      </c>
      <c r="I80">
        <v>1</v>
      </c>
      <c r="J80">
        <v>101.32</v>
      </c>
      <c r="K80">
        <v>101.32</v>
      </c>
      <c r="L80" t="s">
        <v>35</v>
      </c>
    </row>
    <row r="81" spans="1:12" x14ac:dyDescent="0.25">
      <c r="A81" s="1">
        <v>44758</v>
      </c>
      <c r="B81" s="1" t="str">
        <f>TEXT(Table134[Date],"mm-yyyy")</f>
        <v>07-2022</v>
      </c>
      <c r="C81" t="s">
        <v>24</v>
      </c>
      <c r="D81" t="s">
        <v>19</v>
      </c>
      <c r="E81" t="s">
        <v>25</v>
      </c>
      <c r="F81" t="s">
        <v>30</v>
      </c>
      <c r="G81" t="s">
        <v>40</v>
      </c>
      <c r="H81" t="s">
        <v>33</v>
      </c>
      <c r="I81">
        <v>4</v>
      </c>
      <c r="J81">
        <v>228.88</v>
      </c>
      <c r="K81">
        <v>915.52</v>
      </c>
      <c r="L81" t="s">
        <v>17</v>
      </c>
    </row>
    <row r="82" spans="1:12" x14ac:dyDescent="0.25">
      <c r="A82" s="1">
        <v>44727</v>
      </c>
      <c r="B82" s="1" t="str">
        <f>TEXT(Table134[Date],"mm-yyyy")</f>
        <v>06-2022</v>
      </c>
      <c r="C82" t="s">
        <v>24</v>
      </c>
      <c r="D82" t="s">
        <v>19</v>
      </c>
      <c r="E82" t="s">
        <v>25</v>
      </c>
      <c r="F82" t="s">
        <v>26</v>
      </c>
      <c r="G82" t="s">
        <v>15</v>
      </c>
      <c r="H82" t="s">
        <v>16</v>
      </c>
      <c r="I82">
        <v>4</v>
      </c>
      <c r="J82">
        <v>258.60000000000002</v>
      </c>
      <c r="K82">
        <v>1034.4000000000001</v>
      </c>
      <c r="L82" t="s">
        <v>17</v>
      </c>
    </row>
    <row r="83" spans="1:12" x14ac:dyDescent="0.25">
      <c r="A83" s="1">
        <v>44611</v>
      </c>
      <c r="B83" s="1" t="str">
        <f>TEXT(Table134[Date],"mm-yyyy")</f>
        <v>02-2022</v>
      </c>
      <c r="C83" t="s">
        <v>44</v>
      </c>
      <c r="D83" t="s">
        <v>19</v>
      </c>
      <c r="E83" t="s">
        <v>20</v>
      </c>
      <c r="F83" t="s">
        <v>14</v>
      </c>
      <c r="G83" t="s">
        <v>21</v>
      </c>
      <c r="H83" t="s">
        <v>33</v>
      </c>
      <c r="I83">
        <v>4</v>
      </c>
      <c r="J83">
        <v>129.94999999999999</v>
      </c>
      <c r="K83">
        <v>519.79999999999995</v>
      </c>
      <c r="L83" t="s">
        <v>23</v>
      </c>
    </row>
    <row r="84" spans="1:12" x14ac:dyDescent="0.25">
      <c r="A84" s="1">
        <v>44748</v>
      </c>
      <c r="B84" s="1" t="str">
        <f>TEXT(Table134[Date],"mm-yyyy")</f>
        <v>07-2022</v>
      </c>
      <c r="C84" t="s">
        <v>44</v>
      </c>
      <c r="D84" t="s">
        <v>19</v>
      </c>
      <c r="E84" t="s">
        <v>20</v>
      </c>
      <c r="F84" t="s">
        <v>26</v>
      </c>
      <c r="G84" t="s">
        <v>32</v>
      </c>
      <c r="H84" t="s">
        <v>27</v>
      </c>
      <c r="I84">
        <v>5</v>
      </c>
      <c r="J84">
        <v>190.03</v>
      </c>
      <c r="K84">
        <v>950.15</v>
      </c>
      <c r="L84" t="s">
        <v>23</v>
      </c>
    </row>
    <row r="85" spans="1:12" hidden="1" x14ac:dyDescent="0.25">
      <c r="A85" s="1">
        <v>44593</v>
      </c>
      <c r="B85" s="1" t="str">
        <f>TEXT(Table134[Date],"mm-yyyy")</f>
        <v>02-2022</v>
      </c>
      <c r="C85" t="s">
        <v>45</v>
      </c>
      <c r="D85" t="s">
        <v>46</v>
      </c>
      <c r="E85" t="s">
        <v>47</v>
      </c>
      <c r="F85" t="s">
        <v>14</v>
      </c>
      <c r="G85" t="s">
        <v>32</v>
      </c>
      <c r="H85" t="s">
        <v>39</v>
      </c>
      <c r="I85">
        <v>1</v>
      </c>
      <c r="J85">
        <v>239.21</v>
      </c>
      <c r="K85">
        <v>239.21</v>
      </c>
      <c r="L85" t="s">
        <v>36</v>
      </c>
    </row>
    <row r="86" spans="1:12" x14ac:dyDescent="0.25">
      <c r="A86" s="1">
        <v>44645</v>
      </c>
      <c r="B86" s="1" t="str">
        <f>TEXT(Table134[Date],"mm-yyyy")</f>
        <v>03-2022</v>
      </c>
      <c r="C86" t="s">
        <v>11</v>
      </c>
      <c r="D86" t="s">
        <v>12</v>
      </c>
      <c r="E86" t="s">
        <v>13</v>
      </c>
      <c r="F86" t="s">
        <v>14</v>
      </c>
      <c r="G86" t="s">
        <v>21</v>
      </c>
      <c r="H86" t="s">
        <v>33</v>
      </c>
      <c r="I86">
        <v>1</v>
      </c>
      <c r="J86">
        <v>271.18</v>
      </c>
      <c r="K86">
        <v>271.18</v>
      </c>
      <c r="L86" t="s">
        <v>23</v>
      </c>
    </row>
    <row r="87" spans="1:12" hidden="1" x14ac:dyDescent="0.25">
      <c r="A87" s="1">
        <v>44595</v>
      </c>
      <c r="B87" s="1" t="str">
        <f>TEXT(Table134[Date],"mm-yyyy")</f>
        <v>02-2022</v>
      </c>
      <c r="C87" t="s">
        <v>48</v>
      </c>
      <c r="D87" t="s">
        <v>49</v>
      </c>
      <c r="E87" t="s">
        <v>50</v>
      </c>
      <c r="F87" t="s">
        <v>26</v>
      </c>
      <c r="G87" t="s">
        <v>21</v>
      </c>
      <c r="H87" t="s">
        <v>16</v>
      </c>
      <c r="I87">
        <v>5</v>
      </c>
      <c r="J87">
        <v>140.65</v>
      </c>
      <c r="K87">
        <v>703.25</v>
      </c>
      <c r="L87" t="s">
        <v>36</v>
      </c>
    </row>
    <row r="88" spans="1:12" x14ac:dyDescent="0.25">
      <c r="A88" s="1">
        <v>44742</v>
      </c>
      <c r="B88" s="1" t="str">
        <f>TEXT(Table134[Date],"mm-yyyy")</f>
        <v>06-2022</v>
      </c>
      <c r="C88" t="s">
        <v>11</v>
      </c>
      <c r="D88" t="s">
        <v>12</v>
      </c>
      <c r="E88" t="s">
        <v>13</v>
      </c>
      <c r="F88" t="s">
        <v>14</v>
      </c>
      <c r="G88" t="s">
        <v>21</v>
      </c>
      <c r="H88" t="s">
        <v>34</v>
      </c>
      <c r="I88">
        <v>3</v>
      </c>
      <c r="J88">
        <v>97.21</v>
      </c>
      <c r="K88">
        <v>291.63</v>
      </c>
      <c r="L88" t="s">
        <v>23</v>
      </c>
    </row>
    <row r="89" spans="1:12" x14ac:dyDescent="0.25">
      <c r="A89" s="1">
        <v>44604</v>
      </c>
      <c r="B89" s="1" t="str">
        <f>TEXT(Table134[Date],"mm-yyyy")</f>
        <v>02-2022</v>
      </c>
      <c r="C89" t="s">
        <v>41</v>
      </c>
      <c r="D89" t="s">
        <v>29</v>
      </c>
      <c r="E89" t="s">
        <v>42</v>
      </c>
      <c r="F89" t="s">
        <v>30</v>
      </c>
      <c r="G89" t="s">
        <v>40</v>
      </c>
      <c r="H89" t="s">
        <v>34</v>
      </c>
      <c r="I89">
        <v>5</v>
      </c>
      <c r="J89">
        <v>110.05</v>
      </c>
      <c r="K89">
        <v>550.25</v>
      </c>
      <c r="L89" t="s">
        <v>17</v>
      </c>
    </row>
    <row r="90" spans="1:12" x14ac:dyDescent="0.25">
      <c r="A90" s="1">
        <v>44757</v>
      </c>
      <c r="B90" s="1" t="str">
        <f>TEXT(Table134[Date],"mm-yyyy")</f>
        <v>07-2022</v>
      </c>
      <c r="C90" t="s">
        <v>44</v>
      </c>
      <c r="D90" t="s">
        <v>19</v>
      </c>
      <c r="E90" t="s">
        <v>20</v>
      </c>
      <c r="F90" t="s">
        <v>14</v>
      </c>
      <c r="G90" t="s">
        <v>32</v>
      </c>
      <c r="H90" t="s">
        <v>27</v>
      </c>
      <c r="I90">
        <v>1</v>
      </c>
      <c r="J90">
        <v>209.13</v>
      </c>
      <c r="K90">
        <v>209.13</v>
      </c>
      <c r="L90" t="s">
        <v>23</v>
      </c>
    </row>
    <row r="91" spans="1:12" x14ac:dyDescent="0.25">
      <c r="A91" s="1">
        <v>44598</v>
      </c>
      <c r="B91" s="1" t="str">
        <f>TEXT(Table134[Date],"mm-yyyy")</f>
        <v>02-2022</v>
      </c>
      <c r="C91" t="s">
        <v>24</v>
      </c>
      <c r="D91" t="s">
        <v>19</v>
      </c>
      <c r="E91" t="s">
        <v>25</v>
      </c>
      <c r="F91" t="s">
        <v>26</v>
      </c>
      <c r="G91" t="s">
        <v>40</v>
      </c>
      <c r="H91" t="s">
        <v>33</v>
      </c>
      <c r="I91">
        <v>1</v>
      </c>
      <c r="J91">
        <v>256.81</v>
      </c>
      <c r="K91">
        <v>256.81</v>
      </c>
      <c r="L91" t="s">
        <v>17</v>
      </c>
    </row>
    <row r="92" spans="1:12" x14ac:dyDescent="0.25">
      <c r="A92" s="1">
        <v>44581</v>
      </c>
      <c r="B92" s="1" t="str">
        <f>TEXT(Table134[Date],"mm-yyyy")</f>
        <v>01-2022</v>
      </c>
      <c r="C92" t="s">
        <v>41</v>
      </c>
      <c r="D92" t="s">
        <v>29</v>
      </c>
      <c r="E92" t="s">
        <v>42</v>
      </c>
      <c r="F92" t="s">
        <v>26</v>
      </c>
      <c r="G92" t="s">
        <v>15</v>
      </c>
      <c r="H92" t="s">
        <v>27</v>
      </c>
      <c r="I92">
        <v>2</v>
      </c>
      <c r="J92">
        <v>53.05</v>
      </c>
      <c r="K92">
        <v>106.1</v>
      </c>
      <c r="L92" t="s">
        <v>23</v>
      </c>
    </row>
    <row r="93" spans="1:12" x14ac:dyDescent="0.25">
      <c r="A93" s="1">
        <v>44654</v>
      </c>
      <c r="B93" s="1" t="str">
        <f>TEXT(Table134[Date],"mm-yyyy")</f>
        <v>04-2022</v>
      </c>
      <c r="C93" t="s">
        <v>18</v>
      </c>
      <c r="D93" t="s">
        <v>19</v>
      </c>
      <c r="E93" t="s">
        <v>20</v>
      </c>
      <c r="F93" t="s">
        <v>30</v>
      </c>
      <c r="G93" t="s">
        <v>40</v>
      </c>
      <c r="H93" t="s">
        <v>34</v>
      </c>
      <c r="I93">
        <v>4</v>
      </c>
      <c r="J93">
        <v>127.11</v>
      </c>
      <c r="K93">
        <v>508.44</v>
      </c>
      <c r="L93" t="s">
        <v>23</v>
      </c>
    </row>
    <row r="94" spans="1:12" x14ac:dyDescent="0.25">
      <c r="A94" s="1">
        <v>44744</v>
      </c>
      <c r="B94" s="1" t="str">
        <f>TEXT(Table134[Date],"mm-yyyy")</f>
        <v>07-2022</v>
      </c>
      <c r="C94" t="s">
        <v>28</v>
      </c>
      <c r="D94" t="s">
        <v>29</v>
      </c>
      <c r="E94" t="s">
        <v>25</v>
      </c>
      <c r="F94" t="s">
        <v>26</v>
      </c>
      <c r="G94" t="s">
        <v>40</v>
      </c>
      <c r="H94" t="s">
        <v>16</v>
      </c>
      <c r="I94">
        <v>2</v>
      </c>
      <c r="J94">
        <v>259.45999999999998</v>
      </c>
      <c r="K94">
        <v>518.91999999999996</v>
      </c>
      <c r="L94" t="s">
        <v>36</v>
      </c>
    </row>
    <row r="95" spans="1:12" x14ac:dyDescent="0.25">
      <c r="A95" s="1">
        <v>44632</v>
      </c>
      <c r="B95" s="1" t="str">
        <f>TEXT(Table134[Date],"mm-yyyy")</f>
        <v>03-2022</v>
      </c>
      <c r="C95" t="s">
        <v>37</v>
      </c>
      <c r="D95" t="s">
        <v>29</v>
      </c>
      <c r="E95" t="s">
        <v>38</v>
      </c>
      <c r="F95" t="s">
        <v>14</v>
      </c>
      <c r="G95" t="s">
        <v>32</v>
      </c>
      <c r="H95" t="s">
        <v>34</v>
      </c>
      <c r="I95">
        <v>2</v>
      </c>
      <c r="J95">
        <v>183.29</v>
      </c>
      <c r="K95">
        <v>366.58</v>
      </c>
      <c r="L95" t="s">
        <v>36</v>
      </c>
    </row>
    <row r="96" spans="1:12" x14ac:dyDescent="0.25">
      <c r="A96" s="1">
        <v>44577</v>
      </c>
      <c r="B96" s="1" t="str">
        <f>TEXT(Table134[Date],"mm-yyyy")</f>
        <v>01-2022</v>
      </c>
      <c r="C96" t="s">
        <v>37</v>
      </c>
      <c r="D96" t="s">
        <v>29</v>
      </c>
      <c r="E96" t="s">
        <v>38</v>
      </c>
      <c r="F96" t="s">
        <v>26</v>
      </c>
      <c r="G96" t="s">
        <v>40</v>
      </c>
      <c r="H96" t="s">
        <v>39</v>
      </c>
      <c r="I96">
        <v>2</v>
      </c>
      <c r="J96">
        <v>130.4</v>
      </c>
      <c r="K96">
        <v>260.8</v>
      </c>
      <c r="L96" t="s">
        <v>23</v>
      </c>
    </row>
    <row r="97" spans="1:12" x14ac:dyDescent="0.25">
      <c r="A97" s="1">
        <v>44621</v>
      </c>
      <c r="B97" s="1" t="str">
        <f>TEXT(Table134[Date],"mm-yyyy")</f>
        <v>03-2022</v>
      </c>
      <c r="C97" t="s">
        <v>18</v>
      </c>
      <c r="D97" t="s">
        <v>19</v>
      </c>
      <c r="E97" t="s">
        <v>20</v>
      </c>
      <c r="F97" t="s">
        <v>30</v>
      </c>
      <c r="G97" t="s">
        <v>21</v>
      </c>
      <c r="H97" t="s">
        <v>39</v>
      </c>
      <c r="I97">
        <v>5</v>
      </c>
      <c r="J97">
        <v>112.04</v>
      </c>
      <c r="K97">
        <v>560.20000000000005</v>
      </c>
      <c r="L97" t="s">
        <v>36</v>
      </c>
    </row>
    <row r="98" spans="1:12" hidden="1" x14ac:dyDescent="0.25">
      <c r="A98" s="1">
        <v>44619</v>
      </c>
      <c r="B98" s="1" t="str">
        <f>TEXT(Table134[Date],"mm-yyyy")</f>
        <v>02-2022</v>
      </c>
      <c r="C98" t="s">
        <v>48</v>
      </c>
      <c r="D98" t="s">
        <v>49</v>
      </c>
      <c r="E98" t="s">
        <v>50</v>
      </c>
      <c r="F98" t="s">
        <v>26</v>
      </c>
      <c r="G98" t="s">
        <v>32</v>
      </c>
      <c r="H98" t="s">
        <v>16</v>
      </c>
      <c r="I98">
        <v>5</v>
      </c>
      <c r="J98">
        <v>85.1</v>
      </c>
      <c r="K98">
        <v>425.5</v>
      </c>
      <c r="L98" t="s">
        <v>23</v>
      </c>
    </row>
    <row r="99" spans="1:12" hidden="1" x14ac:dyDescent="0.25">
      <c r="A99" s="1">
        <v>44744</v>
      </c>
      <c r="B99" s="1" t="str">
        <f>TEXT(Table134[Date],"mm-yyyy")</f>
        <v>07-2022</v>
      </c>
      <c r="C99" t="s">
        <v>48</v>
      </c>
      <c r="D99" t="s">
        <v>49</v>
      </c>
      <c r="E99" t="s">
        <v>50</v>
      </c>
      <c r="F99" t="s">
        <v>14</v>
      </c>
      <c r="G99" t="s">
        <v>21</v>
      </c>
      <c r="H99" t="s">
        <v>33</v>
      </c>
      <c r="I99">
        <v>1</v>
      </c>
      <c r="J99">
        <v>180.65</v>
      </c>
      <c r="K99">
        <v>180.65</v>
      </c>
      <c r="L99" t="s">
        <v>23</v>
      </c>
    </row>
    <row r="100" spans="1:12" hidden="1" x14ac:dyDescent="0.25">
      <c r="A100" s="1">
        <v>44600</v>
      </c>
      <c r="B100" s="1" t="str">
        <f>TEXT(Table134[Date],"mm-yyyy")</f>
        <v>02-2022</v>
      </c>
      <c r="C100" t="s">
        <v>45</v>
      </c>
      <c r="D100" t="s">
        <v>46</v>
      </c>
      <c r="E100" t="s">
        <v>47</v>
      </c>
      <c r="F100" t="s">
        <v>26</v>
      </c>
      <c r="G100" t="s">
        <v>32</v>
      </c>
      <c r="H100" t="s">
        <v>34</v>
      </c>
      <c r="I100">
        <v>5</v>
      </c>
      <c r="J100">
        <v>147.13</v>
      </c>
      <c r="K100">
        <v>735.65</v>
      </c>
      <c r="L100" t="s">
        <v>36</v>
      </c>
    </row>
    <row r="101" spans="1:12" hidden="1" x14ac:dyDescent="0.25">
      <c r="A101" s="1">
        <v>44583</v>
      </c>
      <c r="B101" s="1" t="str">
        <f>TEXT(Table134[Date],"mm-yyyy")</f>
        <v>01-2022</v>
      </c>
      <c r="C101" t="s">
        <v>48</v>
      </c>
      <c r="D101" t="s">
        <v>49</v>
      </c>
      <c r="E101" t="s">
        <v>50</v>
      </c>
      <c r="F101" t="s">
        <v>26</v>
      </c>
      <c r="G101" t="s">
        <v>15</v>
      </c>
      <c r="H101" t="s">
        <v>33</v>
      </c>
      <c r="I101">
        <v>3</v>
      </c>
      <c r="J101">
        <v>110.78</v>
      </c>
      <c r="K101">
        <v>332.34</v>
      </c>
      <c r="L101" t="s">
        <v>23</v>
      </c>
    </row>
    <row r="102" spans="1:12" x14ac:dyDescent="0.25">
      <c r="A102" s="1">
        <v>44736</v>
      </c>
      <c r="B102" s="1" t="str">
        <f>TEXT(Table134[Date],"mm-yyyy")</f>
        <v>06-2022</v>
      </c>
      <c r="C102" t="s">
        <v>28</v>
      </c>
      <c r="D102" t="s">
        <v>29</v>
      </c>
      <c r="E102" t="s">
        <v>25</v>
      </c>
      <c r="F102" t="s">
        <v>26</v>
      </c>
      <c r="G102" t="s">
        <v>21</v>
      </c>
      <c r="H102" t="s">
        <v>43</v>
      </c>
      <c r="I102">
        <v>5</v>
      </c>
      <c r="J102">
        <v>58.37</v>
      </c>
      <c r="K102">
        <v>291.85000000000002</v>
      </c>
      <c r="L102" t="s">
        <v>35</v>
      </c>
    </row>
    <row r="103" spans="1:12" x14ac:dyDescent="0.25">
      <c r="A103" s="1">
        <v>44765</v>
      </c>
      <c r="B103" s="1" t="str">
        <f>TEXT(Table134[Date],"mm-yyyy")</f>
        <v>07-2022</v>
      </c>
      <c r="C103" t="s">
        <v>41</v>
      </c>
      <c r="D103" t="s">
        <v>29</v>
      </c>
      <c r="E103" t="s">
        <v>42</v>
      </c>
      <c r="F103" t="s">
        <v>26</v>
      </c>
      <c r="G103" t="s">
        <v>32</v>
      </c>
      <c r="H103" t="s">
        <v>27</v>
      </c>
      <c r="I103">
        <v>5</v>
      </c>
      <c r="J103">
        <v>241.67</v>
      </c>
      <c r="K103">
        <v>1208.3499999999999</v>
      </c>
      <c r="L103" t="s">
        <v>17</v>
      </c>
    </row>
    <row r="104" spans="1:12" x14ac:dyDescent="0.25">
      <c r="A104" s="1">
        <v>44767</v>
      </c>
      <c r="B104" s="1" t="str">
        <f>TEXT(Table134[Date],"mm-yyyy")</f>
        <v>07-2022</v>
      </c>
      <c r="C104" t="s">
        <v>37</v>
      </c>
      <c r="D104" t="s">
        <v>29</v>
      </c>
      <c r="E104" t="s">
        <v>38</v>
      </c>
      <c r="F104" t="s">
        <v>26</v>
      </c>
      <c r="G104" t="s">
        <v>15</v>
      </c>
      <c r="H104" t="s">
        <v>22</v>
      </c>
      <c r="I104">
        <v>2</v>
      </c>
      <c r="J104">
        <v>89.67</v>
      </c>
      <c r="K104">
        <v>179.34</v>
      </c>
      <c r="L104" t="s">
        <v>35</v>
      </c>
    </row>
    <row r="105" spans="1:12" x14ac:dyDescent="0.25">
      <c r="A105" s="1">
        <v>44710</v>
      </c>
      <c r="B105" s="1" t="str">
        <f>TEXT(Table134[Date],"mm-yyyy")</f>
        <v>05-2022</v>
      </c>
      <c r="C105" t="s">
        <v>24</v>
      </c>
      <c r="D105" t="s">
        <v>19</v>
      </c>
      <c r="E105" t="s">
        <v>25</v>
      </c>
      <c r="F105" t="s">
        <v>26</v>
      </c>
      <c r="G105" t="s">
        <v>21</v>
      </c>
      <c r="H105" t="s">
        <v>39</v>
      </c>
      <c r="I105">
        <v>1</v>
      </c>
      <c r="J105">
        <v>132.09</v>
      </c>
      <c r="K105">
        <v>132.09</v>
      </c>
      <c r="L105" t="s">
        <v>35</v>
      </c>
    </row>
    <row r="106" spans="1:12" hidden="1" x14ac:dyDescent="0.25">
      <c r="A106" s="1">
        <v>44777</v>
      </c>
      <c r="B106" s="1" t="str">
        <f>TEXT(Table134[Date],"mm-yyyy")</f>
        <v>08-2022</v>
      </c>
      <c r="C106" t="s">
        <v>45</v>
      </c>
      <c r="D106" t="s">
        <v>46</v>
      </c>
      <c r="E106" t="s">
        <v>47</v>
      </c>
      <c r="F106" t="s">
        <v>26</v>
      </c>
      <c r="G106" t="s">
        <v>32</v>
      </c>
      <c r="H106" t="s">
        <v>16</v>
      </c>
      <c r="I106">
        <v>2</v>
      </c>
      <c r="J106">
        <v>202.18</v>
      </c>
      <c r="K106">
        <v>404.36</v>
      </c>
      <c r="L106" t="s">
        <v>35</v>
      </c>
    </row>
    <row r="107" spans="1:12" x14ac:dyDescent="0.25">
      <c r="A107" s="1">
        <v>44604</v>
      </c>
      <c r="B107" s="1" t="str">
        <f>TEXT(Table134[Date],"mm-yyyy")</f>
        <v>02-2022</v>
      </c>
      <c r="C107" t="s">
        <v>18</v>
      </c>
      <c r="D107" t="s">
        <v>19</v>
      </c>
      <c r="E107" t="s">
        <v>20</v>
      </c>
      <c r="F107" t="s">
        <v>30</v>
      </c>
      <c r="G107" t="s">
        <v>32</v>
      </c>
      <c r="H107" t="s">
        <v>34</v>
      </c>
      <c r="I107">
        <v>3</v>
      </c>
      <c r="J107">
        <v>90.19</v>
      </c>
      <c r="K107">
        <v>270.57</v>
      </c>
      <c r="L107" t="s">
        <v>23</v>
      </c>
    </row>
    <row r="108" spans="1:12" x14ac:dyDescent="0.25">
      <c r="A108" s="1">
        <v>44621</v>
      </c>
      <c r="B108" s="1" t="str">
        <f>TEXT(Table134[Date],"mm-yyyy")</f>
        <v>03-2022</v>
      </c>
      <c r="C108" t="s">
        <v>28</v>
      </c>
      <c r="D108" t="s">
        <v>29</v>
      </c>
      <c r="E108" t="s">
        <v>25</v>
      </c>
      <c r="F108" t="s">
        <v>14</v>
      </c>
      <c r="G108" t="s">
        <v>21</v>
      </c>
      <c r="H108" t="s">
        <v>22</v>
      </c>
      <c r="I108">
        <v>2</v>
      </c>
      <c r="J108">
        <v>179.28</v>
      </c>
      <c r="K108">
        <v>358.56</v>
      </c>
      <c r="L108" t="s">
        <v>23</v>
      </c>
    </row>
    <row r="109" spans="1:12" x14ac:dyDescent="0.25">
      <c r="A109" s="1">
        <v>44643</v>
      </c>
      <c r="B109" s="1" t="str">
        <f>TEXT(Table134[Date],"mm-yyyy")</f>
        <v>03-2022</v>
      </c>
      <c r="C109" t="s">
        <v>28</v>
      </c>
      <c r="D109" t="s">
        <v>29</v>
      </c>
      <c r="E109" t="s">
        <v>25</v>
      </c>
      <c r="F109" t="s">
        <v>30</v>
      </c>
      <c r="G109" t="s">
        <v>40</v>
      </c>
      <c r="H109" t="s">
        <v>22</v>
      </c>
      <c r="I109">
        <v>5</v>
      </c>
      <c r="J109">
        <v>188.61</v>
      </c>
      <c r="K109">
        <v>943.05</v>
      </c>
      <c r="L109" t="s">
        <v>36</v>
      </c>
    </row>
    <row r="110" spans="1:12" x14ac:dyDescent="0.25">
      <c r="A110" s="1">
        <v>44803</v>
      </c>
      <c r="B110" s="1" t="str">
        <f>TEXT(Table134[Date],"mm-yyyy")</f>
        <v>08-2022</v>
      </c>
      <c r="C110" t="s">
        <v>11</v>
      </c>
      <c r="D110" t="s">
        <v>12</v>
      </c>
      <c r="E110" t="s">
        <v>13</v>
      </c>
      <c r="F110" t="s">
        <v>30</v>
      </c>
      <c r="G110" t="s">
        <v>40</v>
      </c>
      <c r="H110" t="s">
        <v>34</v>
      </c>
      <c r="I110">
        <v>2</v>
      </c>
      <c r="J110">
        <v>111.36</v>
      </c>
      <c r="K110">
        <v>222.72</v>
      </c>
      <c r="L110" t="s">
        <v>17</v>
      </c>
    </row>
    <row r="111" spans="1:12" hidden="1" x14ac:dyDescent="0.25">
      <c r="A111" s="1">
        <v>44610</v>
      </c>
      <c r="B111" s="1" t="str">
        <f>TEXT(Table134[Date],"mm-yyyy")</f>
        <v>02-2022</v>
      </c>
      <c r="C111" t="s">
        <v>45</v>
      </c>
      <c r="D111" t="s">
        <v>46</v>
      </c>
      <c r="E111" t="s">
        <v>47</v>
      </c>
      <c r="F111" t="s">
        <v>26</v>
      </c>
      <c r="G111" t="s">
        <v>40</v>
      </c>
      <c r="H111" t="s">
        <v>34</v>
      </c>
      <c r="I111">
        <v>3</v>
      </c>
      <c r="J111">
        <v>53.98</v>
      </c>
      <c r="K111">
        <v>161.94</v>
      </c>
      <c r="L111" t="s">
        <v>23</v>
      </c>
    </row>
    <row r="112" spans="1:12" x14ac:dyDescent="0.25">
      <c r="A112" s="1">
        <v>44709</v>
      </c>
      <c r="B112" s="1" t="str">
        <f>TEXT(Table134[Date],"mm-yyyy")</f>
        <v>05-2022</v>
      </c>
      <c r="C112" t="s">
        <v>37</v>
      </c>
      <c r="D112" t="s">
        <v>29</v>
      </c>
      <c r="E112" t="s">
        <v>38</v>
      </c>
      <c r="F112" t="s">
        <v>14</v>
      </c>
      <c r="G112" t="s">
        <v>21</v>
      </c>
      <c r="H112" t="s">
        <v>39</v>
      </c>
      <c r="I112">
        <v>4</v>
      </c>
      <c r="J112">
        <v>240.64</v>
      </c>
      <c r="K112">
        <v>962.56</v>
      </c>
      <c r="L112" t="s">
        <v>23</v>
      </c>
    </row>
    <row r="113" spans="1:12" x14ac:dyDescent="0.25">
      <c r="A113" s="1">
        <v>44620</v>
      </c>
      <c r="B113" s="1" t="str">
        <f>TEXT(Table134[Date],"mm-yyyy")</f>
        <v>02-2022</v>
      </c>
      <c r="C113" t="s">
        <v>37</v>
      </c>
      <c r="D113" t="s">
        <v>29</v>
      </c>
      <c r="E113" t="s">
        <v>38</v>
      </c>
      <c r="F113" t="s">
        <v>26</v>
      </c>
      <c r="G113" t="s">
        <v>32</v>
      </c>
      <c r="H113" t="s">
        <v>22</v>
      </c>
      <c r="I113">
        <v>5</v>
      </c>
      <c r="J113">
        <v>195.57</v>
      </c>
      <c r="K113">
        <v>977.85</v>
      </c>
      <c r="L113" t="s">
        <v>23</v>
      </c>
    </row>
    <row r="114" spans="1:12" x14ac:dyDescent="0.25">
      <c r="A114" s="1">
        <v>44629</v>
      </c>
      <c r="B114" s="1" t="str">
        <f>TEXT(Table134[Date],"mm-yyyy")</f>
        <v>03-2022</v>
      </c>
      <c r="C114" t="s">
        <v>28</v>
      </c>
      <c r="D114" t="s">
        <v>29</v>
      </c>
      <c r="E114" t="s">
        <v>25</v>
      </c>
      <c r="F114" t="s">
        <v>14</v>
      </c>
      <c r="G114" t="s">
        <v>21</v>
      </c>
      <c r="H114" t="s">
        <v>39</v>
      </c>
      <c r="I114">
        <v>3</v>
      </c>
      <c r="J114">
        <v>224.66</v>
      </c>
      <c r="K114">
        <v>673.98</v>
      </c>
      <c r="L114" t="s">
        <v>23</v>
      </c>
    </row>
    <row r="115" spans="1:12" hidden="1" x14ac:dyDescent="0.25">
      <c r="A115" s="1">
        <v>44679</v>
      </c>
      <c r="B115" s="1" t="str">
        <f>TEXT(Table134[Date],"mm-yyyy")</f>
        <v>04-2022</v>
      </c>
      <c r="C115" t="s">
        <v>48</v>
      </c>
      <c r="D115" t="s">
        <v>49</v>
      </c>
      <c r="E115" t="s">
        <v>50</v>
      </c>
      <c r="F115" t="s">
        <v>26</v>
      </c>
      <c r="G115" t="s">
        <v>40</v>
      </c>
      <c r="H115" t="s">
        <v>39</v>
      </c>
      <c r="I115">
        <v>3</v>
      </c>
      <c r="J115">
        <v>65.2</v>
      </c>
      <c r="K115">
        <v>195.6</v>
      </c>
      <c r="L115" t="s">
        <v>36</v>
      </c>
    </row>
    <row r="116" spans="1:12" x14ac:dyDescent="0.25">
      <c r="A116" s="1">
        <v>44755</v>
      </c>
      <c r="B116" s="1" t="str">
        <f>TEXT(Table134[Date],"mm-yyyy")</f>
        <v>07-2022</v>
      </c>
      <c r="C116" t="s">
        <v>44</v>
      </c>
      <c r="D116" t="s">
        <v>19</v>
      </c>
      <c r="E116" t="s">
        <v>20</v>
      </c>
      <c r="F116" t="s">
        <v>26</v>
      </c>
      <c r="G116" t="s">
        <v>15</v>
      </c>
      <c r="H116" t="s">
        <v>39</v>
      </c>
      <c r="I116">
        <v>4</v>
      </c>
      <c r="J116">
        <v>117.78</v>
      </c>
      <c r="K116">
        <v>471.12</v>
      </c>
      <c r="L116" t="s">
        <v>35</v>
      </c>
    </row>
    <row r="117" spans="1:12" x14ac:dyDescent="0.25">
      <c r="A117" s="1">
        <v>44601</v>
      </c>
      <c r="B117" s="1" t="str">
        <f>TEXT(Table134[Date],"mm-yyyy")</f>
        <v>02-2022</v>
      </c>
      <c r="C117" t="s">
        <v>31</v>
      </c>
      <c r="D117" t="s">
        <v>19</v>
      </c>
      <c r="E117" t="s">
        <v>25</v>
      </c>
      <c r="F117" t="s">
        <v>26</v>
      </c>
      <c r="G117" t="s">
        <v>21</v>
      </c>
      <c r="H117" t="s">
        <v>43</v>
      </c>
      <c r="I117">
        <v>4</v>
      </c>
      <c r="J117">
        <v>214.93</v>
      </c>
      <c r="K117">
        <v>859.72</v>
      </c>
      <c r="L117" t="s">
        <v>17</v>
      </c>
    </row>
    <row r="118" spans="1:12" hidden="1" x14ac:dyDescent="0.25">
      <c r="A118" s="1">
        <v>44789</v>
      </c>
      <c r="B118" s="1" t="str">
        <f>TEXT(Table134[Date],"mm-yyyy")</f>
        <v>08-2022</v>
      </c>
      <c r="C118" t="s">
        <v>48</v>
      </c>
      <c r="D118" t="s">
        <v>49</v>
      </c>
      <c r="E118" t="s">
        <v>50</v>
      </c>
      <c r="F118" t="s">
        <v>14</v>
      </c>
      <c r="G118" t="s">
        <v>15</v>
      </c>
      <c r="H118" t="s">
        <v>16</v>
      </c>
      <c r="I118">
        <v>2</v>
      </c>
      <c r="J118">
        <v>249.49</v>
      </c>
      <c r="K118">
        <v>498.98</v>
      </c>
      <c r="L118" t="s">
        <v>23</v>
      </c>
    </row>
    <row r="119" spans="1:12" x14ac:dyDescent="0.25">
      <c r="A119" s="1">
        <v>44725</v>
      </c>
      <c r="B119" s="1" t="str">
        <f>TEXT(Table134[Date],"mm-yyyy")</f>
        <v>06-2022</v>
      </c>
      <c r="C119" t="s">
        <v>18</v>
      </c>
      <c r="D119" t="s">
        <v>19</v>
      </c>
      <c r="E119" t="s">
        <v>20</v>
      </c>
      <c r="F119" t="s">
        <v>30</v>
      </c>
      <c r="G119" t="s">
        <v>32</v>
      </c>
      <c r="H119" t="s">
        <v>43</v>
      </c>
      <c r="I119">
        <v>4</v>
      </c>
      <c r="J119">
        <v>141.35</v>
      </c>
      <c r="K119">
        <v>565.4</v>
      </c>
      <c r="L119" t="s">
        <v>35</v>
      </c>
    </row>
    <row r="120" spans="1:12" hidden="1" x14ac:dyDescent="0.25">
      <c r="A120" s="1">
        <v>44623</v>
      </c>
      <c r="B120" s="1" t="str">
        <f>TEXT(Table134[Date],"mm-yyyy")</f>
        <v>03-2022</v>
      </c>
      <c r="C120" t="s">
        <v>48</v>
      </c>
      <c r="D120" t="s">
        <v>49</v>
      </c>
      <c r="E120" t="s">
        <v>50</v>
      </c>
      <c r="F120" t="s">
        <v>14</v>
      </c>
      <c r="G120" t="s">
        <v>15</v>
      </c>
      <c r="H120" t="s">
        <v>16</v>
      </c>
      <c r="I120">
        <v>3</v>
      </c>
      <c r="J120">
        <v>264.14</v>
      </c>
      <c r="K120">
        <v>792.42</v>
      </c>
      <c r="L120" t="s">
        <v>17</v>
      </c>
    </row>
    <row r="121" spans="1:12" x14ac:dyDescent="0.25">
      <c r="A121" s="1">
        <v>44564</v>
      </c>
      <c r="B121" s="1" t="str">
        <f>TEXT(Table134[Date],"mm-yyyy")</f>
        <v>01-2022</v>
      </c>
      <c r="C121" t="s">
        <v>11</v>
      </c>
      <c r="D121" t="s">
        <v>12</v>
      </c>
      <c r="E121" t="s">
        <v>13</v>
      </c>
      <c r="F121" t="s">
        <v>14</v>
      </c>
      <c r="G121" t="s">
        <v>32</v>
      </c>
      <c r="H121" t="s">
        <v>34</v>
      </c>
      <c r="I121">
        <v>5</v>
      </c>
      <c r="J121">
        <v>73.58</v>
      </c>
      <c r="K121">
        <v>367.9</v>
      </c>
      <c r="L121" t="s">
        <v>35</v>
      </c>
    </row>
    <row r="122" spans="1:12" x14ac:dyDescent="0.25">
      <c r="A122" s="1">
        <v>44768</v>
      </c>
      <c r="B122" s="1" t="str">
        <f>TEXT(Table134[Date],"mm-yyyy")</f>
        <v>07-2022</v>
      </c>
      <c r="C122" t="s">
        <v>11</v>
      </c>
      <c r="D122" t="s">
        <v>12</v>
      </c>
      <c r="E122" t="s">
        <v>13</v>
      </c>
      <c r="F122" t="s">
        <v>14</v>
      </c>
      <c r="G122" t="s">
        <v>21</v>
      </c>
      <c r="H122" t="s">
        <v>22</v>
      </c>
      <c r="I122">
        <v>1</v>
      </c>
      <c r="J122">
        <v>106.59</v>
      </c>
      <c r="K122">
        <v>106.59</v>
      </c>
      <c r="L122" t="s">
        <v>17</v>
      </c>
    </row>
    <row r="123" spans="1:12" x14ac:dyDescent="0.25">
      <c r="A123" s="1">
        <v>44604</v>
      </c>
      <c r="B123" s="1" t="str">
        <f>TEXT(Table134[Date],"mm-yyyy")</f>
        <v>02-2022</v>
      </c>
      <c r="C123" t="s">
        <v>28</v>
      </c>
      <c r="D123" t="s">
        <v>29</v>
      </c>
      <c r="E123" t="s">
        <v>25</v>
      </c>
      <c r="F123" t="s">
        <v>30</v>
      </c>
      <c r="G123" t="s">
        <v>21</v>
      </c>
      <c r="H123" t="s">
        <v>39</v>
      </c>
      <c r="I123">
        <v>3</v>
      </c>
      <c r="J123">
        <v>59.98</v>
      </c>
      <c r="K123">
        <v>179.94</v>
      </c>
      <c r="L123" t="s">
        <v>35</v>
      </c>
    </row>
    <row r="124" spans="1:12" hidden="1" x14ac:dyDescent="0.25">
      <c r="A124" s="1">
        <v>44622</v>
      </c>
      <c r="B124" s="1" t="str">
        <f>TEXT(Table134[Date],"mm-yyyy")</f>
        <v>03-2022</v>
      </c>
      <c r="C124" t="s">
        <v>48</v>
      </c>
      <c r="D124" t="s">
        <v>49</v>
      </c>
      <c r="E124" t="s">
        <v>50</v>
      </c>
      <c r="F124" t="s">
        <v>26</v>
      </c>
      <c r="G124" t="s">
        <v>32</v>
      </c>
      <c r="H124" t="s">
        <v>16</v>
      </c>
      <c r="I124">
        <v>3</v>
      </c>
      <c r="J124">
        <v>87.81</v>
      </c>
      <c r="K124">
        <v>263.43</v>
      </c>
      <c r="L124" t="s">
        <v>17</v>
      </c>
    </row>
    <row r="125" spans="1:12" x14ac:dyDescent="0.25">
      <c r="A125" s="1">
        <v>44657</v>
      </c>
      <c r="B125" s="1" t="str">
        <f>TEXT(Table134[Date],"mm-yyyy")</f>
        <v>04-2022</v>
      </c>
      <c r="C125" t="s">
        <v>28</v>
      </c>
      <c r="D125" t="s">
        <v>29</v>
      </c>
      <c r="E125" t="s">
        <v>25</v>
      </c>
      <c r="F125" t="s">
        <v>30</v>
      </c>
      <c r="G125" t="s">
        <v>40</v>
      </c>
      <c r="H125" t="s">
        <v>16</v>
      </c>
      <c r="I125">
        <v>2</v>
      </c>
      <c r="J125">
        <v>283.60000000000002</v>
      </c>
      <c r="K125">
        <v>567.20000000000005</v>
      </c>
      <c r="L125" t="s">
        <v>35</v>
      </c>
    </row>
    <row r="126" spans="1:12" hidden="1" x14ac:dyDescent="0.25">
      <c r="A126" s="1">
        <v>44784</v>
      </c>
      <c r="B126" s="1" t="str">
        <f>TEXT(Table134[Date],"mm-yyyy")</f>
        <v>08-2022</v>
      </c>
      <c r="C126" t="s">
        <v>48</v>
      </c>
      <c r="D126" t="s">
        <v>49</v>
      </c>
      <c r="E126" t="s">
        <v>50</v>
      </c>
      <c r="F126" t="s">
        <v>30</v>
      </c>
      <c r="G126" t="s">
        <v>15</v>
      </c>
      <c r="H126" t="s">
        <v>16</v>
      </c>
      <c r="I126">
        <v>2</v>
      </c>
      <c r="J126">
        <v>194.31</v>
      </c>
      <c r="K126">
        <v>388.62</v>
      </c>
      <c r="L126" t="s">
        <v>35</v>
      </c>
    </row>
    <row r="127" spans="1:12" x14ac:dyDescent="0.25">
      <c r="A127" s="1">
        <v>44735</v>
      </c>
      <c r="B127" s="1" t="str">
        <f>TEXT(Table134[Date],"mm-yyyy")</f>
        <v>06-2022</v>
      </c>
      <c r="C127" t="s">
        <v>41</v>
      </c>
      <c r="D127" t="s">
        <v>29</v>
      </c>
      <c r="E127" t="s">
        <v>42</v>
      </c>
      <c r="F127" t="s">
        <v>14</v>
      </c>
      <c r="G127" t="s">
        <v>15</v>
      </c>
      <c r="H127" t="s">
        <v>16</v>
      </c>
      <c r="I127">
        <v>4</v>
      </c>
      <c r="J127">
        <v>199.68</v>
      </c>
      <c r="K127">
        <v>798.72</v>
      </c>
      <c r="L127" t="s">
        <v>36</v>
      </c>
    </row>
    <row r="128" spans="1:12" x14ac:dyDescent="0.25">
      <c r="A128" s="1">
        <v>44659</v>
      </c>
      <c r="B128" s="1" t="str">
        <f>TEXT(Table134[Date],"mm-yyyy")</f>
        <v>04-2022</v>
      </c>
      <c r="C128" t="s">
        <v>11</v>
      </c>
      <c r="D128" t="s">
        <v>12</v>
      </c>
      <c r="E128" t="s">
        <v>13</v>
      </c>
      <c r="F128" t="s">
        <v>26</v>
      </c>
      <c r="G128" t="s">
        <v>40</v>
      </c>
      <c r="H128" t="s">
        <v>16</v>
      </c>
      <c r="I128">
        <v>5</v>
      </c>
      <c r="J128">
        <v>145.47</v>
      </c>
      <c r="K128">
        <v>727.35</v>
      </c>
      <c r="L128" t="s">
        <v>17</v>
      </c>
    </row>
    <row r="129" spans="1:12" x14ac:dyDescent="0.25">
      <c r="A129" s="1">
        <v>44592</v>
      </c>
      <c r="B129" s="1" t="str">
        <f>TEXT(Table134[Date],"mm-yyyy")</f>
        <v>01-2022</v>
      </c>
      <c r="C129" t="s">
        <v>41</v>
      </c>
      <c r="D129" t="s">
        <v>29</v>
      </c>
      <c r="E129" t="s">
        <v>42</v>
      </c>
      <c r="F129" t="s">
        <v>26</v>
      </c>
      <c r="G129" t="s">
        <v>15</v>
      </c>
      <c r="H129" t="s">
        <v>33</v>
      </c>
      <c r="I129">
        <v>1</v>
      </c>
      <c r="J129">
        <v>141.11000000000001</v>
      </c>
      <c r="K129">
        <v>141.11000000000001</v>
      </c>
      <c r="L129" t="s">
        <v>35</v>
      </c>
    </row>
    <row r="130" spans="1:12" x14ac:dyDescent="0.25">
      <c r="A130" s="1">
        <v>44667</v>
      </c>
      <c r="B130" s="1" t="str">
        <f>TEXT(Table134[Date],"mm-yyyy")</f>
        <v>04-2022</v>
      </c>
      <c r="C130" t="s">
        <v>31</v>
      </c>
      <c r="D130" t="s">
        <v>19</v>
      </c>
      <c r="E130" t="s">
        <v>25</v>
      </c>
      <c r="F130" t="s">
        <v>26</v>
      </c>
      <c r="G130" t="s">
        <v>32</v>
      </c>
      <c r="H130" t="s">
        <v>34</v>
      </c>
      <c r="I130">
        <v>2</v>
      </c>
      <c r="J130">
        <v>188.4</v>
      </c>
      <c r="K130">
        <v>376.8</v>
      </c>
      <c r="L130" t="s">
        <v>17</v>
      </c>
    </row>
    <row r="131" spans="1:12" x14ac:dyDescent="0.25">
      <c r="A131" s="1">
        <v>44650</v>
      </c>
      <c r="B131" s="1" t="str">
        <f>TEXT(Table134[Date],"mm-yyyy")</f>
        <v>03-2022</v>
      </c>
      <c r="C131" t="s">
        <v>41</v>
      </c>
      <c r="D131" t="s">
        <v>29</v>
      </c>
      <c r="E131" t="s">
        <v>42</v>
      </c>
      <c r="F131" t="s">
        <v>30</v>
      </c>
      <c r="G131" t="s">
        <v>15</v>
      </c>
      <c r="H131" t="s">
        <v>27</v>
      </c>
      <c r="I131">
        <v>4</v>
      </c>
      <c r="J131">
        <v>145.28</v>
      </c>
      <c r="K131">
        <v>581.12</v>
      </c>
      <c r="L131" t="s">
        <v>17</v>
      </c>
    </row>
    <row r="132" spans="1:12" x14ac:dyDescent="0.25">
      <c r="A132" s="1">
        <v>44757</v>
      </c>
      <c r="B132" s="1" t="str">
        <f>TEXT(Table134[Date],"mm-yyyy")</f>
        <v>07-2022</v>
      </c>
      <c r="C132" t="s">
        <v>44</v>
      </c>
      <c r="D132" t="s">
        <v>19</v>
      </c>
      <c r="E132" t="s">
        <v>20</v>
      </c>
      <c r="F132" t="s">
        <v>30</v>
      </c>
      <c r="G132" t="s">
        <v>21</v>
      </c>
      <c r="H132" t="s">
        <v>33</v>
      </c>
      <c r="I132">
        <v>2</v>
      </c>
      <c r="J132">
        <v>277.48</v>
      </c>
      <c r="K132">
        <v>554.96</v>
      </c>
      <c r="L132" t="s">
        <v>17</v>
      </c>
    </row>
    <row r="133" spans="1:12" x14ac:dyDescent="0.25">
      <c r="A133" s="1">
        <v>44789</v>
      </c>
      <c r="B133" s="1" t="str">
        <f>TEXT(Table134[Date],"mm-yyyy")</f>
        <v>08-2022</v>
      </c>
      <c r="C133" t="s">
        <v>28</v>
      </c>
      <c r="D133" t="s">
        <v>29</v>
      </c>
      <c r="E133" t="s">
        <v>25</v>
      </c>
      <c r="F133" t="s">
        <v>26</v>
      </c>
      <c r="G133" t="s">
        <v>15</v>
      </c>
      <c r="H133" t="s">
        <v>16</v>
      </c>
      <c r="I133">
        <v>4</v>
      </c>
      <c r="J133">
        <v>153.56</v>
      </c>
      <c r="K133">
        <v>614.24</v>
      </c>
      <c r="L133" t="s">
        <v>36</v>
      </c>
    </row>
    <row r="134" spans="1:12" x14ac:dyDescent="0.25">
      <c r="A134" s="1">
        <v>44635</v>
      </c>
      <c r="B134" s="1" t="str">
        <f>TEXT(Table134[Date],"mm-yyyy")</f>
        <v>03-2022</v>
      </c>
      <c r="C134" t="s">
        <v>11</v>
      </c>
      <c r="D134" t="s">
        <v>12</v>
      </c>
      <c r="E134" t="s">
        <v>13</v>
      </c>
      <c r="F134" t="s">
        <v>30</v>
      </c>
      <c r="G134" t="s">
        <v>32</v>
      </c>
      <c r="H134" t="s">
        <v>16</v>
      </c>
      <c r="I134">
        <v>2</v>
      </c>
      <c r="J134">
        <v>74.83</v>
      </c>
      <c r="K134">
        <v>149.66</v>
      </c>
      <c r="L134" t="s">
        <v>17</v>
      </c>
    </row>
    <row r="135" spans="1:12" x14ac:dyDescent="0.25">
      <c r="A135" s="1">
        <v>44748</v>
      </c>
      <c r="B135" s="1" t="str">
        <f>TEXT(Table134[Date],"mm-yyyy")</f>
        <v>07-2022</v>
      </c>
      <c r="C135" t="s">
        <v>41</v>
      </c>
      <c r="D135" t="s">
        <v>29</v>
      </c>
      <c r="E135" t="s">
        <v>42</v>
      </c>
      <c r="F135" t="s">
        <v>26</v>
      </c>
      <c r="G135" t="s">
        <v>15</v>
      </c>
      <c r="H135" t="s">
        <v>27</v>
      </c>
      <c r="I135">
        <v>1</v>
      </c>
      <c r="J135">
        <v>136.80000000000001</v>
      </c>
      <c r="K135">
        <v>136.80000000000001</v>
      </c>
      <c r="L135" t="s">
        <v>35</v>
      </c>
    </row>
    <row r="136" spans="1:12" x14ac:dyDescent="0.25">
      <c r="A136" s="1">
        <v>44738</v>
      </c>
      <c r="B136" s="1" t="str">
        <f>TEXT(Table134[Date],"mm-yyyy")</f>
        <v>06-2022</v>
      </c>
      <c r="C136" t="s">
        <v>18</v>
      </c>
      <c r="D136" t="s">
        <v>19</v>
      </c>
      <c r="E136" t="s">
        <v>20</v>
      </c>
      <c r="F136" t="s">
        <v>14</v>
      </c>
      <c r="G136" t="s">
        <v>32</v>
      </c>
      <c r="H136" t="s">
        <v>22</v>
      </c>
      <c r="I136">
        <v>3</v>
      </c>
      <c r="J136">
        <v>209.69</v>
      </c>
      <c r="K136">
        <v>629.07000000000005</v>
      </c>
      <c r="L136" t="s">
        <v>36</v>
      </c>
    </row>
    <row r="137" spans="1:12" x14ac:dyDescent="0.25">
      <c r="A137" s="1">
        <v>44638</v>
      </c>
      <c r="B137" s="1" t="str">
        <f>TEXT(Table134[Date],"mm-yyyy")</f>
        <v>03-2022</v>
      </c>
      <c r="C137" t="s">
        <v>41</v>
      </c>
      <c r="D137" t="s">
        <v>29</v>
      </c>
      <c r="E137" t="s">
        <v>42</v>
      </c>
      <c r="F137" t="s">
        <v>30</v>
      </c>
      <c r="G137" t="s">
        <v>32</v>
      </c>
      <c r="H137" t="s">
        <v>43</v>
      </c>
      <c r="I137">
        <v>3</v>
      </c>
      <c r="J137">
        <v>200.87</v>
      </c>
      <c r="K137">
        <v>602.61</v>
      </c>
      <c r="L137" t="s">
        <v>23</v>
      </c>
    </row>
    <row r="138" spans="1:12" hidden="1" x14ac:dyDescent="0.25">
      <c r="A138" s="1">
        <v>44596</v>
      </c>
      <c r="B138" s="1" t="str">
        <f>TEXT(Table134[Date],"mm-yyyy")</f>
        <v>02-2022</v>
      </c>
      <c r="C138" t="s">
        <v>48</v>
      </c>
      <c r="D138" t="s">
        <v>49</v>
      </c>
      <c r="E138" t="s">
        <v>50</v>
      </c>
      <c r="F138" t="s">
        <v>30</v>
      </c>
      <c r="G138" t="s">
        <v>21</v>
      </c>
      <c r="H138" t="s">
        <v>16</v>
      </c>
      <c r="I138">
        <v>1</v>
      </c>
      <c r="J138">
        <v>221.26</v>
      </c>
      <c r="K138">
        <v>221.26</v>
      </c>
      <c r="L138" t="s">
        <v>17</v>
      </c>
    </row>
    <row r="139" spans="1:12" x14ac:dyDescent="0.25">
      <c r="A139" s="1">
        <v>44564</v>
      </c>
      <c r="B139" s="1" t="str">
        <f>TEXT(Table134[Date],"mm-yyyy")</f>
        <v>01-2022</v>
      </c>
      <c r="C139" t="s">
        <v>24</v>
      </c>
      <c r="D139" t="s">
        <v>19</v>
      </c>
      <c r="E139" t="s">
        <v>25</v>
      </c>
      <c r="F139" t="s">
        <v>26</v>
      </c>
      <c r="G139" t="s">
        <v>21</v>
      </c>
      <c r="H139" t="s">
        <v>22</v>
      </c>
      <c r="I139">
        <v>5</v>
      </c>
      <c r="J139">
        <v>176.98</v>
      </c>
      <c r="K139">
        <v>884.9</v>
      </c>
      <c r="L139" t="s">
        <v>17</v>
      </c>
    </row>
    <row r="140" spans="1:12" hidden="1" x14ac:dyDescent="0.25">
      <c r="A140" s="1">
        <v>44779</v>
      </c>
      <c r="B140" s="1" t="str">
        <f>TEXT(Table134[Date],"mm-yyyy")</f>
        <v>08-2022</v>
      </c>
      <c r="C140" t="s">
        <v>45</v>
      </c>
      <c r="D140" t="s">
        <v>46</v>
      </c>
      <c r="E140" t="s">
        <v>47</v>
      </c>
      <c r="F140" t="s">
        <v>30</v>
      </c>
      <c r="G140" t="s">
        <v>32</v>
      </c>
      <c r="H140" t="s">
        <v>34</v>
      </c>
      <c r="I140">
        <v>5</v>
      </c>
      <c r="J140">
        <v>77.08</v>
      </c>
      <c r="K140">
        <v>385.4</v>
      </c>
      <c r="L140" t="s">
        <v>36</v>
      </c>
    </row>
    <row r="141" spans="1:12" x14ac:dyDescent="0.25">
      <c r="A141" s="1">
        <v>44626</v>
      </c>
      <c r="B141" s="1" t="str">
        <f>TEXT(Table134[Date],"mm-yyyy")</f>
        <v>03-2022</v>
      </c>
      <c r="C141" t="s">
        <v>31</v>
      </c>
      <c r="D141" t="s">
        <v>19</v>
      </c>
      <c r="E141" t="s">
        <v>25</v>
      </c>
      <c r="F141" t="s">
        <v>30</v>
      </c>
      <c r="G141" t="s">
        <v>32</v>
      </c>
      <c r="H141" t="s">
        <v>39</v>
      </c>
      <c r="I141">
        <v>4</v>
      </c>
      <c r="J141">
        <v>239.54</v>
      </c>
      <c r="K141">
        <v>958.16</v>
      </c>
      <c r="L141" t="s">
        <v>36</v>
      </c>
    </row>
    <row r="142" spans="1:12" x14ac:dyDescent="0.25">
      <c r="A142" s="1">
        <v>44639</v>
      </c>
      <c r="B142" s="1" t="str">
        <f>TEXT(Table134[Date],"mm-yyyy")</f>
        <v>03-2022</v>
      </c>
      <c r="C142" t="s">
        <v>41</v>
      </c>
      <c r="D142" t="s">
        <v>29</v>
      </c>
      <c r="E142" t="s">
        <v>42</v>
      </c>
      <c r="F142" t="s">
        <v>30</v>
      </c>
      <c r="G142" t="s">
        <v>21</v>
      </c>
      <c r="H142" t="s">
        <v>43</v>
      </c>
      <c r="I142">
        <v>5</v>
      </c>
      <c r="J142">
        <v>179.54</v>
      </c>
      <c r="K142">
        <v>897.7</v>
      </c>
      <c r="L142" t="s">
        <v>35</v>
      </c>
    </row>
    <row r="143" spans="1:12" x14ac:dyDescent="0.25">
      <c r="A143" s="1">
        <v>44656</v>
      </c>
      <c r="B143" s="1" t="str">
        <f>TEXT(Table134[Date],"mm-yyyy")</f>
        <v>04-2022</v>
      </c>
      <c r="C143" t="s">
        <v>37</v>
      </c>
      <c r="D143" t="s">
        <v>29</v>
      </c>
      <c r="E143" t="s">
        <v>38</v>
      </c>
      <c r="F143" t="s">
        <v>26</v>
      </c>
      <c r="G143" t="s">
        <v>21</v>
      </c>
      <c r="H143" t="s">
        <v>39</v>
      </c>
      <c r="I143">
        <v>3</v>
      </c>
      <c r="J143">
        <v>274.23</v>
      </c>
      <c r="K143">
        <v>822.69</v>
      </c>
      <c r="L143" t="s">
        <v>23</v>
      </c>
    </row>
    <row r="144" spans="1:12" x14ac:dyDescent="0.25">
      <c r="A144" s="1">
        <v>44631</v>
      </c>
      <c r="B144" s="1" t="str">
        <f>TEXT(Table134[Date],"mm-yyyy")</f>
        <v>03-2022</v>
      </c>
      <c r="C144" t="s">
        <v>28</v>
      </c>
      <c r="D144" t="s">
        <v>29</v>
      </c>
      <c r="E144" t="s">
        <v>25</v>
      </c>
      <c r="F144" t="s">
        <v>26</v>
      </c>
      <c r="G144" t="s">
        <v>15</v>
      </c>
      <c r="H144" t="s">
        <v>43</v>
      </c>
      <c r="I144">
        <v>5</v>
      </c>
      <c r="J144">
        <v>99.89</v>
      </c>
      <c r="K144">
        <v>499.45</v>
      </c>
      <c r="L144" t="s">
        <v>23</v>
      </c>
    </row>
    <row r="145" spans="1:12" x14ac:dyDescent="0.25">
      <c r="A145" s="1">
        <v>44654</v>
      </c>
      <c r="B145" s="1" t="str">
        <f>TEXT(Table134[Date],"mm-yyyy")</f>
        <v>04-2022</v>
      </c>
      <c r="C145" t="s">
        <v>18</v>
      </c>
      <c r="D145" t="s">
        <v>19</v>
      </c>
      <c r="E145" t="s">
        <v>20</v>
      </c>
      <c r="F145" t="s">
        <v>26</v>
      </c>
      <c r="G145" t="s">
        <v>40</v>
      </c>
      <c r="H145" t="s">
        <v>34</v>
      </c>
      <c r="I145">
        <v>4</v>
      </c>
      <c r="J145">
        <v>148.11000000000001</v>
      </c>
      <c r="K145">
        <v>592.44000000000005</v>
      </c>
      <c r="L145" t="s">
        <v>23</v>
      </c>
    </row>
    <row r="146" spans="1:12" x14ac:dyDescent="0.25">
      <c r="A146" s="1">
        <v>44742</v>
      </c>
      <c r="B146" s="1" t="str">
        <f>TEXT(Table134[Date],"mm-yyyy")</f>
        <v>06-2022</v>
      </c>
      <c r="C146" t="s">
        <v>31</v>
      </c>
      <c r="D146" t="s">
        <v>19</v>
      </c>
      <c r="E146" t="s">
        <v>25</v>
      </c>
      <c r="F146" t="s">
        <v>14</v>
      </c>
      <c r="G146" t="s">
        <v>40</v>
      </c>
      <c r="H146" t="s">
        <v>43</v>
      </c>
      <c r="I146">
        <v>5</v>
      </c>
      <c r="J146">
        <v>81.97</v>
      </c>
      <c r="K146">
        <v>409.85</v>
      </c>
      <c r="L146" t="s">
        <v>23</v>
      </c>
    </row>
    <row r="147" spans="1:12" x14ac:dyDescent="0.25">
      <c r="A147" s="1">
        <v>44570</v>
      </c>
      <c r="B147" s="1" t="str">
        <f>TEXT(Table134[Date],"mm-yyyy")</f>
        <v>01-2022</v>
      </c>
      <c r="C147" t="s">
        <v>18</v>
      </c>
      <c r="D147" t="s">
        <v>19</v>
      </c>
      <c r="E147" t="s">
        <v>20</v>
      </c>
      <c r="F147" t="s">
        <v>26</v>
      </c>
      <c r="G147" t="s">
        <v>15</v>
      </c>
      <c r="H147" t="s">
        <v>43</v>
      </c>
      <c r="I147">
        <v>3</v>
      </c>
      <c r="J147">
        <v>291.29000000000002</v>
      </c>
      <c r="K147">
        <v>873.87</v>
      </c>
      <c r="L147" t="s">
        <v>36</v>
      </c>
    </row>
    <row r="148" spans="1:12" x14ac:dyDescent="0.25">
      <c r="A148" s="1">
        <v>44683</v>
      </c>
      <c r="B148" s="1" t="str">
        <f>TEXT(Table134[Date],"mm-yyyy")</f>
        <v>05-2022</v>
      </c>
      <c r="C148" t="s">
        <v>44</v>
      </c>
      <c r="D148" t="s">
        <v>19</v>
      </c>
      <c r="E148" t="s">
        <v>20</v>
      </c>
      <c r="F148" t="s">
        <v>30</v>
      </c>
      <c r="G148" t="s">
        <v>21</v>
      </c>
      <c r="H148" t="s">
        <v>39</v>
      </c>
      <c r="I148">
        <v>5</v>
      </c>
      <c r="J148">
        <v>138.94999999999999</v>
      </c>
      <c r="K148">
        <v>694.75</v>
      </c>
      <c r="L148" t="s">
        <v>35</v>
      </c>
    </row>
    <row r="149" spans="1:12" x14ac:dyDescent="0.25">
      <c r="A149" s="1">
        <v>44588</v>
      </c>
      <c r="B149" s="1" t="str">
        <f>TEXT(Table134[Date],"mm-yyyy")</f>
        <v>01-2022</v>
      </c>
      <c r="C149" t="s">
        <v>44</v>
      </c>
      <c r="D149" t="s">
        <v>19</v>
      </c>
      <c r="E149" t="s">
        <v>20</v>
      </c>
      <c r="F149" t="s">
        <v>30</v>
      </c>
      <c r="G149" t="s">
        <v>21</v>
      </c>
      <c r="H149" t="s">
        <v>16</v>
      </c>
      <c r="I149">
        <v>4</v>
      </c>
      <c r="J149">
        <v>208.19</v>
      </c>
      <c r="K149">
        <v>832.76</v>
      </c>
      <c r="L149" t="s">
        <v>36</v>
      </c>
    </row>
    <row r="150" spans="1:12" x14ac:dyDescent="0.25">
      <c r="A150" s="1">
        <v>44769</v>
      </c>
      <c r="B150" s="1" t="str">
        <f>TEXT(Table134[Date],"mm-yyyy")</f>
        <v>07-2022</v>
      </c>
      <c r="C150" t="s">
        <v>31</v>
      </c>
      <c r="D150" t="s">
        <v>19</v>
      </c>
      <c r="E150" t="s">
        <v>25</v>
      </c>
      <c r="F150" t="s">
        <v>30</v>
      </c>
      <c r="G150" t="s">
        <v>15</v>
      </c>
      <c r="H150" t="s">
        <v>43</v>
      </c>
      <c r="I150">
        <v>5</v>
      </c>
      <c r="J150">
        <v>291.7</v>
      </c>
      <c r="K150">
        <v>1458.5</v>
      </c>
      <c r="L150" t="s">
        <v>36</v>
      </c>
    </row>
    <row r="151" spans="1:12" x14ac:dyDescent="0.25">
      <c r="A151" s="1">
        <v>44722</v>
      </c>
      <c r="B151" s="1" t="str">
        <f>TEXT(Table134[Date],"mm-yyyy")</f>
        <v>06-2022</v>
      </c>
      <c r="C151" t="s">
        <v>11</v>
      </c>
      <c r="D151" t="s">
        <v>12</v>
      </c>
      <c r="E151" t="s">
        <v>13</v>
      </c>
      <c r="F151" t="s">
        <v>26</v>
      </c>
      <c r="G151" t="s">
        <v>40</v>
      </c>
      <c r="H151" t="s">
        <v>33</v>
      </c>
      <c r="I151">
        <v>3</v>
      </c>
      <c r="J151">
        <v>209.89</v>
      </c>
      <c r="K151">
        <v>629.66999999999996</v>
      </c>
      <c r="L151" t="s">
        <v>35</v>
      </c>
    </row>
    <row r="152" spans="1:12" x14ac:dyDescent="0.25">
      <c r="A152" s="1">
        <v>44685</v>
      </c>
      <c r="B152" s="1" t="str">
        <f>TEXT(Table134[Date],"mm-yyyy")</f>
        <v>05-2022</v>
      </c>
      <c r="C152" t="s">
        <v>31</v>
      </c>
      <c r="D152" t="s">
        <v>19</v>
      </c>
      <c r="E152" t="s">
        <v>25</v>
      </c>
      <c r="F152" t="s">
        <v>14</v>
      </c>
      <c r="G152" t="s">
        <v>32</v>
      </c>
      <c r="H152" t="s">
        <v>16</v>
      </c>
      <c r="I152">
        <v>4</v>
      </c>
      <c r="J152">
        <v>171.49</v>
      </c>
      <c r="K152">
        <v>685.96</v>
      </c>
      <c r="L152" t="s">
        <v>23</v>
      </c>
    </row>
    <row r="153" spans="1:12" x14ac:dyDescent="0.25">
      <c r="A153" s="1">
        <v>44578</v>
      </c>
      <c r="B153" s="1" t="str">
        <f>TEXT(Table134[Date],"mm-yyyy")</f>
        <v>01-2022</v>
      </c>
      <c r="C153" t="s">
        <v>28</v>
      </c>
      <c r="D153" t="s">
        <v>29</v>
      </c>
      <c r="E153" t="s">
        <v>25</v>
      </c>
      <c r="F153" t="s">
        <v>30</v>
      </c>
      <c r="G153" t="s">
        <v>32</v>
      </c>
      <c r="H153" t="s">
        <v>27</v>
      </c>
      <c r="I153">
        <v>3</v>
      </c>
      <c r="J153">
        <v>156.22</v>
      </c>
      <c r="K153">
        <v>468.66</v>
      </c>
      <c r="L153" t="s">
        <v>36</v>
      </c>
    </row>
    <row r="154" spans="1:12" x14ac:dyDescent="0.25">
      <c r="A154" s="1">
        <v>44719</v>
      </c>
      <c r="B154" s="1" t="str">
        <f>TEXT(Table134[Date],"mm-yyyy")</f>
        <v>06-2022</v>
      </c>
      <c r="C154" t="s">
        <v>18</v>
      </c>
      <c r="D154" t="s">
        <v>19</v>
      </c>
      <c r="E154" t="s">
        <v>20</v>
      </c>
      <c r="F154" t="s">
        <v>30</v>
      </c>
      <c r="G154" t="s">
        <v>21</v>
      </c>
      <c r="H154" t="s">
        <v>16</v>
      </c>
      <c r="I154">
        <v>4</v>
      </c>
      <c r="J154">
        <v>158.82</v>
      </c>
      <c r="K154">
        <v>635.28</v>
      </c>
      <c r="L154" t="s">
        <v>35</v>
      </c>
    </row>
    <row r="155" spans="1:12" x14ac:dyDescent="0.25">
      <c r="A155" s="1">
        <v>44754</v>
      </c>
      <c r="B155" s="1" t="str">
        <f>TEXT(Table134[Date],"mm-yyyy")</f>
        <v>07-2022</v>
      </c>
      <c r="C155" t="s">
        <v>37</v>
      </c>
      <c r="D155" t="s">
        <v>29</v>
      </c>
      <c r="E155" t="s">
        <v>38</v>
      </c>
      <c r="F155" t="s">
        <v>30</v>
      </c>
      <c r="G155" t="s">
        <v>40</v>
      </c>
      <c r="H155" t="s">
        <v>34</v>
      </c>
      <c r="I155">
        <v>3</v>
      </c>
      <c r="J155">
        <v>218.91</v>
      </c>
      <c r="K155">
        <v>656.73</v>
      </c>
      <c r="L155" t="s">
        <v>36</v>
      </c>
    </row>
    <row r="156" spans="1:12" x14ac:dyDescent="0.25">
      <c r="A156" s="1">
        <v>44769</v>
      </c>
      <c r="B156" s="1" t="str">
        <f>TEXT(Table134[Date],"mm-yyyy")</f>
        <v>07-2022</v>
      </c>
      <c r="C156" t="s">
        <v>41</v>
      </c>
      <c r="D156" t="s">
        <v>29</v>
      </c>
      <c r="E156" t="s">
        <v>42</v>
      </c>
      <c r="F156" t="s">
        <v>26</v>
      </c>
      <c r="G156" t="s">
        <v>15</v>
      </c>
      <c r="H156" t="s">
        <v>33</v>
      </c>
      <c r="I156">
        <v>5</v>
      </c>
      <c r="J156">
        <v>54.88</v>
      </c>
      <c r="K156">
        <v>274.39999999999998</v>
      </c>
      <c r="L156" t="s">
        <v>36</v>
      </c>
    </row>
    <row r="157" spans="1:12" hidden="1" x14ac:dyDescent="0.25">
      <c r="A157" s="1">
        <v>44689</v>
      </c>
      <c r="B157" s="1" t="str">
        <f>TEXT(Table134[Date],"mm-yyyy")</f>
        <v>05-2022</v>
      </c>
      <c r="C157" t="s">
        <v>45</v>
      </c>
      <c r="D157" t="s">
        <v>46</v>
      </c>
      <c r="E157" t="s">
        <v>47</v>
      </c>
      <c r="F157" t="s">
        <v>26</v>
      </c>
      <c r="G157" t="s">
        <v>40</v>
      </c>
      <c r="H157" t="s">
        <v>39</v>
      </c>
      <c r="I157">
        <v>1</v>
      </c>
      <c r="J157">
        <v>75.27</v>
      </c>
      <c r="K157">
        <v>75.27</v>
      </c>
      <c r="L157" t="s">
        <v>17</v>
      </c>
    </row>
    <row r="158" spans="1:12" hidden="1" x14ac:dyDescent="0.25">
      <c r="A158" s="1">
        <v>44724</v>
      </c>
      <c r="B158" s="1" t="str">
        <f>TEXT(Table134[Date],"mm-yyyy")</f>
        <v>06-2022</v>
      </c>
      <c r="C158" t="s">
        <v>48</v>
      </c>
      <c r="D158" t="s">
        <v>49</v>
      </c>
      <c r="E158" t="s">
        <v>50</v>
      </c>
      <c r="F158" t="s">
        <v>30</v>
      </c>
      <c r="G158" t="s">
        <v>15</v>
      </c>
      <c r="H158" t="s">
        <v>43</v>
      </c>
      <c r="I158">
        <v>1</v>
      </c>
      <c r="J158">
        <v>144.04</v>
      </c>
      <c r="K158">
        <v>144.04</v>
      </c>
      <c r="L158" t="s">
        <v>23</v>
      </c>
    </row>
    <row r="159" spans="1:12" x14ac:dyDescent="0.25">
      <c r="A159" s="1">
        <v>44768</v>
      </c>
      <c r="B159" s="1" t="str">
        <f>TEXT(Table134[Date],"mm-yyyy")</f>
        <v>07-2022</v>
      </c>
      <c r="C159" t="s">
        <v>31</v>
      </c>
      <c r="D159" t="s">
        <v>19</v>
      </c>
      <c r="E159" t="s">
        <v>25</v>
      </c>
      <c r="F159" t="s">
        <v>30</v>
      </c>
      <c r="G159" t="s">
        <v>21</v>
      </c>
      <c r="H159" t="s">
        <v>27</v>
      </c>
      <c r="I159">
        <v>4</v>
      </c>
      <c r="J159">
        <v>196.45</v>
      </c>
      <c r="K159">
        <v>785.8</v>
      </c>
      <c r="L159" t="s">
        <v>35</v>
      </c>
    </row>
    <row r="160" spans="1:12" x14ac:dyDescent="0.25">
      <c r="A160" s="1">
        <v>44578</v>
      </c>
      <c r="B160" s="1" t="str">
        <f>TEXT(Table134[Date],"mm-yyyy")</f>
        <v>01-2022</v>
      </c>
      <c r="C160" t="s">
        <v>24</v>
      </c>
      <c r="D160" t="s">
        <v>19</v>
      </c>
      <c r="E160" t="s">
        <v>25</v>
      </c>
      <c r="F160" t="s">
        <v>30</v>
      </c>
      <c r="G160" t="s">
        <v>15</v>
      </c>
      <c r="H160" t="s">
        <v>22</v>
      </c>
      <c r="I160">
        <v>3</v>
      </c>
      <c r="J160">
        <v>213.66</v>
      </c>
      <c r="K160">
        <v>640.98</v>
      </c>
      <c r="L160" t="s">
        <v>17</v>
      </c>
    </row>
    <row r="161" spans="1:12" x14ac:dyDescent="0.25">
      <c r="A161" s="1">
        <v>44789</v>
      </c>
      <c r="B161" s="1" t="str">
        <f>TEXT(Table134[Date],"mm-yyyy")</f>
        <v>08-2022</v>
      </c>
      <c r="C161" t="s">
        <v>18</v>
      </c>
      <c r="D161" t="s">
        <v>19</v>
      </c>
      <c r="E161" t="s">
        <v>20</v>
      </c>
      <c r="F161" t="s">
        <v>30</v>
      </c>
      <c r="G161" t="s">
        <v>21</v>
      </c>
      <c r="H161" t="s">
        <v>34</v>
      </c>
      <c r="I161">
        <v>1</v>
      </c>
      <c r="J161">
        <v>164.57</v>
      </c>
      <c r="K161">
        <v>164.57</v>
      </c>
      <c r="L161" t="s">
        <v>23</v>
      </c>
    </row>
    <row r="162" spans="1:12" x14ac:dyDescent="0.25">
      <c r="A162" s="1">
        <v>44664</v>
      </c>
      <c r="B162" s="1" t="str">
        <f>TEXT(Table134[Date],"mm-yyyy")</f>
        <v>04-2022</v>
      </c>
      <c r="C162" t="s">
        <v>31</v>
      </c>
      <c r="D162" t="s">
        <v>19</v>
      </c>
      <c r="E162" t="s">
        <v>25</v>
      </c>
      <c r="F162" t="s">
        <v>30</v>
      </c>
      <c r="G162" t="s">
        <v>32</v>
      </c>
      <c r="H162" t="s">
        <v>39</v>
      </c>
      <c r="I162">
        <v>4</v>
      </c>
      <c r="J162">
        <v>203.25</v>
      </c>
      <c r="K162">
        <v>813</v>
      </c>
      <c r="L162" t="s">
        <v>36</v>
      </c>
    </row>
    <row r="163" spans="1:12" x14ac:dyDescent="0.25">
      <c r="A163" s="1">
        <v>44694</v>
      </c>
      <c r="B163" s="1" t="str">
        <f>TEXT(Table134[Date],"mm-yyyy")</f>
        <v>05-2022</v>
      </c>
      <c r="C163" t="s">
        <v>37</v>
      </c>
      <c r="D163" t="s">
        <v>29</v>
      </c>
      <c r="E163" t="s">
        <v>38</v>
      </c>
      <c r="F163" t="s">
        <v>26</v>
      </c>
      <c r="G163" t="s">
        <v>40</v>
      </c>
      <c r="H163" t="s">
        <v>34</v>
      </c>
      <c r="I163">
        <v>5</v>
      </c>
      <c r="J163">
        <v>91.11</v>
      </c>
      <c r="K163">
        <v>455.55</v>
      </c>
      <c r="L163" t="s">
        <v>23</v>
      </c>
    </row>
    <row r="164" spans="1:12" x14ac:dyDescent="0.25">
      <c r="A164" s="1">
        <v>44609</v>
      </c>
      <c r="B164" s="1" t="str">
        <f>TEXT(Table134[Date],"mm-yyyy")</f>
        <v>02-2022</v>
      </c>
      <c r="C164" t="s">
        <v>37</v>
      </c>
      <c r="D164" t="s">
        <v>29</v>
      </c>
      <c r="E164" t="s">
        <v>38</v>
      </c>
      <c r="F164" t="s">
        <v>14</v>
      </c>
      <c r="G164" t="s">
        <v>21</v>
      </c>
      <c r="H164" t="s">
        <v>22</v>
      </c>
      <c r="I164">
        <v>3</v>
      </c>
      <c r="J164">
        <v>57.92</v>
      </c>
      <c r="K164">
        <v>173.76</v>
      </c>
      <c r="L164" t="s">
        <v>23</v>
      </c>
    </row>
    <row r="165" spans="1:12" x14ac:dyDescent="0.25">
      <c r="A165" s="1">
        <v>44773</v>
      </c>
      <c r="B165" s="1" t="str">
        <f>TEXT(Table134[Date],"mm-yyyy")</f>
        <v>07-2022</v>
      </c>
      <c r="C165" t="s">
        <v>31</v>
      </c>
      <c r="D165" t="s">
        <v>19</v>
      </c>
      <c r="E165" t="s">
        <v>25</v>
      </c>
      <c r="F165" t="s">
        <v>26</v>
      </c>
      <c r="G165" t="s">
        <v>15</v>
      </c>
      <c r="H165" t="s">
        <v>16</v>
      </c>
      <c r="I165">
        <v>3</v>
      </c>
      <c r="J165">
        <v>209.3</v>
      </c>
      <c r="K165">
        <v>627.9</v>
      </c>
      <c r="L165" t="s">
        <v>36</v>
      </c>
    </row>
    <row r="166" spans="1:12" x14ac:dyDescent="0.25">
      <c r="A166" s="1">
        <v>44798</v>
      </c>
      <c r="B166" s="1" t="str">
        <f>TEXT(Table134[Date],"mm-yyyy")</f>
        <v>08-2022</v>
      </c>
      <c r="C166" t="s">
        <v>44</v>
      </c>
      <c r="D166" t="s">
        <v>19</v>
      </c>
      <c r="E166" t="s">
        <v>20</v>
      </c>
      <c r="F166" t="s">
        <v>14</v>
      </c>
      <c r="G166" t="s">
        <v>32</v>
      </c>
      <c r="H166" t="s">
        <v>27</v>
      </c>
      <c r="I166">
        <v>1</v>
      </c>
      <c r="J166">
        <v>112.26</v>
      </c>
      <c r="K166">
        <v>112.26</v>
      </c>
      <c r="L166" t="s">
        <v>35</v>
      </c>
    </row>
    <row r="167" spans="1:12" x14ac:dyDescent="0.25">
      <c r="A167" s="1">
        <v>44803</v>
      </c>
      <c r="B167" s="1" t="str">
        <f>TEXT(Table134[Date],"mm-yyyy")</f>
        <v>08-2022</v>
      </c>
      <c r="C167" t="s">
        <v>24</v>
      </c>
      <c r="D167" t="s">
        <v>19</v>
      </c>
      <c r="E167" t="s">
        <v>25</v>
      </c>
      <c r="F167" t="s">
        <v>26</v>
      </c>
      <c r="G167" t="s">
        <v>15</v>
      </c>
      <c r="H167" t="s">
        <v>39</v>
      </c>
      <c r="I167">
        <v>2</v>
      </c>
      <c r="J167">
        <v>216.83</v>
      </c>
      <c r="K167">
        <v>433.66</v>
      </c>
      <c r="L167" t="s">
        <v>35</v>
      </c>
    </row>
    <row r="168" spans="1:12" hidden="1" x14ac:dyDescent="0.25">
      <c r="A168" s="1">
        <v>44763</v>
      </c>
      <c r="B168" s="1" t="str">
        <f>TEXT(Table134[Date],"mm-yyyy")</f>
        <v>07-2022</v>
      </c>
      <c r="C168" t="s">
        <v>48</v>
      </c>
      <c r="D168" t="s">
        <v>49</v>
      </c>
      <c r="E168" t="s">
        <v>50</v>
      </c>
      <c r="F168" t="s">
        <v>14</v>
      </c>
      <c r="G168" t="s">
        <v>15</v>
      </c>
      <c r="H168" t="s">
        <v>39</v>
      </c>
      <c r="I168">
        <v>5</v>
      </c>
      <c r="J168">
        <v>68.52</v>
      </c>
      <c r="K168">
        <v>342.6</v>
      </c>
      <c r="L168" t="s">
        <v>35</v>
      </c>
    </row>
    <row r="169" spans="1:12" x14ac:dyDescent="0.25">
      <c r="A169" s="1">
        <v>44775</v>
      </c>
      <c r="B169" s="1" t="str">
        <f>TEXT(Table134[Date],"mm-yyyy")</f>
        <v>08-2022</v>
      </c>
      <c r="C169" t="s">
        <v>41</v>
      </c>
      <c r="D169" t="s">
        <v>29</v>
      </c>
      <c r="E169" t="s">
        <v>42</v>
      </c>
      <c r="F169" t="s">
        <v>30</v>
      </c>
      <c r="G169" t="s">
        <v>32</v>
      </c>
      <c r="H169" t="s">
        <v>39</v>
      </c>
      <c r="I169">
        <v>1</v>
      </c>
      <c r="J169">
        <v>98.04</v>
      </c>
      <c r="K169">
        <v>98.04</v>
      </c>
      <c r="L169" t="s">
        <v>23</v>
      </c>
    </row>
    <row r="170" spans="1:12" x14ac:dyDescent="0.25">
      <c r="A170" s="1">
        <v>44742</v>
      </c>
      <c r="B170" s="1" t="str">
        <f>TEXT(Table134[Date],"mm-yyyy")</f>
        <v>06-2022</v>
      </c>
      <c r="C170" t="s">
        <v>11</v>
      </c>
      <c r="D170" t="s">
        <v>12</v>
      </c>
      <c r="E170" t="s">
        <v>13</v>
      </c>
      <c r="F170" t="s">
        <v>30</v>
      </c>
      <c r="G170" t="s">
        <v>32</v>
      </c>
      <c r="H170" t="s">
        <v>43</v>
      </c>
      <c r="I170">
        <v>5</v>
      </c>
      <c r="J170">
        <v>204.35</v>
      </c>
      <c r="K170">
        <v>1021.75</v>
      </c>
      <c r="L170" t="s">
        <v>36</v>
      </c>
    </row>
    <row r="171" spans="1:12" x14ac:dyDescent="0.25">
      <c r="A171" s="1">
        <v>44661</v>
      </c>
      <c r="B171" s="1" t="str">
        <f>TEXT(Table134[Date],"mm-yyyy")</f>
        <v>04-2022</v>
      </c>
      <c r="C171" t="s">
        <v>24</v>
      </c>
      <c r="D171" t="s">
        <v>19</v>
      </c>
      <c r="E171" t="s">
        <v>25</v>
      </c>
      <c r="F171" t="s">
        <v>26</v>
      </c>
      <c r="G171" t="s">
        <v>21</v>
      </c>
      <c r="H171" t="s">
        <v>27</v>
      </c>
      <c r="I171">
        <v>4</v>
      </c>
      <c r="J171">
        <v>283.7</v>
      </c>
      <c r="K171">
        <v>1134.8</v>
      </c>
      <c r="L171" t="s">
        <v>17</v>
      </c>
    </row>
    <row r="172" spans="1:12" x14ac:dyDescent="0.25">
      <c r="A172" s="1">
        <v>44745</v>
      </c>
      <c r="B172" s="1" t="str">
        <f>TEXT(Table134[Date],"mm-yyyy")</f>
        <v>07-2022</v>
      </c>
      <c r="C172" t="s">
        <v>37</v>
      </c>
      <c r="D172" t="s">
        <v>29</v>
      </c>
      <c r="E172" t="s">
        <v>38</v>
      </c>
      <c r="F172" t="s">
        <v>26</v>
      </c>
      <c r="G172" t="s">
        <v>15</v>
      </c>
      <c r="H172" t="s">
        <v>43</v>
      </c>
      <c r="I172">
        <v>4</v>
      </c>
      <c r="J172">
        <v>172.52</v>
      </c>
      <c r="K172">
        <v>690.08</v>
      </c>
      <c r="L172" t="s">
        <v>35</v>
      </c>
    </row>
    <row r="173" spans="1:12" x14ac:dyDescent="0.25">
      <c r="A173" s="1">
        <v>44618</v>
      </c>
      <c r="B173" s="1" t="str">
        <f>TEXT(Table134[Date],"mm-yyyy")</f>
        <v>02-2022</v>
      </c>
      <c r="C173" t="s">
        <v>31</v>
      </c>
      <c r="D173" t="s">
        <v>19</v>
      </c>
      <c r="E173" t="s">
        <v>25</v>
      </c>
      <c r="F173" t="s">
        <v>30</v>
      </c>
      <c r="G173" t="s">
        <v>15</v>
      </c>
      <c r="H173" t="s">
        <v>22</v>
      </c>
      <c r="I173">
        <v>3</v>
      </c>
      <c r="J173">
        <v>51.81</v>
      </c>
      <c r="K173">
        <v>155.43</v>
      </c>
      <c r="L173" t="s">
        <v>36</v>
      </c>
    </row>
    <row r="174" spans="1:12" x14ac:dyDescent="0.25">
      <c r="A174" s="1">
        <v>44680</v>
      </c>
      <c r="B174" s="1" t="str">
        <f>TEXT(Table134[Date],"mm-yyyy")</f>
        <v>04-2022</v>
      </c>
      <c r="C174" t="s">
        <v>28</v>
      </c>
      <c r="D174" t="s">
        <v>29</v>
      </c>
      <c r="E174" t="s">
        <v>25</v>
      </c>
      <c r="F174" t="s">
        <v>30</v>
      </c>
      <c r="G174" t="s">
        <v>40</v>
      </c>
      <c r="H174" t="s">
        <v>16</v>
      </c>
      <c r="I174">
        <v>5</v>
      </c>
      <c r="J174">
        <v>71.28</v>
      </c>
      <c r="K174">
        <v>356.4</v>
      </c>
      <c r="L174" t="s">
        <v>23</v>
      </c>
    </row>
    <row r="175" spans="1:12" x14ac:dyDescent="0.25">
      <c r="A175" s="1">
        <v>44616</v>
      </c>
      <c r="B175" s="1" t="str">
        <f>TEXT(Table134[Date],"mm-yyyy")</f>
        <v>02-2022</v>
      </c>
      <c r="C175" t="s">
        <v>18</v>
      </c>
      <c r="D175" t="s">
        <v>19</v>
      </c>
      <c r="E175" t="s">
        <v>20</v>
      </c>
      <c r="F175" t="s">
        <v>14</v>
      </c>
      <c r="G175" t="s">
        <v>40</v>
      </c>
      <c r="H175" t="s">
        <v>39</v>
      </c>
      <c r="I175">
        <v>2</v>
      </c>
      <c r="J175">
        <v>248.44</v>
      </c>
      <c r="K175">
        <v>496.88</v>
      </c>
      <c r="L175" t="s">
        <v>23</v>
      </c>
    </row>
    <row r="176" spans="1:12" x14ac:dyDescent="0.25">
      <c r="A176" s="1">
        <v>44745</v>
      </c>
      <c r="B176" s="1" t="str">
        <f>TEXT(Table134[Date],"mm-yyyy")</f>
        <v>07-2022</v>
      </c>
      <c r="C176" t="s">
        <v>18</v>
      </c>
      <c r="D176" t="s">
        <v>19</v>
      </c>
      <c r="E176" t="s">
        <v>20</v>
      </c>
      <c r="F176" t="s">
        <v>26</v>
      </c>
      <c r="G176" t="s">
        <v>40</v>
      </c>
      <c r="H176" t="s">
        <v>43</v>
      </c>
      <c r="I176">
        <v>2</v>
      </c>
      <c r="J176">
        <v>107.04</v>
      </c>
      <c r="K176">
        <v>214.08</v>
      </c>
      <c r="L176" t="s">
        <v>17</v>
      </c>
    </row>
    <row r="177" spans="1:12" hidden="1" x14ac:dyDescent="0.25">
      <c r="A177" s="1">
        <v>44803</v>
      </c>
      <c r="B177" s="1" t="str">
        <f>TEXT(Table134[Date],"mm-yyyy")</f>
        <v>08-2022</v>
      </c>
      <c r="C177" t="s">
        <v>48</v>
      </c>
      <c r="D177" t="s">
        <v>49</v>
      </c>
      <c r="E177" t="s">
        <v>50</v>
      </c>
      <c r="F177" t="s">
        <v>26</v>
      </c>
      <c r="G177" t="s">
        <v>40</v>
      </c>
      <c r="H177" t="s">
        <v>33</v>
      </c>
      <c r="I177">
        <v>1</v>
      </c>
      <c r="J177">
        <v>132.07</v>
      </c>
      <c r="K177">
        <v>132.07</v>
      </c>
      <c r="L177" t="s">
        <v>36</v>
      </c>
    </row>
    <row r="178" spans="1:12" x14ac:dyDescent="0.25">
      <c r="A178" s="1">
        <v>44751</v>
      </c>
      <c r="B178" s="1" t="str">
        <f>TEXT(Table134[Date],"mm-yyyy")</f>
        <v>07-2022</v>
      </c>
      <c r="C178" t="s">
        <v>24</v>
      </c>
      <c r="D178" t="s">
        <v>19</v>
      </c>
      <c r="E178" t="s">
        <v>25</v>
      </c>
      <c r="F178" t="s">
        <v>30</v>
      </c>
      <c r="G178" t="s">
        <v>32</v>
      </c>
      <c r="H178" t="s">
        <v>16</v>
      </c>
      <c r="I178">
        <v>3</v>
      </c>
      <c r="J178">
        <v>118.37</v>
      </c>
      <c r="K178">
        <v>355.11</v>
      </c>
      <c r="L178" t="s">
        <v>17</v>
      </c>
    </row>
    <row r="179" spans="1:12" x14ac:dyDescent="0.25">
      <c r="A179" s="1">
        <v>44669</v>
      </c>
      <c r="B179" s="1" t="str">
        <f>TEXT(Table134[Date],"mm-yyyy")</f>
        <v>04-2022</v>
      </c>
      <c r="C179" t="s">
        <v>28</v>
      </c>
      <c r="D179" t="s">
        <v>29</v>
      </c>
      <c r="E179" t="s">
        <v>25</v>
      </c>
      <c r="F179" t="s">
        <v>26</v>
      </c>
      <c r="G179" t="s">
        <v>21</v>
      </c>
      <c r="H179" t="s">
        <v>27</v>
      </c>
      <c r="I179">
        <v>5</v>
      </c>
      <c r="J179">
        <v>243.74</v>
      </c>
      <c r="K179">
        <v>1218.7</v>
      </c>
      <c r="L179" t="s">
        <v>36</v>
      </c>
    </row>
    <row r="180" spans="1:12" x14ac:dyDescent="0.25">
      <c r="A180" s="1">
        <v>44577</v>
      </c>
      <c r="B180" s="1" t="str">
        <f>TEXT(Table134[Date],"mm-yyyy")</f>
        <v>01-2022</v>
      </c>
      <c r="C180" t="s">
        <v>24</v>
      </c>
      <c r="D180" t="s">
        <v>19</v>
      </c>
      <c r="E180" t="s">
        <v>25</v>
      </c>
      <c r="F180" t="s">
        <v>14</v>
      </c>
      <c r="G180" t="s">
        <v>15</v>
      </c>
      <c r="H180" t="s">
        <v>16</v>
      </c>
      <c r="I180">
        <v>5</v>
      </c>
      <c r="J180">
        <v>150.02000000000001</v>
      </c>
      <c r="K180">
        <v>750.1</v>
      </c>
      <c r="L180" t="s">
        <v>23</v>
      </c>
    </row>
    <row r="181" spans="1:12" x14ac:dyDescent="0.25">
      <c r="A181" s="1">
        <v>44653</v>
      </c>
      <c r="B181" s="1" t="str">
        <f>TEXT(Table134[Date],"mm-yyyy")</f>
        <v>04-2022</v>
      </c>
      <c r="C181" t="s">
        <v>28</v>
      </c>
      <c r="D181" t="s">
        <v>29</v>
      </c>
      <c r="E181" t="s">
        <v>25</v>
      </c>
      <c r="F181" t="s">
        <v>26</v>
      </c>
      <c r="G181" t="s">
        <v>21</v>
      </c>
      <c r="H181" t="s">
        <v>33</v>
      </c>
      <c r="I181">
        <v>3</v>
      </c>
      <c r="J181">
        <v>73.31</v>
      </c>
      <c r="K181">
        <v>219.93</v>
      </c>
      <c r="L181" t="s">
        <v>36</v>
      </c>
    </row>
    <row r="182" spans="1:12" hidden="1" x14ac:dyDescent="0.25">
      <c r="A182" s="1">
        <v>44798</v>
      </c>
      <c r="B182" s="1" t="str">
        <f>TEXT(Table134[Date],"mm-yyyy")</f>
        <v>08-2022</v>
      </c>
      <c r="C182" t="s">
        <v>48</v>
      </c>
      <c r="D182" t="s">
        <v>49</v>
      </c>
      <c r="E182" t="s">
        <v>50</v>
      </c>
      <c r="F182" t="s">
        <v>30</v>
      </c>
      <c r="G182" t="s">
        <v>32</v>
      </c>
      <c r="H182" t="s">
        <v>33</v>
      </c>
      <c r="I182">
        <v>2</v>
      </c>
      <c r="J182">
        <v>176.24</v>
      </c>
      <c r="K182">
        <v>352.48</v>
      </c>
      <c r="L182" t="s">
        <v>23</v>
      </c>
    </row>
    <row r="183" spans="1:12" x14ac:dyDescent="0.25">
      <c r="A183" s="1">
        <v>44708</v>
      </c>
      <c r="B183" s="1" t="str">
        <f>TEXT(Table134[Date],"mm-yyyy")</f>
        <v>05-2022</v>
      </c>
      <c r="C183" t="s">
        <v>44</v>
      </c>
      <c r="D183" t="s">
        <v>19</v>
      </c>
      <c r="E183" t="s">
        <v>20</v>
      </c>
      <c r="F183" t="s">
        <v>26</v>
      </c>
      <c r="G183" t="s">
        <v>40</v>
      </c>
      <c r="H183" t="s">
        <v>34</v>
      </c>
      <c r="I183">
        <v>5</v>
      </c>
      <c r="J183">
        <v>135.5</v>
      </c>
      <c r="K183">
        <v>677.5</v>
      </c>
      <c r="L183" t="s">
        <v>35</v>
      </c>
    </row>
    <row r="184" spans="1:12" x14ac:dyDescent="0.25">
      <c r="A184" s="1">
        <v>44791</v>
      </c>
      <c r="B184" s="1" t="str">
        <f>TEXT(Table134[Date],"mm-yyyy")</f>
        <v>08-2022</v>
      </c>
      <c r="C184" t="s">
        <v>11</v>
      </c>
      <c r="D184" t="s">
        <v>12</v>
      </c>
      <c r="E184" t="s">
        <v>13</v>
      </c>
      <c r="F184" t="s">
        <v>30</v>
      </c>
      <c r="G184" t="s">
        <v>40</v>
      </c>
      <c r="H184" t="s">
        <v>39</v>
      </c>
      <c r="I184">
        <v>4</v>
      </c>
      <c r="J184">
        <v>250.12</v>
      </c>
      <c r="K184">
        <v>1000.48</v>
      </c>
      <c r="L184" t="s">
        <v>17</v>
      </c>
    </row>
    <row r="185" spans="1:12" x14ac:dyDescent="0.25">
      <c r="A185" s="1">
        <v>44745</v>
      </c>
      <c r="B185" s="1" t="str">
        <f>TEXT(Table134[Date],"mm-yyyy")</f>
        <v>07-2022</v>
      </c>
      <c r="C185" t="s">
        <v>18</v>
      </c>
      <c r="D185" t="s">
        <v>19</v>
      </c>
      <c r="E185" t="s">
        <v>20</v>
      </c>
      <c r="F185" t="s">
        <v>26</v>
      </c>
      <c r="G185" t="s">
        <v>32</v>
      </c>
      <c r="H185" t="s">
        <v>33</v>
      </c>
      <c r="I185">
        <v>4</v>
      </c>
      <c r="J185">
        <v>145.88999999999999</v>
      </c>
      <c r="K185">
        <v>583.55999999999995</v>
      </c>
      <c r="L185" t="s">
        <v>17</v>
      </c>
    </row>
    <row r="186" spans="1:12" x14ac:dyDescent="0.25">
      <c r="A186" s="1">
        <v>44688</v>
      </c>
      <c r="B186" s="1" t="str">
        <f>TEXT(Table134[Date],"mm-yyyy")</f>
        <v>05-2022</v>
      </c>
      <c r="C186" t="s">
        <v>28</v>
      </c>
      <c r="D186" t="s">
        <v>29</v>
      </c>
      <c r="E186" t="s">
        <v>25</v>
      </c>
      <c r="F186" t="s">
        <v>14</v>
      </c>
      <c r="G186" t="s">
        <v>32</v>
      </c>
      <c r="H186" t="s">
        <v>22</v>
      </c>
      <c r="I186">
        <v>4</v>
      </c>
      <c r="J186">
        <v>281.54000000000002</v>
      </c>
      <c r="K186">
        <v>1126.1600000000001</v>
      </c>
      <c r="L186" t="s">
        <v>36</v>
      </c>
    </row>
    <row r="187" spans="1:12" x14ac:dyDescent="0.25">
      <c r="A187" s="1">
        <v>44737</v>
      </c>
      <c r="B187" s="1" t="str">
        <f>TEXT(Table134[Date],"mm-yyyy")</f>
        <v>06-2022</v>
      </c>
      <c r="C187" t="s">
        <v>31</v>
      </c>
      <c r="D187" t="s">
        <v>19</v>
      </c>
      <c r="E187" t="s">
        <v>25</v>
      </c>
      <c r="F187" t="s">
        <v>14</v>
      </c>
      <c r="G187" t="s">
        <v>32</v>
      </c>
      <c r="H187" t="s">
        <v>33</v>
      </c>
      <c r="I187">
        <v>4</v>
      </c>
      <c r="J187">
        <v>121.42</v>
      </c>
      <c r="K187">
        <v>485.68</v>
      </c>
      <c r="L187" t="s">
        <v>17</v>
      </c>
    </row>
    <row r="188" spans="1:12" x14ac:dyDescent="0.25">
      <c r="A188" s="1">
        <v>44715</v>
      </c>
      <c r="B188" s="1" t="str">
        <f>TEXT(Table134[Date],"mm-yyyy")</f>
        <v>06-2022</v>
      </c>
      <c r="C188" t="s">
        <v>31</v>
      </c>
      <c r="D188" t="s">
        <v>19</v>
      </c>
      <c r="E188" t="s">
        <v>25</v>
      </c>
      <c r="F188" t="s">
        <v>26</v>
      </c>
      <c r="G188" t="s">
        <v>21</v>
      </c>
      <c r="H188" t="s">
        <v>43</v>
      </c>
      <c r="I188">
        <v>4</v>
      </c>
      <c r="J188">
        <v>265.91000000000003</v>
      </c>
      <c r="K188">
        <v>1063.6400000000001</v>
      </c>
      <c r="L188" t="s">
        <v>35</v>
      </c>
    </row>
    <row r="189" spans="1:12" x14ac:dyDescent="0.25">
      <c r="A189" s="1">
        <v>44586</v>
      </c>
      <c r="B189" s="1" t="str">
        <f>TEXT(Table134[Date],"mm-yyyy")</f>
        <v>01-2022</v>
      </c>
      <c r="C189" t="s">
        <v>11</v>
      </c>
      <c r="D189" t="s">
        <v>12</v>
      </c>
      <c r="E189" t="s">
        <v>13</v>
      </c>
      <c r="F189" t="s">
        <v>26</v>
      </c>
      <c r="G189" t="s">
        <v>15</v>
      </c>
      <c r="H189" t="s">
        <v>27</v>
      </c>
      <c r="I189">
        <v>1</v>
      </c>
      <c r="J189">
        <v>240.42</v>
      </c>
      <c r="K189">
        <v>240.42</v>
      </c>
      <c r="L189" t="s">
        <v>17</v>
      </c>
    </row>
    <row r="190" spans="1:12" x14ac:dyDescent="0.25">
      <c r="A190" s="1">
        <v>44569</v>
      </c>
      <c r="B190" s="1" t="str">
        <f>TEXT(Table134[Date],"mm-yyyy")</f>
        <v>01-2022</v>
      </c>
      <c r="C190" t="s">
        <v>44</v>
      </c>
      <c r="D190" t="s">
        <v>19</v>
      </c>
      <c r="E190" t="s">
        <v>20</v>
      </c>
      <c r="F190" t="s">
        <v>26</v>
      </c>
      <c r="G190" t="s">
        <v>40</v>
      </c>
      <c r="H190" t="s">
        <v>22</v>
      </c>
      <c r="I190">
        <v>5</v>
      </c>
      <c r="J190">
        <v>275.27</v>
      </c>
      <c r="K190">
        <v>1376.35</v>
      </c>
      <c r="L190" t="s">
        <v>17</v>
      </c>
    </row>
    <row r="191" spans="1:12" x14ac:dyDescent="0.25">
      <c r="A191" s="1">
        <v>44782</v>
      </c>
      <c r="B191" s="1" t="str">
        <f>TEXT(Table134[Date],"mm-yyyy")</f>
        <v>08-2022</v>
      </c>
      <c r="C191" t="s">
        <v>41</v>
      </c>
      <c r="D191" t="s">
        <v>29</v>
      </c>
      <c r="E191" t="s">
        <v>42</v>
      </c>
      <c r="F191" t="s">
        <v>26</v>
      </c>
      <c r="G191" t="s">
        <v>21</v>
      </c>
      <c r="H191" t="s">
        <v>43</v>
      </c>
      <c r="I191">
        <v>3</v>
      </c>
      <c r="J191">
        <v>154.79</v>
      </c>
      <c r="K191">
        <v>464.37</v>
      </c>
      <c r="L191" t="s">
        <v>17</v>
      </c>
    </row>
    <row r="192" spans="1:12" x14ac:dyDescent="0.25">
      <c r="A192" s="1">
        <v>44786</v>
      </c>
      <c r="B192" s="1" t="str">
        <f>TEXT(Table134[Date],"mm-yyyy")</f>
        <v>08-2022</v>
      </c>
      <c r="C192" t="s">
        <v>41</v>
      </c>
      <c r="D192" t="s">
        <v>29</v>
      </c>
      <c r="E192" t="s">
        <v>42</v>
      </c>
      <c r="F192" t="s">
        <v>14</v>
      </c>
      <c r="G192" t="s">
        <v>40</v>
      </c>
      <c r="H192" t="s">
        <v>43</v>
      </c>
      <c r="I192">
        <v>5</v>
      </c>
      <c r="J192">
        <v>139</v>
      </c>
      <c r="K192">
        <v>695</v>
      </c>
      <c r="L192" t="s">
        <v>35</v>
      </c>
    </row>
    <row r="193" spans="1:12" x14ac:dyDescent="0.25">
      <c r="A193" s="1">
        <v>44733</v>
      </c>
      <c r="B193" s="1" t="str">
        <f>TEXT(Table134[Date],"mm-yyyy")</f>
        <v>06-2022</v>
      </c>
      <c r="C193" t="s">
        <v>28</v>
      </c>
      <c r="D193" t="s">
        <v>29</v>
      </c>
      <c r="E193" t="s">
        <v>25</v>
      </c>
      <c r="F193" t="s">
        <v>14</v>
      </c>
      <c r="G193" t="s">
        <v>21</v>
      </c>
      <c r="H193" t="s">
        <v>33</v>
      </c>
      <c r="I193">
        <v>3</v>
      </c>
      <c r="J193">
        <v>79.27</v>
      </c>
      <c r="K193">
        <v>237.81</v>
      </c>
      <c r="L193" t="s">
        <v>17</v>
      </c>
    </row>
    <row r="194" spans="1:12" x14ac:dyDescent="0.25">
      <c r="A194" s="1">
        <v>44796</v>
      </c>
      <c r="B194" s="1" t="str">
        <f>TEXT(Table134[Date],"mm-yyyy")</f>
        <v>08-2022</v>
      </c>
      <c r="C194" t="s">
        <v>37</v>
      </c>
      <c r="D194" t="s">
        <v>29</v>
      </c>
      <c r="E194" t="s">
        <v>38</v>
      </c>
      <c r="F194" t="s">
        <v>30</v>
      </c>
      <c r="G194" t="s">
        <v>32</v>
      </c>
      <c r="H194" t="s">
        <v>39</v>
      </c>
      <c r="I194">
        <v>2</v>
      </c>
      <c r="J194">
        <v>237.1</v>
      </c>
      <c r="K194">
        <v>474.2</v>
      </c>
      <c r="L194" t="s">
        <v>23</v>
      </c>
    </row>
    <row r="195" spans="1:12" x14ac:dyDescent="0.25">
      <c r="A195" s="1">
        <v>44590</v>
      </c>
      <c r="B195" s="1" t="str">
        <f>TEXT(Table134[Date],"mm-yyyy")</f>
        <v>01-2022</v>
      </c>
      <c r="C195" t="s">
        <v>37</v>
      </c>
      <c r="D195" t="s">
        <v>29</v>
      </c>
      <c r="E195" t="s">
        <v>38</v>
      </c>
      <c r="F195" t="s">
        <v>30</v>
      </c>
      <c r="G195" t="s">
        <v>32</v>
      </c>
      <c r="H195" t="s">
        <v>34</v>
      </c>
      <c r="I195">
        <v>4</v>
      </c>
      <c r="J195">
        <v>228.46</v>
      </c>
      <c r="K195">
        <v>913.84</v>
      </c>
      <c r="L195" t="s">
        <v>23</v>
      </c>
    </row>
    <row r="196" spans="1:12" x14ac:dyDescent="0.25">
      <c r="A196" s="1">
        <v>44724</v>
      </c>
      <c r="B196" s="1" t="str">
        <f>TEXT(Table134[Date],"mm-yyyy")</f>
        <v>06-2022</v>
      </c>
      <c r="C196" t="s">
        <v>41</v>
      </c>
      <c r="D196" t="s">
        <v>29</v>
      </c>
      <c r="E196" t="s">
        <v>42</v>
      </c>
      <c r="F196" t="s">
        <v>30</v>
      </c>
      <c r="G196" t="s">
        <v>40</v>
      </c>
      <c r="H196" t="s">
        <v>39</v>
      </c>
      <c r="I196">
        <v>4</v>
      </c>
      <c r="J196">
        <v>52.42</v>
      </c>
      <c r="K196">
        <v>209.68</v>
      </c>
      <c r="L196" t="s">
        <v>36</v>
      </c>
    </row>
    <row r="197" spans="1:12" x14ac:dyDescent="0.25">
      <c r="A197" s="1">
        <v>44799</v>
      </c>
      <c r="B197" s="1" t="str">
        <f>TEXT(Table134[Date],"mm-yyyy")</f>
        <v>08-2022</v>
      </c>
      <c r="C197" t="s">
        <v>24</v>
      </c>
      <c r="D197" t="s">
        <v>19</v>
      </c>
      <c r="E197" t="s">
        <v>25</v>
      </c>
      <c r="F197" t="s">
        <v>30</v>
      </c>
      <c r="G197" t="s">
        <v>15</v>
      </c>
      <c r="H197" t="s">
        <v>16</v>
      </c>
      <c r="I197">
        <v>3</v>
      </c>
      <c r="J197">
        <v>270.52</v>
      </c>
      <c r="K197">
        <v>811.56</v>
      </c>
      <c r="L197" t="s">
        <v>35</v>
      </c>
    </row>
    <row r="198" spans="1:12" x14ac:dyDescent="0.25">
      <c r="A198" s="1">
        <v>44569</v>
      </c>
      <c r="B198" s="1" t="str">
        <f>TEXT(Table134[Date],"mm-yyyy")</f>
        <v>01-2022</v>
      </c>
      <c r="C198" t="s">
        <v>31</v>
      </c>
      <c r="D198" t="s">
        <v>19</v>
      </c>
      <c r="E198" t="s">
        <v>25</v>
      </c>
      <c r="F198" t="s">
        <v>14</v>
      </c>
      <c r="G198" t="s">
        <v>15</v>
      </c>
      <c r="H198" t="s">
        <v>34</v>
      </c>
      <c r="I198">
        <v>4</v>
      </c>
      <c r="J198">
        <v>119.36</v>
      </c>
      <c r="K198">
        <v>477.44</v>
      </c>
      <c r="L198" t="s">
        <v>23</v>
      </c>
    </row>
    <row r="199" spans="1:12" hidden="1" x14ac:dyDescent="0.25">
      <c r="A199" s="1">
        <v>44584</v>
      </c>
      <c r="B199" s="1" t="str">
        <f>TEXT(Table134[Date],"mm-yyyy")</f>
        <v>01-2022</v>
      </c>
      <c r="C199" t="s">
        <v>45</v>
      </c>
      <c r="D199" t="s">
        <v>46</v>
      </c>
      <c r="E199" t="s">
        <v>47</v>
      </c>
      <c r="F199" t="s">
        <v>26</v>
      </c>
      <c r="G199" t="s">
        <v>15</v>
      </c>
      <c r="H199" t="s">
        <v>34</v>
      </c>
      <c r="I199">
        <v>3</v>
      </c>
      <c r="J199">
        <v>125.26</v>
      </c>
      <c r="K199">
        <v>375.78</v>
      </c>
      <c r="L199" t="s">
        <v>36</v>
      </c>
    </row>
    <row r="200" spans="1:12" x14ac:dyDescent="0.25">
      <c r="A200" s="1">
        <v>44714</v>
      </c>
      <c r="B200" s="1" t="str">
        <f>TEXT(Table134[Date],"mm-yyyy")</f>
        <v>06-2022</v>
      </c>
      <c r="C200" t="s">
        <v>37</v>
      </c>
      <c r="D200" t="s">
        <v>29</v>
      </c>
      <c r="E200" t="s">
        <v>38</v>
      </c>
      <c r="F200" t="s">
        <v>26</v>
      </c>
      <c r="G200" t="s">
        <v>32</v>
      </c>
      <c r="H200" t="s">
        <v>39</v>
      </c>
      <c r="I200">
        <v>3</v>
      </c>
      <c r="J200">
        <v>296.55</v>
      </c>
      <c r="K200">
        <v>889.65</v>
      </c>
      <c r="L200" t="s">
        <v>17</v>
      </c>
    </row>
    <row r="201" spans="1:12" hidden="1" x14ac:dyDescent="0.25">
      <c r="A201" s="1">
        <v>44725</v>
      </c>
      <c r="B201" s="1" t="str">
        <f>TEXT(Table134[Date],"mm-yyyy")</f>
        <v>06-2022</v>
      </c>
      <c r="C201" t="s">
        <v>48</v>
      </c>
      <c r="D201" t="s">
        <v>49</v>
      </c>
      <c r="E201" t="s">
        <v>50</v>
      </c>
      <c r="F201" t="s">
        <v>26</v>
      </c>
      <c r="G201" t="s">
        <v>32</v>
      </c>
      <c r="H201" t="s">
        <v>34</v>
      </c>
      <c r="I201">
        <v>1</v>
      </c>
      <c r="J201">
        <v>56.73</v>
      </c>
      <c r="K201">
        <v>56.73</v>
      </c>
      <c r="L201" t="s">
        <v>36</v>
      </c>
    </row>
    <row r="202" spans="1:12" x14ac:dyDescent="0.25">
      <c r="A202" s="1">
        <v>44579</v>
      </c>
      <c r="B202" s="1" t="str">
        <f>TEXT(Table134[Date],"mm-yyyy")</f>
        <v>01-2022</v>
      </c>
      <c r="C202" t="s">
        <v>41</v>
      </c>
      <c r="D202" t="s">
        <v>29</v>
      </c>
      <c r="E202" t="s">
        <v>42</v>
      </c>
      <c r="F202" t="s">
        <v>14</v>
      </c>
      <c r="G202" t="s">
        <v>32</v>
      </c>
      <c r="H202" t="s">
        <v>34</v>
      </c>
      <c r="I202">
        <v>1</v>
      </c>
      <c r="J202">
        <v>91.56</v>
      </c>
      <c r="K202">
        <v>91.56</v>
      </c>
      <c r="L202" t="s">
        <v>35</v>
      </c>
    </row>
    <row r="203" spans="1:12" hidden="1" x14ac:dyDescent="0.25">
      <c r="A203" s="1">
        <v>44662</v>
      </c>
      <c r="B203" s="1" t="str">
        <f>TEXT(Table134[Date],"mm-yyyy")</f>
        <v>04-2022</v>
      </c>
      <c r="C203" t="s">
        <v>45</v>
      </c>
      <c r="D203" t="s">
        <v>46</v>
      </c>
      <c r="E203" t="s">
        <v>47</v>
      </c>
      <c r="F203" t="s">
        <v>26</v>
      </c>
      <c r="G203" t="s">
        <v>21</v>
      </c>
      <c r="H203" t="s">
        <v>22</v>
      </c>
      <c r="I203">
        <v>2</v>
      </c>
      <c r="J203">
        <v>152.54</v>
      </c>
      <c r="K203">
        <v>305.08</v>
      </c>
      <c r="L203" t="s">
        <v>17</v>
      </c>
    </row>
    <row r="204" spans="1:12" hidden="1" x14ac:dyDescent="0.25">
      <c r="A204" s="1">
        <v>44746</v>
      </c>
      <c r="B204" s="1" t="str">
        <f>TEXT(Table134[Date],"mm-yyyy")</f>
        <v>07-2022</v>
      </c>
      <c r="C204" t="s">
        <v>45</v>
      </c>
      <c r="D204" t="s">
        <v>46</v>
      </c>
      <c r="E204" t="s">
        <v>47</v>
      </c>
      <c r="F204" t="s">
        <v>26</v>
      </c>
      <c r="G204" t="s">
        <v>32</v>
      </c>
      <c r="H204" t="s">
        <v>33</v>
      </c>
      <c r="I204">
        <v>4</v>
      </c>
      <c r="J204">
        <v>61.37</v>
      </c>
      <c r="K204">
        <v>245.48</v>
      </c>
      <c r="L204" t="s">
        <v>23</v>
      </c>
    </row>
    <row r="205" spans="1:12" x14ac:dyDescent="0.25">
      <c r="A205" s="1">
        <v>44627</v>
      </c>
      <c r="B205" s="1" t="str">
        <f>TEXT(Table134[Date],"mm-yyyy")</f>
        <v>03-2022</v>
      </c>
      <c r="C205" t="s">
        <v>37</v>
      </c>
      <c r="D205" t="s">
        <v>29</v>
      </c>
      <c r="E205" t="s">
        <v>38</v>
      </c>
      <c r="F205" t="s">
        <v>30</v>
      </c>
      <c r="G205" t="s">
        <v>21</v>
      </c>
      <c r="H205" t="s">
        <v>16</v>
      </c>
      <c r="I205">
        <v>3</v>
      </c>
      <c r="J205">
        <v>162.36000000000001</v>
      </c>
      <c r="K205">
        <v>487.08</v>
      </c>
      <c r="L205" t="s">
        <v>36</v>
      </c>
    </row>
    <row r="206" spans="1:12" x14ac:dyDescent="0.25">
      <c r="A206" s="1">
        <v>44741</v>
      </c>
      <c r="B206" s="1" t="str">
        <f>TEXT(Table134[Date],"mm-yyyy")</f>
        <v>06-2022</v>
      </c>
      <c r="C206" t="s">
        <v>41</v>
      </c>
      <c r="D206" t="s">
        <v>29</v>
      </c>
      <c r="E206" t="s">
        <v>42</v>
      </c>
      <c r="F206" t="s">
        <v>30</v>
      </c>
      <c r="G206" t="s">
        <v>21</v>
      </c>
      <c r="H206" t="s">
        <v>22</v>
      </c>
      <c r="I206">
        <v>2</v>
      </c>
      <c r="J206">
        <v>257.5</v>
      </c>
      <c r="K206">
        <v>515</v>
      </c>
      <c r="L206" t="s">
        <v>35</v>
      </c>
    </row>
    <row r="207" spans="1:12" x14ac:dyDescent="0.25">
      <c r="A207" s="1">
        <v>44702</v>
      </c>
      <c r="B207" s="1" t="str">
        <f>TEXT(Table134[Date],"mm-yyyy")</f>
        <v>05-2022</v>
      </c>
      <c r="C207" t="s">
        <v>24</v>
      </c>
      <c r="D207" t="s">
        <v>19</v>
      </c>
      <c r="E207" t="s">
        <v>25</v>
      </c>
      <c r="F207" t="s">
        <v>26</v>
      </c>
      <c r="G207" t="s">
        <v>32</v>
      </c>
      <c r="H207" t="s">
        <v>27</v>
      </c>
      <c r="I207">
        <v>4</v>
      </c>
      <c r="J207">
        <v>202.28</v>
      </c>
      <c r="K207">
        <v>809.12</v>
      </c>
      <c r="L207" t="s">
        <v>17</v>
      </c>
    </row>
    <row r="208" spans="1:12" hidden="1" x14ac:dyDescent="0.25">
      <c r="A208" s="1">
        <v>44749</v>
      </c>
      <c r="B208" s="1" t="str">
        <f>TEXT(Table134[Date],"mm-yyyy")</f>
        <v>07-2022</v>
      </c>
      <c r="C208" t="s">
        <v>45</v>
      </c>
      <c r="D208" t="s">
        <v>46</v>
      </c>
      <c r="E208" t="s">
        <v>47</v>
      </c>
      <c r="F208" t="s">
        <v>14</v>
      </c>
      <c r="G208" t="s">
        <v>32</v>
      </c>
      <c r="H208" t="s">
        <v>43</v>
      </c>
      <c r="I208">
        <v>1</v>
      </c>
      <c r="J208">
        <v>224.83</v>
      </c>
      <c r="K208">
        <v>224.83</v>
      </c>
      <c r="L208" t="s">
        <v>23</v>
      </c>
    </row>
    <row r="209" spans="1:12" hidden="1" x14ac:dyDescent="0.25">
      <c r="A209" s="1">
        <v>44653</v>
      </c>
      <c r="B209" s="1" t="str">
        <f>TEXT(Table134[Date],"mm-yyyy")</f>
        <v>04-2022</v>
      </c>
      <c r="C209" t="s">
        <v>48</v>
      </c>
      <c r="D209" t="s">
        <v>49</v>
      </c>
      <c r="E209" t="s">
        <v>50</v>
      </c>
      <c r="F209" t="s">
        <v>30</v>
      </c>
      <c r="G209" t="s">
        <v>21</v>
      </c>
      <c r="H209" t="s">
        <v>39</v>
      </c>
      <c r="I209">
        <v>3</v>
      </c>
      <c r="J209">
        <v>256.27</v>
      </c>
      <c r="K209">
        <v>768.81</v>
      </c>
      <c r="L209" t="s">
        <v>23</v>
      </c>
    </row>
    <row r="210" spans="1:12" x14ac:dyDescent="0.25">
      <c r="A210" s="1">
        <v>44646</v>
      </c>
      <c r="B210" s="1" t="str">
        <f>TEXT(Table134[Date],"mm-yyyy")</f>
        <v>03-2022</v>
      </c>
      <c r="C210" t="s">
        <v>18</v>
      </c>
      <c r="D210" t="s">
        <v>19</v>
      </c>
      <c r="E210" t="s">
        <v>20</v>
      </c>
      <c r="F210" t="s">
        <v>26</v>
      </c>
      <c r="G210" t="s">
        <v>15</v>
      </c>
      <c r="H210" t="s">
        <v>34</v>
      </c>
      <c r="I210">
        <v>2</v>
      </c>
      <c r="J210">
        <v>277.26</v>
      </c>
      <c r="K210">
        <v>554.52</v>
      </c>
      <c r="L210" t="s">
        <v>35</v>
      </c>
    </row>
    <row r="211" spans="1:12" hidden="1" x14ac:dyDescent="0.25">
      <c r="A211" s="1">
        <v>44746</v>
      </c>
      <c r="B211" s="1" t="str">
        <f>TEXT(Table134[Date],"mm-yyyy")</f>
        <v>07-2022</v>
      </c>
      <c r="C211" t="s">
        <v>48</v>
      </c>
      <c r="D211" t="s">
        <v>49</v>
      </c>
      <c r="E211" t="s">
        <v>50</v>
      </c>
      <c r="F211" t="s">
        <v>14</v>
      </c>
      <c r="G211" t="s">
        <v>21</v>
      </c>
      <c r="H211" t="s">
        <v>39</v>
      </c>
      <c r="I211">
        <v>3</v>
      </c>
      <c r="J211">
        <v>271.19</v>
      </c>
      <c r="K211">
        <v>813.57</v>
      </c>
      <c r="L211" t="s">
        <v>23</v>
      </c>
    </row>
    <row r="212" spans="1:12" x14ac:dyDescent="0.25">
      <c r="A212" s="1">
        <v>44573</v>
      </c>
      <c r="B212" s="1" t="str">
        <f>TEXT(Table134[Date],"mm-yyyy")</f>
        <v>01-2022</v>
      </c>
      <c r="C212" t="s">
        <v>37</v>
      </c>
      <c r="D212" t="s">
        <v>29</v>
      </c>
      <c r="E212" t="s">
        <v>38</v>
      </c>
      <c r="F212" t="s">
        <v>30</v>
      </c>
      <c r="G212" t="s">
        <v>21</v>
      </c>
      <c r="H212" t="s">
        <v>39</v>
      </c>
      <c r="I212">
        <v>3</v>
      </c>
      <c r="J212">
        <v>205.62</v>
      </c>
      <c r="K212">
        <v>616.86</v>
      </c>
      <c r="L212" t="s">
        <v>36</v>
      </c>
    </row>
    <row r="213" spans="1:12" x14ac:dyDescent="0.25">
      <c r="A213" s="1">
        <v>44774</v>
      </c>
      <c r="B213" s="1" t="str">
        <f>TEXT(Table134[Date],"mm-yyyy")</f>
        <v>08-2022</v>
      </c>
      <c r="C213" t="s">
        <v>31</v>
      </c>
      <c r="D213" t="s">
        <v>19</v>
      </c>
      <c r="E213" t="s">
        <v>25</v>
      </c>
      <c r="F213" t="s">
        <v>30</v>
      </c>
      <c r="G213" t="s">
        <v>21</v>
      </c>
      <c r="H213" t="s">
        <v>22</v>
      </c>
      <c r="I213">
        <v>4</v>
      </c>
      <c r="J213">
        <v>130.97</v>
      </c>
      <c r="K213">
        <v>523.88</v>
      </c>
      <c r="L213" t="s">
        <v>17</v>
      </c>
    </row>
    <row r="214" spans="1:12" x14ac:dyDescent="0.25">
      <c r="A214" s="1">
        <v>44646</v>
      </c>
      <c r="B214" s="1" t="str">
        <f>TEXT(Table134[Date],"mm-yyyy")</f>
        <v>03-2022</v>
      </c>
      <c r="C214" t="s">
        <v>11</v>
      </c>
      <c r="D214" t="s">
        <v>12</v>
      </c>
      <c r="E214" t="s">
        <v>13</v>
      </c>
      <c r="F214" t="s">
        <v>30</v>
      </c>
      <c r="G214" t="s">
        <v>21</v>
      </c>
      <c r="H214" t="s">
        <v>39</v>
      </c>
      <c r="I214">
        <v>5</v>
      </c>
      <c r="J214">
        <v>267.70999999999998</v>
      </c>
      <c r="K214">
        <v>1338.55</v>
      </c>
      <c r="L214" t="s">
        <v>23</v>
      </c>
    </row>
    <row r="215" spans="1:12" x14ac:dyDescent="0.25">
      <c r="A215" s="1">
        <v>44565</v>
      </c>
      <c r="B215" s="1" t="str">
        <f>TEXT(Table134[Date],"mm-yyyy")</f>
        <v>01-2022</v>
      </c>
      <c r="C215" t="s">
        <v>24</v>
      </c>
      <c r="D215" t="s">
        <v>19</v>
      </c>
      <c r="E215" t="s">
        <v>25</v>
      </c>
      <c r="F215" t="s">
        <v>30</v>
      </c>
      <c r="G215" t="s">
        <v>40</v>
      </c>
      <c r="H215" t="s">
        <v>22</v>
      </c>
      <c r="I215">
        <v>4</v>
      </c>
      <c r="J215">
        <v>151.37</v>
      </c>
      <c r="K215">
        <v>605.48</v>
      </c>
      <c r="L215" t="s">
        <v>35</v>
      </c>
    </row>
    <row r="216" spans="1:12" x14ac:dyDescent="0.25">
      <c r="A216" s="1">
        <v>44627</v>
      </c>
      <c r="B216" s="1" t="str">
        <f>TEXT(Table134[Date],"mm-yyyy")</f>
        <v>03-2022</v>
      </c>
      <c r="C216" t="s">
        <v>37</v>
      </c>
      <c r="D216" t="s">
        <v>29</v>
      </c>
      <c r="E216" t="s">
        <v>38</v>
      </c>
      <c r="F216" t="s">
        <v>30</v>
      </c>
      <c r="G216" t="s">
        <v>40</v>
      </c>
      <c r="H216" t="s">
        <v>39</v>
      </c>
      <c r="I216">
        <v>5</v>
      </c>
      <c r="J216">
        <v>89.84</v>
      </c>
      <c r="K216">
        <v>449.2</v>
      </c>
      <c r="L216" t="s">
        <v>36</v>
      </c>
    </row>
    <row r="217" spans="1:12" hidden="1" x14ac:dyDescent="0.25">
      <c r="A217" s="1">
        <v>44676</v>
      </c>
      <c r="B217" s="1" t="str">
        <f>TEXT(Table134[Date],"mm-yyyy")</f>
        <v>04-2022</v>
      </c>
      <c r="C217" t="s">
        <v>48</v>
      </c>
      <c r="D217" t="s">
        <v>49</v>
      </c>
      <c r="E217" t="s">
        <v>50</v>
      </c>
      <c r="F217" t="s">
        <v>30</v>
      </c>
      <c r="G217" t="s">
        <v>21</v>
      </c>
      <c r="H217" t="s">
        <v>39</v>
      </c>
      <c r="I217">
        <v>1</v>
      </c>
      <c r="J217">
        <v>276.64</v>
      </c>
      <c r="K217">
        <v>276.64</v>
      </c>
      <c r="L217" t="s">
        <v>17</v>
      </c>
    </row>
    <row r="218" spans="1:12" hidden="1" x14ac:dyDescent="0.25">
      <c r="A218" s="1">
        <v>44635</v>
      </c>
      <c r="B218" s="1" t="str">
        <f>TEXT(Table134[Date],"mm-yyyy")</f>
        <v>03-2022</v>
      </c>
      <c r="C218" t="s">
        <v>48</v>
      </c>
      <c r="D218" t="s">
        <v>49</v>
      </c>
      <c r="E218" t="s">
        <v>50</v>
      </c>
      <c r="F218" t="s">
        <v>14</v>
      </c>
      <c r="G218" t="s">
        <v>15</v>
      </c>
      <c r="H218" t="s">
        <v>43</v>
      </c>
      <c r="I218">
        <v>3</v>
      </c>
      <c r="J218">
        <v>203.41</v>
      </c>
      <c r="K218">
        <v>610.23</v>
      </c>
      <c r="L218" t="s">
        <v>17</v>
      </c>
    </row>
    <row r="219" spans="1:12" x14ac:dyDescent="0.25">
      <c r="A219" s="1">
        <v>44783</v>
      </c>
      <c r="B219" s="1" t="str">
        <f>TEXT(Table134[Date],"mm-yyyy")</f>
        <v>08-2022</v>
      </c>
      <c r="C219" t="s">
        <v>28</v>
      </c>
      <c r="D219" t="s">
        <v>29</v>
      </c>
      <c r="E219" t="s">
        <v>25</v>
      </c>
      <c r="F219" t="s">
        <v>30</v>
      </c>
      <c r="G219" t="s">
        <v>15</v>
      </c>
      <c r="H219" t="s">
        <v>34</v>
      </c>
      <c r="I219">
        <v>2</v>
      </c>
      <c r="J219">
        <v>195.85</v>
      </c>
      <c r="K219">
        <v>391.7</v>
      </c>
      <c r="L219" t="s">
        <v>36</v>
      </c>
    </row>
    <row r="220" spans="1:12" hidden="1" x14ac:dyDescent="0.25">
      <c r="A220" s="1">
        <v>44777</v>
      </c>
      <c r="B220" s="1" t="str">
        <f>TEXT(Table134[Date],"mm-yyyy")</f>
        <v>08-2022</v>
      </c>
      <c r="C220" t="s">
        <v>48</v>
      </c>
      <c r="D220" t="s">
        <v>49</v>
      </c>
      <c r="E220" t="s">
        <v>50</v>
      </c>
      <c r="F220" t="s">
        <v>30</v>
      </c>
      <c r="G220" t="s">
        <v>40</v>
      </c>
      <c r="H220" t="s">
        <v>33</v>
      </c>
      <c r="I220">
        <v>2</v>
      </c>
      <c r="J220">
        <v>288.87</v>
      </c>
      <c r="K220">
        <v>577.74</v>
      </c>
      <c r="L220" t="s">
        <v>35</v>
      </c>
    </row>
    <row r="221" spans="1:12" x14ac:dyDescent="0.25">
      <c r="A221" s="1">
        <v>44692</v>
      </c>
      <c r="B221" s="1" t="str">
        <f>TEXT(Table134[Date],"mm-yyyy")</f>
        <v>05-2022</v>
      </c>
      <c r="C221" t="s">
        <v>28</v>
      </c>
      <c r="D221" t="s">
        <v>29</v>
      </c>
      <c r="E221" t="s">
        <v>25</v>
      </c>
      <c r="F221" t="s">
        <v>30</v>
      </c>
      <c r="G221" t="s">
        <v>40</v>
      </c>
      <c r="H221" t="s">
        <v>33</v>
      </c>
      <c r="I221">
        <v>1</v>
      </c>
      <c r="J221">
        <v>65.45</v>
      </c>
      <c r="K221">
        <v>65.45</v>
      </c>
      <c r="L221" t="s">
        <v>23</v>
      </c>
    </row>
    <row r="222" spans="1:12" x14ac:dyDescent="0.25">
      <c r="A222" s="1">
        <v>44562</v>
      </c>
      <c r="B222" s="1" t="str">
        <f>TEXT(Table134[Date],"mm-yyyy")</f>
        <v>01-2022</v>
      </c>
      <c r="C222" t="s">
        <v>18</v>
      </c>
      <c r="D222" t="s">
        <v>19</v>
      </c>
      <c r="E222" t="s">
        <v>20</v>
      </c>
      <c r="F222" t="s">
        <v>14</v>
      </c>
      <c r="G222" t="s">
        <v>32</v>
      </c>
      <c r="H222" t="s">
        <v>22</v>
      </c>
      <c r="I222">
        <v>1</v>
      </c>
      <c r="J222">
        <v>202.42</v>
      </c>
      <c r="K222">
        <v>202.42</v>
      </c>
      <c r="L222" t="s">
        <v>36</v>
      </c>
    </row>
    <row r="223" spans="1:12" x14ac:dyDescent="0.25">
      <c r="A223" s="1">
        <v>44625</v>
      </c>
      <c r="B223" s="1" t="str">
        <f>TEXT(Table134[Date],"mm-yyyy")</f>
        <v>03-2022</v>
      </c>
      <c r="C223" t="s">
        <v>28</v>
      </c>
      <c r="D223" t="s">
        <v>29</v>
      </c>
      <c r="E223" t="s">
        <v>25</v>
      </c>
      <c r="F223" t="s">
        <v>30</v>
      </c>
      <c r="G223" t="s">
        <v>21</v>
      </c>
      <c r="H223" t="s">
        <v>33</v>
      </c>
      <c r="I223">
        <v>2</v>
      </c>
      <c r="J223">
        <v>51.11</v>
      </c>
      <c r="K223">
        <v>102.22</v>
      </c>
      <c r="L223" t="s">
        <v>23</v>
      </c>
    </row>
    <row r="224" spans="1:12" hidden="1" x14ac:dyDescent="0.25">
      <c r="A224" s="1">
        <v>44766</v>
      </c>
      <c r="B224" s="1" t="str">
        <f>TEXT(Table134[Date],"mm-yyyy")</f>
        <v>07-2022</v>
      </c>
      <c r="C224" t="s">
        <v>45</v>
      </c>
      <c r="D224" t="s">
        <v>46</v>
      </c>
      <c r="E224" t="s">
        <v>47</v>
      </c>
      <c r="F224" t="s">
        <v>30</v>
      </c>
      <c r="G224" t="s">
        <v>15</v>
      </c>
      <c r="H224" t="s">
        <v>16</v>
      </c>
      <c r="I224">
        <v>1</v>
      </c>
      <c r="J224">
        <v>292.68</v>
      </c>
      <c r="K224">
        <v>292.68</v>
      </c>
      <c r="L224" t="s">
        <v>35</v>
      </c>
    </row>
    <row r="225" spans="1:12" hidden="1" x14ac:dyDescent="0.25">
      <c r="A225" s="1">
        <v>44783</v>
      </c>
      <c r="B225" s="1" t="str">
        <f>TEXT(Table134[Date],"mm-yyyy")</f>
        <v>08-2022</v>
      </c>
      <c r="C225" t="s">
        <v>48</v>
      </c>
      <c r="D225" t="s">
        <v>49</v>
      </c>
      <c r="E225" t="s">
        <v>50</v>
      </c>
      <c r="F225" t="s">
        <v>26</v>
      </c>
      <c r="G225" t="s">
        <v>32</v>
      </c>
      <c r="H225" t="s">
        <v>22</v>
      </c>
      <c r="I225">
        <v>2</v>
      </c>
      <c r="J225">
        <v>175.51</v>
      </c>
      <c r="K225">
        <v>351.02</v>
      </c>
      <c r="L225" t="s">
        <v>35</v>
      </c>
    </row>
    <row r="226" spans="1:12" x14ac:dyDescent="0.25">
      <c r="A226" s="1">
        <v>44633</v>
      </c>
      <c r="B226" s="1" t="str">
        <f>TEXT(Table134[Date],"mm-yyyy")</f>
        <v>03-2022</v>
      </c>
      <c r="C226" t="s">
        <v>18</v>
      </c>
      <c r="D226" t="s">
        <v>19</v>
      </c>
      <c r="E226" t="s">
        <v>20</v>
      </c>
      <c r="F226" t="s">
        <v>26</v>
      </c>
      <c r="G226" t="s">
        <v>40</v>
      </c>
      <c r="H226" t="s">
        <v>27</v>
      </c>
      <c r="I226">
        <v>4</v>
      </c>
      <c r="J226">
        <v>211.37</v>
      </c>
      <c r="K226">
        <v>845.48</v>
      </c>
      <c r="L226" t="s">
        <v>17</v>
      </c>
    </row>
    <row r="227" spans="1:12" x14ac:dyDescent="0.25">
      <c r="A227" s="1">
        <v>44643</v>
      </c>
      <c r="B227" s="1" t="str">
        <f>TEXT(Table134[Date],"mm-yyyy")</f>
        <v>03-2022</v>
      </c>
      <c r="C227" t="s">
        <v>28</v>
      </c>
      <c r="D227" t="s">
        <v>29</v>
      </c>
      <c r="E227" t="s">
        <v>25</v>
      </c>
      <c r="F227" t="s">
        <v>14</v>
      </c>
      <c r="G227" t="s">
        <v>32</v>
      </c>
      <c r="H227" t="s">
        <v>27</v>
      </c>
      <c r="I227">
        <v>1</v>
      </c>
      <c r="J227">
        <v>209.78</v>
      </c>
      <c r="K227">
        <v>209.78</v>
      </c>
      <c r="L227" t="s">
        <v>35</v>
      </c>
    </row>
    <row r="228" spans="1:12" x14ac:dyDescent="0.25">
      <c r="A228" s="1">
        <v>44693</v>
      </c>
      <c r="B228" s="1" t="str">
        <f>TEXT(Table134[Date],"mm-yyyy")</f>
        <v>05-2022</v>
      </c>
      <c r="C228" t="s">
        <v>24</v>
      </c>
      <c r="D228" t="s">
        <v>19</v>
      </c>
      <c r="E228" t="s">
        <v>25</v>
      </c>
      <c r="F228" t="s">
        <v>14</v>
      </c>
      <c r="G228" t="s">
        <v>32</v>
      </c>
      <c r="H228" t="s">
        <v>43</v>
      </c>
      <c r="I228">
        <v>1</v>
      </c>
      <c r="J228">
        <v>59.85</v>
      </c>
      <c r="K228">
        <v>59.85</v>
      </c>
      <c r="L228" t="s">
        <v>36</v>
      </c>
    </row>
    <row r="229" spans="1:12" x14ac:dyDescent="0.25">
      <c r="A229" s="1">
        <v>44759</v>
      </c>
      <c r="B229" s="1" t="str">
        <f>TEXT(Table134[Date],"mm-yyyy")</f>
        <v>07-2022</v>
      </c>
      <c r="C229" t="s">
        <v>24</v>
      </c>
      <c r="D229" t="s">
        <v>19</v>
      </c>
      <c r="E229" t="s">
        <v>25</v>
      </c>
      <c r="F229" t="s">
        <v>14</v>
      </c>
      <c r="G229" t="s">
        <v>21</v>
      </c>
      <c r="H229" t="s">
        <v>39</v>
      </c>
      <c r="I229">
        <v>3</v>
      </c>
      <c r="J229">
        <v>156.27000000000001</v>
      </c>
      <c r="K229">
        <v>468.81</v>
      </c>
      <c r="L229" t="s">
        <v>35</v>
      </c>
    </row>
    <row r="230" spans="1:12" x14ac:dyDescent="0.25">
      <c r="A230" s="1">
        <v>44628</v>
      </c>
      <c r="B230" s="1" t="str">
        <f>TEXT(Table134[Date],"mm-yyyy")</f>
        <v>03-2022</v>
      </c>
      <c r="C230" t="s">
        <v>18</v>
      </c>
      <c r="D230" t="s">
        <v>19</v>
      </c>
      <c r="E230" t="s">
        <v>20</v>
      </c>
      <c r="F230" t="s">
        <v>14</v>
      </c>
      <c r="G230" t="s">
        <v>15</v>
      </c>
      <c r="H230" t="s">
        <v>33</v>
      </c>
      <c r="I230">
        <v>2</v>
      </c>
      <c r="J230">
        <v>175</v>
      </c>
      <c r="K230">
        <v>350</v>
      </c>
      <c r="L230" t="s">
        <v>17</v>
      </c>
    </row>
    <row r="231" spans="1:12" x14ac:dyDescent="0.25">
      <c r="A231" s="1">
        <v>44778</v>
      </c>
      <c r="B231" s="1" t="str">
        <f>TEXT(Table134[Date],"mm-yyyy")</f>
        <v>08-2022</v>
      </c>
      <c r="C231" t="s">
        <v>37</v>
      </c>
      <c r="D231" t="s">
        <v>29</v>
      </c>
      <c r="E231" t="s">
        <v>38</v>
      </c>
      <c r="F231" t="s">
        <v>30</v>
      </c>
      <c r="G231" t="s">
        <v>32</v>
      </c>
      <c r="H231" t="s">
        <v>34</v>
      </c>
      <c r="I231">
        <v>2</v>
      </c>
      <c r="J231">
        <v>88</v>
      </c>
      <c r="K231">
        <v>176</v>
      </c>
      <c r="L231" t="s">
        <v>36</v>
      </c>
    </row>
    <row r="232" spans="1:12" x14ac:dyDescent="0.25">
      <c r="A232" s="1">
        <v>44744</v>
      </c>
      <c r="B232" s="1" t="str">
        <f>TEXT(Table134[Date],"mm-yyyy")</f>
        <v>07-2022</v>
      </c>
      <c r="C232" t="s">
        <v>24</v>
      </c>
      <c r="D232" t="s">
        <v>19</v>
      </c>
      <c r="E232" t="s">
        <v>25</v>
      </c>
      <c r="F232" t="s">
        <v>30</v>
      </c>
      <c r="G232" t="s">
        <v>32</v>
      </c>
      <c r="H232" t="s">
        <v>34</v>
      </c>
      <c r="I232">
        <v>4</v>
      </c>
      <c r="J232">
        <v>293.33</v>
      </c>
      <c r="K232">
        <v>1173.32</v>
      </c>
      <c r="L232" t="s">
        <v>17</v>
      </c>
    </row>
    <row r="233" spans="1:12" x14ac:dyDescent="0.25">
      <c r="A233" s="1">
        <v>44759</v>
      </c>
      <c r="B233" s="1" t="str">
        <f>TEXT(Table134[Date],"mm-yyyy")</f>
        <v>07-2022</v>
      </c>
      <c r="C233" t="s">
        <v>24</v>
      </c>
      <c r="D233" t="s">
        <v>19</v>
      </c>
      <c r="E233" t="s">
        <v>25</v>
      </c>
      <c r="F233" t="s">
        <v>14</v>
      </c>
      <c r="G233" t="s">
        <v>15</v>
      </c>
      <c r="H233" t="s">
        <v>27</v>
      </c>
      <c r="I233">
        <v>5</v>
      </c>
      <c r="J233">
        <v>285.37</v>
      </c>
      <c r="K233">
        <v>1426.85</v>
      </c>
      <c r="L233" t="s">
        <v>35</v>
      </c>
    </row>
    <row r="234" spans="1:12" x14ac:dyDescent="0.25">
      <c r="A234" s="1">
        <v>44576</v>
      </c>
      <c r="B234" s="1" t="str">
        <f>TEXT(Table134[Date],"mm-yyyy")</f>
        <v>01-2022</v>
      </c>
      <c r="C234" t="s">
        <v>37</v>
      </c>
      <c r="D234" t="s">
        <v>29</v>
      </c>
      <c r="E234" t="s">
        <v>38</v>
      </c>
      <c r="F234" t="s">
        <v>26</v>
      </c>
      <c r="G234" t="s">
        <v>40</v>
      </c>
      <c r="H234" t="s">
        <v>22</v>
      </c>
      <c r="I234">
        <v>5</v>
      </c>
      <c r="J234">
        <v>220.59</v>
      </c>
      <c r="K234">
        <v>1102.95</v>
      </c>
      <c r="L234" t="s">
        <v>36</v>
      </c>
    </row>
    <row r="235" spans="1:12" x14ac:dyDescent="0.25">
      <c r="A235" s="1">
        <v>44623</v>
      </c>
      <c r="B235" s="1" t="str">
        <f>TEXT(Table134[Date],"mm-yyyy")</f>
        <v>03-2022</v>
      </c>
      <c r="C235" t="s">
        <v>24</v>
      </c>
      <c r="D235" t="s">
        <v>19</v>
      </c>
      <c r="E235" t="s">
        <v>25</v>
      </c>
      <c r="F235" t="s">
        <v>30</v>
      </c>
      <c r="G235" t="s">
        <v>21</v>
      </c>
      <c r="H235" t="s">
        <v>33</v>
      </c>
      <c r="I235">
        <v>5</v>
      </c>
      <c r="J235">
        <v>214</v>
      </c>
      <c r="K235">
        <v>1070</v>
      </c>
      <c r="L235" t="s">
        <v>36</v>
      </c>
    </row>
    <row r="236" spans="1:12" x14ac:dyDescent="0.25">
      <c r="A236" s="1">
        <v>44791</v>
      </c>
      <c r="B236" s="1" t="str">
        <f>TEXT(Table134[Date],"mm-yyyy")</f>
        <v>08-2022</v>
      </c>
      <c r="C236" t="s">
        <v>18</v>
      </c>
      <c r="D236" t="s">
        <v>19</v>
      </c>
      <c r="E236" t="s">
        <v>20</v>
      </c>
      <c r="F236" t="s">
        <v>14</v>
      </c>
      <c r="G236" t="s">
        <v>15</v>
      </c>
      <c r="H236" t="s">
        <v>27</v>
      </c>
      <c r="I236">
        <v>5</v>
      </c>
      <c r="J236">
        <v>208.24</v>
      </c>
      <c r="K236">
        <v>1041.2</v>
      </c>
      <c r="L236" t="s">
        <v>17</v>
      </c>
    </row>
    <row r="237" spans="1:12" x14ac:dyDescent="0.25">
      <c r="A237" s="1">
        <v>44719</v>
      </c>
      <c r="B237" s="1" t="str">
        <f>TEXT(Table134[Date],"mm-yyyy")</f>
        <v>06-2022</v>
      </c>
      <c r="C237" t="s">
        <v>41</v>
      </c>
      <c r="D237" t="s">
        <v>29</v>
      </c>
      <c r="E237" t="s">
        <v>42</v>
      </c>
      <c r="F237" t="s">
        <v>14</v>
      </c>
      <c r="G237" t="s">
        <v>32</v>
      </c>
      <c r="H237" t="s">
        <v>27</v>
      </c>
      <c r="I237">
        <v>4</v>
      </c>
      <c r="J237">
        <v>133.69999999999999</v>
      </c>
      <c r="K237">
        <v>534.79999999999995</v>
      </c>
      <c r="L237" t="s">
        <v>35</v>
      </c>
    </row>
    <row r="238" spans="1:12" x14ac:dyDescent="0.25">
      <c r="A238" s="1">
        <v>44797</v>
      </c>
      <c r="B238" s="1" t="str">
        <f>TEXT(Table134[Date],"mm-yyyy")</f>
        <v>08-2022</v>
      </c>
      <c r="C238" t="s">
        <v>11</v>
      </c>
      <c r="D238" t="s">
        <v>12</v>
      </c>
      <c r="E238" t="s">
        <v>13</v>
      </c>
      <c r="F238" t="s">
        <v>30</v>
      </c>
      <c r="G238" t="s">
        <v>32</v>
      </c>
      <c r="H238" t="s">
        <v>43</v>
      </c>
      <c r="I238">
        <v>2</v>
      </c>
      <c r="J238">
        <v>158.69999999999999</v>
      </c>
      <c r="K238">
        <v>317.39999999999998</v>
      </c>
      <c r="L238" t="s">
        <v>36</v>
      </c>
    </row>
    <row r="239" spans="1:12" x14ac:dyDescent="0.25">
      <c r="A239" s="1">
        <v>44580</v>
      </c>
      <c r="B239" s="1" t="str">
        <f>TEXT(Table134[Date],"mm-yyyy")</f>
        <v>01-2022</v>
      </c>
      <c r="C239" t="s">
        <v>28</v>
      </c>
      <c r="D239" t="s">
        <v>29</v>
      </c>
      <c r="E239" t="s">
        <v>25</v>
      </c>
      <c r="F239" t="s">
        <v>26</v>
      </c>
      <c r="G239" t="s">
        <v>21</v>
      </c>
      <c r="H239" t="s">
        <v>34</v>
      </c>
      <c r="I239">
        <v>2</v>
      </c>
      <c r="J239">
        <v>244.13</v>
      </c>
      <c r="K239">
        <v>488.26</v>
      </c>
      <c r="L239" t="s">
        <v>23</v>
      </c>
    </row>
    <row r="240" spans="1:12" x14ac:dyDescent="0.25">
      <c r="A240" s="1">
        <v>44792</v>
      </c>
      <c r="B240" s="1" t="str">
        <f>TEXT(Table134[Date],"mm-yyyy")</f>
        <v>08-2022</v>
      </c>
      <c r="C240" t="s">
        <v>28</v>
      </c>
      <c r="D240" t="s">
        <v>29</v>
      </c>
      <c r="E240" t="s">
        <v>25</v>
      </c>
      <c r="F240" t="s">
        <v>26</v>
      </c>
      <c r="G240" t="s">
        <v>32</v>
      </c>
      <c r="H240" t="s">
        <v>33</v>
      </c>
      <c r="I240">
        <v>5</v>
      </c>
      <c r="J240">
        <v>147.99</v>
      </c>
      <c r="K240">
        <v>739.95</v>
      </c>
      <c r="L240" t="s">
        <v>35</v>
      </c>
    </row>
    <row r="241" spans="1:12" x14ac:dyDescent="0.25">
      <c r="A241" s="1">
        <v>44784</v>
      </c>
      <c r="B241" s="1" t="str">
        <f>TEXT(Table134[Date],"mm-yyyy")</f>
        <v>08-2022</v>
      </c>
      <c r="C241" t="s">
        <v>11</v>
      </c>
      <c r="D241" t="s">
        <v>12</v>
      </c>
      <c r="E241" t="s">
        <v>13</v>
      </c>
      <c r="F241" t="s">
        <v>14</v>
      </c>
      <c r="G241" t="s">
        <v>32</v>
      </c>
      <c r="H241" t="s">
        <v>16</v>
      </c>
      <c r="I241">
        <v>1</v>
      </c>
      <c r="J241">
        <v>157.81</v>
      </c>
      <c r="K241">
        <v>157.81</v>
      </c>
      <c r="L241" t="s">
        <v>23</v>
      </c>
    </row>
    <row r="242" spans="1:12" hidden="1" x14ac:dyDescent="0.25">
      <c r="A242" s="1">
        <v>44644</v>
      </c>
      <c r="B242" s="1" t="str">
        <f>TEXT(Table134[Date],"mm-yyyy")</f>
        <v>03-2022</v>
      </c>
      <c r="C242" t="s">
        <v>48</v>
      </c>
      <c r="D242" t="s">
        <v>49</v>
      </c>
      <c r="E242" t="s">
        <v>50</v>
      </c>
      <c r="F242" t="s">
        <v>14</v>
      </c>
      <c r="G242" t="s">
        <v>21</v>
      </c>
      <c r="H242" t="s">
        <v>27</v>
      </c>
      <c r="I242">
        <v>2</v>
      </c>
      <c r="J242">
        <v>212.76</v>
      </c>
      <c r="K242">
        <v>425.52</v>
      </c>
      <c r="L242" t="s">
        <v>36</v>
      </c>
    </row>
    <row r="243" spans="1:12" x14ac:dyDescent="0.25">
      <c r="A243" s="1">
        <v>44578</v>
      </c>
      <c r="B243" s="1" t="str">
        <f>TEXT(Table134[Date],"mm-yyyy")</f>
        <v>01-2022</v>
      </c>
      <c r="C243" t="s">
        <v>44</v>
      </c>
      <c r="D243" t="s">
        <v>19</v>
      </c>
      <c r="E243" t="s">
        <v>20</v>
      </c>
      <c r="F243" t="s">
        <v>26</v>
      </c>
      <c r="G243" t="s">
        <v>32</v>
      </c>
      <c r="H243" t="s">
        <v>33</v>
      </c>
      <c r="I243">
        <v>3</v>
      </c>
      <c r="J243">
        <v>225.9</v>
      </c>
      <c r="K243">
        <v>677.7</v>
      </c>
      <c r="L243" t="s">
        <v>36</v>
      </c>
    </row>
    <row r="244" spans="1:12" hidden="1" x14ac:dyDescent="0.25">
      <c r="A244" s="1">
        <v>44601</v>
      </c>
      <c r="B244" s="1" t="str">
        <f>TEXT(Table134[Date],"mm-yyyy")</f>
        <v>02-2022</v>
      </c>
      <c r="C244" t="s">
        <v>45</v>
      </c>
      <c r="D244" t="s">
        <v>46</v>
      </c>
      <c r="E244" t="s">
        <v>47</v>
      </c>
      <c r="F244" t="s">
        <v>30</v>
      </c>
      <c r="G244" t="s">
        <v>21</v>
      </c>
      <c r="H244" t="s">
        <v>39</v>
      </c>
      <c r="I244">
        <v>3</v>
      </c>
      <c r="J244">
        <v>112.98</v>
      </c>
      <c r="K244">
        <v>338.94</v>
      </c>
      <c r="L244" t="s">
        <v>36</v>
      </c>
    </row>
    <row r="245" spans="1:12" hidden="1" x14ac:dyDescent="0.25">
      <c r="A245" s="1">
        <v>44694</v>
      </c>
      <c r="B245" s="1" t="str">
        <f>TEXT(Table134[Date],"mm-yyyy")</f>
        <v>05-2022</v>
      </c>
      <c r="C245" t="s">
        <v>45</v>
      </c>
      <c r="D245" t="s">
        <v>46</v>
      </c>
      <c r="E245" t="s">
        <v>47</v>
      </c>
      <c r="F245" t="s">
        <v>14</v>
      </c>
      <c r="G245" t="s">
        <v>32</v>
      </c>
      <c r="H245" t="s">
        <v>39</v>
      </c>
      <c r="I245">
        <v>2</v>
      </c>
      <c r="J245">
        <v>100.84</v>
      </c>
      <c r="K245">
        <v>201.68</v>
      </c>
      <c r="L245" t="s">
        <v>23</v>
      </c>
    </row>
    <row r="246" spans="1:12" x14ac:dyDescent="0.25">
      <c r="A246" s="1">
        <v>44595</v>
      </c>
      <c r="B246" s="1" t="str">
        <f>TEXT(Table134[Date],"mm-yyyy")</f>
        <v>02-2022</v>
      </c>
      <c r="C246" t="s">
        <v>31</v>
      </c>
      <c r="D246" t="s">
        <v>19</v>
      </c>
      <c r="E246" t="s">
        <v>25</v>
      </c>
      <c r="F246" t="s">
        <v>26</v>
      </c>
      <c r="G246" t="s">
        <v>32</v>
      </c>
      <c r="H246" t="s">
        <v>39</v>
      </c>
      <c r="I246">
        <v>4</v>
      </c>
      <c r="J246">
        <v>292.75</v>
      </c>
      <c r="K246">
        <v>1171</v>
      </c>
      <c r="L246" t="s">
        <v>36</v>
      </c>
    </row>
    <row r="247" spans="1:12" x14ac:dyDescent="0.25">
      <c r="A247" s="1">
        <v>44600</v>
      </c>
      <c r="B247" s="1" t="str">
        <f>TEXT(Table134[Date],"mm-yyyy")</f>
        <v>02-2022</v>
      </c>
      <c r="C247" t="s">
        <v>28</v>
      </c>
      <c r="D247" t="s">
        <v>29</v>
      </c>
      <c r="E247" t="s">
        <v>25</v>
      </c>
      <c r="F247" t="s">
        <v>30</v>
      </c>
      <c r="G247" t="s">
        <v>21</v>
      </c>
      <c r="H247" t="s">
        <v>34</v>
      </c>
      <c r="I247">
        <v>3</v>
      </c>
      <c r="J247">
        <v>82.62</v>
      </c>
      <c r="K247">
        <v>247.86</v>
      </c>
      <c r="L247" t="s">
        <v>23</v>
      </c>
    </row>
    <row r="248" spans="1:12" x14ac:dyDescent="0.25">
      <c r="A248" s="1">
        <v>44760</v>
      </c>
      <c r="B248" s="1" t="str">
        <f>TEXT(Table134[Date],"mm-yyyy")</f>
        <v>07-2022</v>
      </c>
      <c r="C248" t="s">
        <v>37</v>
      </c>
      <c r="D248" t="s">
        <v>29</v>
      </c>
      <c r="E248" t="s">
        <v>38</v>
      </c>
      <c r="F248" t="s">
        <v>30</v>
      </c>
      <c r="G248" t="s">
        <v>40</v>
      </c>
      <c r="H248" t="s">
        <v>33</v>
      </c>
      <c r="I248">
        <v>3</v>
      </c>
      <c r="J248">
        <v>246.13</v>
      </c>
      <c r="K248">
        <v>738.39</v>
      </c>
      <c r="L248" t="s">
        <v>35</v>
      </c>
    </row>
    <row r="249" spans="1:12" x14ac:dyDescent="0.25">
      <c r="A249" s="1">
        <v>44680</v>
      </c>
      <c r="B249" s="1" t="str">
        <f>TEXT(Table134[Date],"mm-yyyy")</f>
        <v>04-2022</v>
      </c>
      <c r="C249" t="s">
        <v>24</v>
      </c>
      <c r="D249" t="s">
        <v>19</v>
      </c>
      <c r="E249" t="s">
        <v>25</v>
      </c>
      <c r="F249" t="s">
        <v>30</v>
      </c>
      <c r="G249" t="s">
        <v>21</v>
      </c>
      <c r="H249" t="s">
        <v>27</v>
      </c>
      <c r="I249">
        <v>4</v>
      </c>
      <c r="J249">
        <v>168.01</v>
      </c>
      <c r="K249">
        <v>672.04</v>
      </c>
      <c r="L249" t="s">
        <v>36</v>
      </c>
    </row>
    <row r="250" spans="1:12" x14ac:dyDescent="0.25">
      <c r="A250" s="1">
        <v>44799</v>
      </c>
      <c r="B250" s="1" t="str">
        <f>TEXT(Table134[Date],"mm-yyyy")</f>
        <v>08-2022</v>
      </c>
      <c r="C250" t="s">
        <v>44</v>
      </c>
      <c r="D250" t="s">
        <v>19</v>
      </c>
      <c r="E250" t="s">
        <v>20</v>
      </c>
      <c r="F250" t="s">
        <v>30</v>
      </c>
      <c r="G250" t="s">
        <v>40</v>
      </c>
      <c r="H250" t="s">
        <v>16</v>
      </c>
      <c r="I250">
        <v>1</v>
      </c>
      <c r="J250">
        <v>93.08</v>
      </c>
      <c r="K250">
        <v>93.08</v>
      </c>
      <c r="L250" t="s">
        <v>36</v>
      </c>
    </row>
    <row r="251" spans="1:12" x14ac:dyDescent="0.25">
      <c r="A251" s="1">
        <v>44575</v>
      </c>
      <c r="B251" s="1" t="str">
        <f>TEXT(Table134[Date],"mm-yyyy")</f>
        <v>01-2022</v>
      </c>
      <c r="C251" t="s">
        <v>37</v>
      </c>
      <c r="D251" t="s">
        <v>29</v>
      </c>
      <c r="E251" t="s">
        <v>38</v>
      </c>
      <c r="F251" t="s">
        <v>26</v>
      </c>
      <c r="G251" t="s">
        <v>15</v>
      </c>
      <c r="H251" t="s">
        <v>33</v>
      </c>
      <c r="I251">
        <v>3</v>
      </c>
      <c r="J251">
        <v>161.55000000000001</v>
      </c>
      <c r="K251">
        <v>484.65</v>
      </c>
      <c r="L251" t="s">
        <v>35</v>
      </c>
    </row>
    <row r="252" spans="1:12" hidden="1" x14ac:dyDescent="0.25">
      <c r="A252" s="1">
        <v>44617</v>
      </c>
      <c r="B252" s="1" t="str">
        <f>TEXT(Table134[Date],"mm-yyyy")</f>
        <v>02-2022</v>
      </c>
      <c r="C252" t="s">
        <v>45</v>
      </c>
      <c r="D252" t="s">
        <v>46</v>
      </c>
      <c r="E252" t="s">
        <v>47</v>
      </c>
      <c r="F252" t="s">
        <v>30</v>
      </c>
      <c r="G252" t="s">
        <v>32</v>
      </c>
      <c r="H252" t="s">
        <v>27</v>
      </c>
      <c r="I252">
        <v>3</v>
      </c>
      <c r="J252">
        <v>228.84</v>
      </c>
      <c r="K252">
        <v>686.52</v>
      </c>
      <c r="L252" t="s">
        <v>35</v>
      </c>
    </row>
    <row r="253" spans="1:12" x14ac:dyDescent="0.25">
      <c r="A253" s="1">
        <v>44704</v>
      </c>
      <c r="B253" s="1" t="str">
        <f>TEXT(Table134[Date],"mm-yyyy")</f>
        <v>05-2022</v>
      </c>
      <c r="C253" t="s">
        <v>37</v>
      </c>
      <c r="D253" t="s">
        <v>29</v>
      </c>
      <c r="E253" t="s">
        <v>38</v>
      </c>
      <c r="F253" t="s">
        <v>26</v>
      </c>
      <c r="G253" t="s">
        <v>40</v>
      </c>
      <c r="H253" t="s">
        <v>22</v>
      </c>
      <c r="I253">
        <v>4</v>
      </c>
      <c r="J253">
        <v>221.31</v>
      </c>
      <c r="K253">
        <v>885.24</v>
      </c>
      <c r="L253" t="s">
        <v>17</v>
      </c>
    </row>
    <row r="254" spans="1:12" hidden="1" x14ac:dyDescent="0.25">
      <c r="A254" s="1">
        <v>44768</v>
      </c>
      <c r="B254" s="1" t="str">
        <f>TEXT(Table134[Date],"mm-yyyy")</f>
        <v>07-2022</v>
      </c>
      <c r="C254" t="s">
        <v>45</v>
      </c>
      <c r="D254" t="s">
        <v>46</v>
      </c>
      <c r="E254" t="s">
        <v>47</v>
      </c>
      <c r="F254" t="s">
        <v>26</v>
      </c>
      <c r="G254" t="s">
        <v>40</v>
      </c>
      <c r="H254" t="s">
        <v>34</v>
      </c>
      <c r="I254">
        <v>2</v>
      </c>
      <c r="J254">
        <v>287.68</v>
      </c>
      <c r="K254">
        <v>575.36</v>
      </c>
      <c r="L254" t="s">
        <v>23</v>
      </c>
    </row>
    <row r="255" spans="1:12" x14ac:dyDescent="0.25">
      <c r="A255" s="1">
        <v>44577</v>
      </c>
      <c r="B255" s="1" t="str">
        <f>TEXT(Table134[Date],"mm-yyyy")</f>
        <v>01-2022</v>
      </c>
      <c r="C255" t="s">
        <v>24</v>
      </c>
      <c r="D255" t="s">
        <v>19</v>
      </c>
      <c r="E255" t="s">
        <v>25</v>
      </c>
      <c r="F255" t="s">
        <v>26</v>
      </c>
      <c r="G255" t="s">
        <v>15</v>
      </c>
      <c r="H255" t="s">
        <v>34</v>
      </c>
      <c r="I255">
        <v>5</v>
      </c>
      <c r="J255">
        <v>168.7</v>
      </c>
      <c r="K255">
        <v>843.5</v>
      </c>
      <c r="L255" t="s">
        <v>36</v>
      </c>
    </row>
    <row r="256" spans="1:12" x14ac:dyDescent="0.25">
      <c r="A256" s="1">
        <v>44713</v>
      </c>
      <c r="B256" s="1" t="str">
        <f>TEXT(Table134[Date],"mm-yyyy")</f>
        <v>06-2022</v>
      </c>
      <c r="C256" t="s">
        <v>11</v>
      </c>
      <c r="D256" t="s">
        <v>12</v>
      </c>
      <c r="E256" t="s">
        <v>13</v>
      </c>
      <c r="F256" t="s">
        <v>26</v>
      </c>
      <c r="G256" t="s">
        <v>21</v>
      </c>
      <c r="H256" t="s">
        <v>34</v>
      </c>
      <c r="I256">
        <v>3</v>
      </c>
      <c r="J256">
        <v>153.82</v>
      </c>
      <c r="K256">
        <v>461.46</v>
      </c>
      <c r="L256" t="s">
        <v>23</v>
      </c>
    </row>
    <row r="257" spans="1:12" x14ac:dyDescent="0.25">
      <c r="A257" s="1">
        <v>44605</v>
      </c>
      <c r="B257" s="1" t="str">
        <f>TEXT(Table134[Date],"mm-yyyy")</f>
        <v>02-2022</v>
      </c>
      <c r="C257" t="s">
        <v>44</v>
      </c>
      <c r="D257" t="s">
        <v>19</v>
      </c>
      <c r="E257" t="s">
        <v>20</v>
      </c>
      <c r="F257" t="s">
        <v>14</v>
      </c>
      <c r="G257" t="s">
        <v>32</v>
      </c>
      <c r="H257" t="s">
        <v>16</v>
      </c>
      <c r="I257">
        <v>4</v>
      </c>
      <c r="J257">
        <v>281</v>
      </c>
      <c r="K257">
        <v>1124</v>
      </c>
      <c r="L257" t="s">
        <v>35</v>
      </c>
    </row>
    <row r="258" spans="1:12" hidden="1" x14ac:dyDescent="0.25">
      <c r="A258" s="1">
        <v>44648</v>
      </c>
      <c r="B258" s="1" t="str">
        <f>TEXT(Table134[Date],"mm-yyyy")</f>
        <v>03-2022</v>
      </c>
      <c r="C258" t="s">
        <v>48</v>
      </c>
      <c r="D258" t="s">
        <v>49</v>
      </c>
      <c r="E258" t="s">
        <v>50</v>
      </c>
      <c r="F258" t="s">
        <v>26</v>
      </c>
      <c r="G258" t="s">
        <v>21</v>
      </c>
      <c r="H258" t="s">
        <v>43</v>
      </c>
      <c r="I258">
        <v>5</v>
      </c>
      <c r="J258">
        <v>112.4</v>
      </c>
      <c r="K258">
        <v>562</v>
      </c>
      <c r="L258" t="s">
        <v>36</v>
      </c>
    </row>
    <row r="259" spans="1:12" x14ac:dyDescent="0.25">
      <c r="A259" s="1">
        <v>44581</v>
      </c>
      <c r="B259" s="1" t="str">
        <f>TEXT(Table134[Date],"mm-yyyy")</f>
        <v>01-2022</v>
      </c>
      <c r="C259" t="s">
        <v>37</v>
      </c>
      <c r="D259" t="s">
        <v>29</v>
      </c>
      <c r="E259" t="s">
        <v>38</v>
      </c>
      <c r="F259" t="s">
        <v>14</v>
      </c>
      <c r="G259" t="s">
        <v>15</v>
      </c>
      <c r="H259" t="s">
        <v>39</v>
      </c>
      <c r="I259">
        <v>1</v>
      </c>
      <c r="J259">
        <v>233.16</v>
      </c>
      <c r="K259">
        <v>233.16</v>
      </c>
      <c r="L259" t="s">
        <v>23</v>
      </c>
    </row>
    <row r="260" spans="1:12" x14ac:dyDescent="0.25">
      <c r="A260" s="1">
        <v>44619</v>
      </c>
      <c r="B260" s="1" t="str">
        <f>TEXT(Table134[Date],"mm-yyyy")</f>
        <v>02-2022</v>
      </c>
      <c r="C260" t="s">
        <v>18</v>
      </c>
      <c r="D260" t="s">
        <v>19</v>
      </c>
      <c r="E260" t="s">
        <v>20</v>
      </c>
      <c r="F260" t="s">
        <v>14</v>
      </c>
      <c r="G260" t="s">
        <v>40</v>
      </c>
      <c r="H260" t="s">
        <v>22</v>
      </c>
      <c r="I260">
        <v>5</v>
      </c>
      <c r="J260">
        <v>248.71</v>
      </c>
      <c r="K260">
        <v>1243.55</v>
      </c>
      <c r="L260" t="s">
        <v>36</v>
      </c>
    </row>
    <row r="261" spans="1:12" x14ac:dyDescent="0.25">
      <c r="A261" s="1">
        <v>44707</v>
      </c>
      <c r="B261" s="1" t="str">
        <f>TEXT(Table134[Date],"mm-yyyy")</f>
        <v>05-2022</v>
      </c>
      <c r="C261" t="s">
        <v>28</v>
      </c>
      <c r="D261" t="s">
        <v>29</v>
      </c>
      <c r="E261" t="s">
        <v>25</v>
      </c>
      <c r="F261" t="s">
        <v>30</v>
      </c>
      <c r="G261" t="s">
        <v>32</v>
      </c>
      <c r="H261" t="s">
        <v>33</v>
      </c>
      <c r="I261">
        <v>5</v>
      </c>
      <c r="J261">
        <v>157.19999999999999</v>
      </c>
      <c r="K261">
        <v>786</v>
      </c>
      <c r="L261" t="s">
        <v>36</v>
      </c>
    </row>
    <row r="262" spans="1:12" x14ac:dyDescent="0.25">
      <c r="A262" s="1">
        <v>44590</v>
      </c>
      <c r="B262" s="1" t="str">
        <f>TEXT(Table134[Date],"mm-yyyy")</f>
        <v>01-2022</v>
      </c>
      <c r="C262" t="s">
        <v>18</v>
      </c>
      <c r="D262" t="s">
        <v>19</v>
      </c>
      <c r="E262" t="s">
        <v>20</v>
      </c>
      <c r="F262" t="s">
        <v>30</v>
      </c>
      <c r="G262" t="s">
        <v>15</v>
      </c>
      <c r="H262" t="s">
        <v>33</v>
      </c>
      <c r="I262">
        <v>4</v>
      </c>
      <c r="J262">
        <v>113.75</v>
      </c>
      <c r="K262">
        <v>455</v>
      </c>
      <c r="L262" t="s">
        <v>36</v>
      </c>
    </row>
    <row r="263" spans="1:12" x14ac:dyDescent="0.25">
      <c r="A263" s="1">
        <v>44665</v>
      </c>
      <c r="B263" s="1" t="str">
        <f>TEXT(Table134[Date],"mm-yyyy")</f>
        <v>04-2022</v>
      </c>
      <c r="C263" t="s">
        <v>18</v>
      </c>
      <c r="D263" t="s">
        <v>19</v>
      </c>
      <c r="E263" t="s">
        <v>20</v>
      </c>
      <c r="F263" t="s">
        <v>26</v>
      </c>
      <c r="G263" t="s">
        <v>21</v>
      </c>
      <c r="H263" t="s">
        <v>27</v>
      </c>
      <c r="I263">
        <v>1</v>
      </c>
      <c r="J263">
        <v>109.66</v>
      </c>
      <c r="K263">
        <v>109.66</v>
      </c>
      <c r="L263" t="s">
        <v>23</v>
      </c>
    </row>
    <row r="264" spans="1:12" hidden="1" x14ac:dyDescent="0.25">
      <c r="A264" s="1">
        <v>44718</v>
      </c>
      <c r="B264" s="1" t="str">
        <f>TEXT(Table134[Date],"mm-yyyy")</f>
        <v>06-2022</v>
      </c>
      <c r="C264" t="s">
        <v>48</v>
      </c>
      <c r="D264" t="s">
        <v>49</v>
      </c>
      <c r="E264" t="s">
        <v>50</v>
      </c>
      <c r="F264" t="s">
        <v>26</v>
      </c>
      <c r="G264" t="s">
        <v>32</v>
      </c>
      <c r="H264" t="s">
        <v>43</v>
      </c>
      <c r="I264">
        <v>1</v>
      </c>
      <c r="J264">
        <v>81.569999999999993</v>
      </c>
      <c r="K264">
        <v>81.569999999999993</v>
      </c>
      <c r="L264" t="s">
        <v>35</v>
      </c>
    </row>
    <row r="265" spans="1:12" x14ac:dyDescent="0.25">
      <c r="A265" s="1">
        <v>44600</v>
      </c>
      <c r="B265" s="1" t="str">
        <f>TEXT(Table134[Date],"mm-yyyy")</f>
        <v>02-2022</v>
      </c>
      <c r="C265" t="s">
        <v>11</v>
      </c>
      <c r="D265" t="s">
        <v>12</v>
      </c>
      <c r="E265" t="s">
        <v>13</v>
      </c>
      <c r="F265" t="s">
        <v>30</v>
      </c>
      <c r="G265" t="s">
        <v>32</v>
      </c>
      <c r="H265" t="s">
        <v>39</v>
      </c>
      <c r="I265">
        <v>2</v>
      </c>
      <c r="J265">
        <v>247.2</v>
      </c>
      <c r="K265">
        <v>494.4</v>
      </c>
      <c r="L265" t="s">
        <v>35</v>
      </c>
    </row>
    <row r="266" spans="1:12" hidden="1" x14ac:dyDescent="0.25">
      <c r="A266" s="1">
        <v>44687</v>
      </c>
      <c r="B266" s="1" t="str">
        <f>TEXT(Table134[Date],"mm-yyyy")</f>
        <v>05-2022</v>
      </c>
      <c r="C266" t="s">
        <v>48</v>
      </c>
      <c r="D266" t="s">
        <v>49</v>
      </c>
      <c r="E266" t="s">
        <v>50</v>
      </c>
      <c r="F266" t="s">
        <v>26</v>
      </c>
      <c r="G266" t="s">
        <v>40</v>
      </c>
      <c r="H266" t="s">
        <v>16</v>
      </c>
      <c r="I266">
        <v>4</v>
      </c>
      <c r="J266">
        <v>250.26</v>
      </c>
      <c r="K266">
        <v>1001.04</v>
      </c>
      <c r="L266" t="s">
        <v>17</v>
      </c>
    </row>
    <row r="267" spans="1:12" x14ac:dyDescent="0.25">
      <c r="A267" s="1">
        <v>44567</v>
      </c>
      <c r="B267" s="1" t="str">
        <f>TEXT(Table134[Date],"mm-yyyy")</f>
        <v>01-2022</v>
      </c>
      <c r="C267" t="s">
        <v>44</v>
      </c>
      <c r="D267" t="s">
        <v>19</v>
      </c>
      <c r="E267" t="s">
        <v>20</v>
      </c>
      <c r="F267" t="s">
        <v>14</v>
      </c>
      <c r="G267" t="s">
        <v>40</v>
      </c>
      <c r="H267" t="s">
        <v>27</v>
      </c>
      <c r="I267">
        <v>1</v>
      </c>
      <c r="J267">
        <v>137.19999999999999</v>
      </c>
      <c r="K267">
        <v>137.19999999999999</v>
      </c>
      <c r="L267" t="s">
        <v>17</v>
      </c>
    </row>
    <row r="268" spans="1:12" x14ac:dyDescent="0.25">
      <c r="A268" s="1">
        <v>44638</v>
      </c>
      <c r="B268" s="1" t="str">
        <f>TEXT(Table134[Date],"mm-yyyy")</f>
        <v>03-2022</v>
      </c>
      <c r="C268" t="s">
        <v>44</v>
      </c>
      <c r="D268" t="s">
        <v>19</v>
      </c>
      <c r="E268" t="s">
        <v>20</v>
      </c>
      <c r="F268" t="s">
        <v>26</v>
      </c>
      <c r="G268" t="s">
        <v>21</v>
      </c>
      <c r="H268" t="s">
        <v>39</v>
      </c>
      <c r="I268">
        <v>3</v>
      </c>
      <c r="J268">
        <v>164.06</v>
      </c>
      <c r="K268">
        <v>492.18</v>
      </c>
      <c r="L268" t="s">
        <v>35</v>
      </c>
    </row>
    <row r="269" spans="1:12" x14ac:dyDescent="0.25">
      <c r="A269" s="1">
        <v>44599</v>
      </c>
      <c r="B269" s="1" t="str">
        <f>TEXT(Table134[Date],"mm-yyyy")</f>
        <v>02-2022</v>
      </c>
      <c r="C269" t="s">
        <v>37</v>
      </c>
      <c r="D269" t="s">
        <v>29</v>
      </c>
      <c r="E269" t="s">
        <v>38</v>
      </c>
      <c r="F269" t="s">
        <v>14</v>
      </c>
      <c r="G269" t="s">
        <v>21</v>
      </c>
      <c r="H269" t="s">
        <v>22</v>
      </c>
      <c r="I269">
        <v>4</v>
      </c>
      <c r="J269">
        <v>198.45</v>
      </c>
      <c r="K269">
        <v>793.8</v>
      </c>
      <c r="L269" t="s">
        <v>36</v>
      </c>
    </row>
    <row r="270" spans="1:12" hidden="1" x14ac:dyDescent="0.25">
      <c r="A270" s="1">
        <v>44717</v>
      </c>
      <c r="B270" s="1" t="str">
        <f>TEXT(Table134[Date],"mm-yyyy")</f>
        <v>06-2022</v>
      </c>
      <c r="C270" t="s">
        <v>48</v>
      </c>
      <c r="D270" t="s">
        <v>49</v>
      </c>
      <c r="E270" t="s">
        <v>50</v>
      </c>
      <c r="F270" t="s">
        <v>14</v>
      </c>
      <c r="G270" t="s">
        <v>15</v>
      </c>
      <c r="H270" t="s">
        <v>27</v>
      </c>
      <c r="I270">
        <v>2</v>
      </c>
      <c r="J270">
        <v>162.47999999999999</v>
      </c>
      <c r="K270">
        <v>324.95999999999998</v>
      </c>
      <c r="L270" t="s">
        <v>23</v>
      </c>
    </row>
    <row r="271" spans="1:12" x14ac:dyDescent="0.25">
      <c r="A271" s="1">
        <v>44725</v>
      </c>
      <c r="B271" s="1" t="str">
        <f>TEXT(Table134[Date],"mm-yyyy")</f>
        <v>06-2022</v>
      </c>
      <c r="C271" t="s">
        <v>41</v>
      </c>
      <c r="D271" t="s">
        <v>29</v>
      </c>
      <c r="E271" t="s">
        <v>42</v>
      </c>
      <c r="F271" t="s">
        <v>30</v>
      </c>
      <c r="G271" t="s">
        <v>32</v>
      </c>
      <c r="H271" t="s">
        <v>34</v>
      </c>
      <c r="I271">
        <v>4</v>
      </c>
      <c r="J271">
        <v>243.48</v>
      </c>
      <c r="K271">
        <v>973.92</v>
      </c>
      <c r="L271" t="s">
        <v>36</v>
      </c>
    </row>
    <row r="272" spans="1:12" x14ac:dyDescent="0.25">
      <c r="A272" s="1">
        <v>44783</v>
      </c>
      <c r="B272" s="1" t="str">
        <f>TEXT(Table134[Date],"mm-yyyy")</f>
        <v>08-2022</v>
      </c>
      <c r="C272" t="s">
        <v>24</v>
      </c>
      <c r="D272" t="s">
        <v>19</v>
      </c>
      <c r="E272" t="s">
        <v>25</v>
      </c>
      <c r="F272" t="s">
        <v>26</v>
      </c>
      <c r="G272" t="s">
        <v>15</v>
      </c>
      <c r="H272" t="s">
        <v>34</v>
      </c>
      <c r="I272">
        <v>4</v>
      </c>
      <c r="J272">
        <v>183.4</v>
      </c>
      <c r="K272">
        <v>733.6</v>
      </c>
      <c r="L272" t="s">
        <v>17</v>
      </c>
    </row>
    <row r="273" spans="1:12" x14ac:dyDescent="0.25">
      <c r="A273" s="1">
        <v>44686</v>
      </c>
      <c r="B273" s="1" t="str">
        <f>TEXT(Table134[Date],"mm-yyyy")</f>
        <v>05-2022</v>
      </c>
      <c r="C273" t="s">
        <v>37</v>
      </c>
      <c r="D273" t="s">
        <v>29</v>
      </c>
      <c r="E273" t="s">
        <v>38</v>
      </c>
      <c r="F273" t="s">
        <v>30</v>
      </c>
      <c r="G273" t="s">
        <v>21</v>
      </c>
      <c r="H273" t="s">
        <v>34</v>
      </c>
      <c r="I273">
        <v>1</v>
      </c>
      <c r="J273">
        <v>271.44</v>
      </c>
      <c r="K273">
        <v>271.44</v>
      </c>
      <c r="L273" t="s">
        <v>23</v>
      </c>
    </row>
    <row r="274" spans="1:12" x14ac:dyDescent="0.25">
      <c r="A274" s="1">
        <v>44621</v>
      </c>
      <c r="B274" s="1" t="str">
        <f>TEXT(Table134[Date],"mm-yyyy")</f>
        <v>03-2022</v>
      </c>
      <c r="C274" t="s">
        <v>37</v>
      </c>
      <c r="D274" t="s">
        <v>29</v>
      </c>
      <c r="E274" t="s">
        <v>38</v>
      </c>
      <c r="F274" t="s">
        <v>14</v>
      </c>
      <c r="G274" t="s">
        <v>15</v>
      </c>
      <c r="H274" t="s">
        <v>22</v>
      </c>
      <c r="I274">
        <v>2</v>
      </c>
      <c r="J274">
        <v>135.47999999999999</v>
      </c>
      <c r="K274">
        <v>270.95999999999998</v>
      </c>
      <c r="L274" t="s">
        <v>23</v>
      </c>
    </row>
    <row r="275" spans="1:12" x14ac:dyDescent="0.25">
      <c r="A275" s="1">
        <v>44582</v>
      </c>
      <c r="B275" s="1" t="str">
        <f>TEXT(Table134[Date],"mm-yyyy")</f>
        <v>01-2022</v>
      </c>
      <c r="C275" t="s">
        <v>11</v>
      </c>
      <c r="D275" t="s">
        <v>12</v>
      </c>
      <c r="E275" t="s">
        <v>13</v>
      </c>
      <c r="F275" t="s">
        <v>30</v>
      </c>
      <c r="G275" t="s">
        <v>40</v>
      </c>
      <c r="H275" t="s">
        <v>16</v>
      </c>
      <c r="I275">
        <v>5</v>
      </c>
      <c r="J275">
        <v>148.46</v>
      </c>
      <c r="K275">
        <v>742.3</v>
      </c>
      <c r="L275" t="s">
        <v>17</v>
      </c>
    </row>
    <row r="276" spans="1:12" hidden="1" x14ac:dyDescent="0.25">
      <c r="A276" s="1">
        <v>44752</v>
      </c>
      <c r="B276" s="1" t="str">
        <f>TEXT(Table134[Date],"mm-yyyy")</f>
        <v>07-2022</v>
      </c>
      <c r="C276" t="s">
        <v>45</v>
      </c>
      <c r="D276" t="s">
        <v>46</v>
      </c>
      <c r="E276" t="s">
        <v>47</v>
      </c>
      <c r="F276" t="s">
        <v>30</v>
      </c>
      <c r="G276" t="s">
        <v>32</v>
      </c>
      <c r="H276" t="s">
        <v>39</v>
      </c>
      <c r="I276">
        <v>5</v>
      </c>
      <c r="J276">
        <v>251.06</v>
      </c>
      <c r="K276">
        <v>1255.3</v>
      </c>
      <c r="L276" t="s">
        <v>35</v>
      </c>
    </row>
    <row r="277" spans="1:12" hidden="1" x14ac:dyDescent="0.25">
      <c r="A277" s="1">
        <v>44632</v>
      </c>
      <c r="B277" s="1" t="str">
        <f>TEXT(Table134[Date],"mm-yyyy")</f>
        <v>03-2022</v>
      </c>
      <c r="C277" t="s">
        <v>45</v>
      </c>
      <c r="D277" t="s">
        <v>46</v>
      </c>
      <c r="E277" t="s">
        <v>47</v>
      </c>
      <c r="F277" t="s">
        <v>14</v>
      </c>
      <c r="G277" t="s">
        <v>21</v>
      </c>
      <c r="H277" t="s">
        <v>27</v>
      </c>
      <c r="I277">
        <v>2</v>
      </c>
      <c r="J277">
        <v>195.41</v>
      </c>
      <c r="K277">
        <v>390.82</v>
      </c>
      <c r="L277" t="s">
        <v>17</v>
      </c>
    </row>
    <row r="278" spans="1:12" x14ac:dyDescent="0.25">
      <c r="A278" s="1">
        <v>44583</v>
      </c>
      <c r="B278" s="1" t="str">
        <f>TEXT(Table134[Date],"mm-yyyy")</f>
        <v>01-2022</v>
      </c>
      <c r="C278" t="s">
        <v>18</v>
      </c>
      <c r="D278" t="s">
        <v>19</v>
      </c>
      <c r="E278" t="s">
        <v>20</v>
      </c>
      <c r="F278" t="s">
        <v>14</v>
      </c>
      <c r="G278" t="s">
        <v>15</v>
      </c>
      <c r="H278" t="s">
        <v>43</v>
      </c>
      <c r="I278">
        <v>4</v>
      </c>
      <c r="J278">
        <v>206.29</v>
      </c>
      <c r="K278">
        <v>825.16</v>
      </c>
      <c r="L278" t="s">
        <v>36</v>
      </c>
    </row>
    <row r="279" spans="1:12" hidden="1" x14ac:dyDescent="0.25">
      <c r="A279" s="1">
        <v>44694</v>
      </c>
      <c r="B279" s="1" t="str">
        <f>TEXT(Table134[Date],"mm-yyyy")</f>
        <v>05-2022</v>
      </c>
      <c r="C279" t="s">
        <v>45</v>
      </c>
      <c r="D279" t="s">
        <v>46</v>
      </c>
      <c r="E279" t="s">
        <v>47</v>
      </c>
      <c r="F279" t="s">
        <v>26</v>
      </c>
      <c r="G279" t="s">
        <v>21</v>
      </c>
      <c r="H279" t="s">
        <v>16</v>
      </c>
      <c r="I279">
        <v>4</v>
      </c>
      <c r="J279">
        <v>146.09</v>
      </c>
      <c r="K279">
        <v>584.36</v>
      </c>
      <c r="L279" t="s">
        <v>23</v>
      </c>
    </row>
    <row r="280" spans="1:12" x14ac:dyDescent="0.25">
      <c r="A280" s="1">
        <v>44707</v>
      </c>
      <c r="B280" s="1" t="str">
        <f>TEXT(Table134[Date],"mm-yyyy")</f>
        <v>05-2022</v>
      </c>
      <c r="C280" t="s">
        <v>18</v>
      </c>
      <c r="D280" t="s">
        <v>19</v>
      </c>
      <c r="E280" t="s">
        <v>20</v>
      </c>
      <c r="F280" t="s">
        <v>26</v>
      </c>
      <c r="G280" t="s">
        <v>15</v>
      </c>
      <c r="H280" t="s">
        <v>22</v>
      </c>
      <c r="I280">
        <v>1</v>
      </c>
      <c r="J280">
        <v>284.3</v>
      </c>
      <c r="K280">
        <v>284.3</v>
      </c>
      <c r="L280" t="s">
        <v>17</v>
      </c>
    </row>
    <row r="281" spans="1:12" hidden="1" x14ac:dyDescent="0.25">
      <c r="A281" s="1">
        <v>44575</v>
      </c>
      <c r="B281" s="1" t="str">
        <f>TEXT(Table134[Date],"mm-yyyy")</f>
        <v>01-2022</v>
      </c>
      <c r="C281" t="s">
        <v>48</v>
      </c>
      <c r="D281" t="s">
        <v>49</v>
      </c>
      <c r="E281" t="s">
        <v>50</v>
      </c>
      <c r="F281" t="s">
        <v>14</v>
      </c>
      <c r="G281" t="s">
        <v>15</v>
      </c>
      <c r="H281" t="s">
        <v>33</v>
      </c>
      <c r="I281">
        <v>5</v>
      </c>
      <c r="J281">
        <v>289.47000000000003</v>
      </c>
      <c r="K281">
        <v>1447.35</v>
      </c>
      <c r="L281" t="s">
        <v>17</v>
      </c>
    </row>
    <row r="282" spans="1:12" x14ac:dyDescent="0.25">
      <c r="A282" s="1">
        <v>44630</v>
      </c>
      <c r="B282" s="1" t="str">
        <f>TEXT(Table134[Date],"mm-yyyy")</f>
        <v>03-2022</v>
      </c>
      <c r="C282" t="s">
        <v>28</v>
      </c>
      <c r="D282" t="s">
        <v>29</v>
      </c>
      <c r="E282" t="s">
        <v>25</v>
      </c>
      <c r="F282" t="s">
        <v>26</v>
      </c>
      <c r="G282" t="s">
        <v>40</v>
      </c>
      <c r="H282" t="s">
        <v>34</v>
      </c>
      <c r="I282">
        <v>2</v>
      </c>
      <c r="J282">
        <v>218.25</v>
      </c>
      <c r="K282">
        <v>436.5</v>
      </c>
      <c r="L282" t="s">
        <v>36</v>
      </c>
    </row>
    <row r="283" spans="1:12" x14ac:dyDescent="0.25">
      <c r="A283" s="1">
        <v>44750</v>
      </c>
      <c r="B283" s="1" t="str">
        <f>TEXT(Table134[Date],"mm-yyyy")</f>
        <v>07-2022</v>
      </c>
      <c r="C283" t="s">
        <v>31</v>
      </c>
      <c r="D283" t="s">
        <v>19</v>
      </c>
      <c r="E283" t="s">
        <v>25</v>
      </c>
      <c r="F283" t="s">
        <v>30</v>
      </c>
      <c r="G283" t="s">
        <v>21</v>
      </c>
      <c r="H283" t="s">
        <v>43</v>
      </c>
      <c r="I283">
        <v>4</v>
      </c>
      <c r="J283">
        <v>204.62</v>
      </c>
      <c r="K283">
        <v>818.48</v>
      </c>
      <c r="L283" t="s">
        <v>36</v>
      </c>
    </row>
    <row r="284" spans="1:12" hidden="1" x14ac:dyDescent="0.25">
      <c r="A284" s="1">
        <v>44564</v>
      </c>
      <c r="B284" s="1" t="str">
        <f>TEXT(Table134[Date],"mm-yyyy")</f>
        <v>01-2022</v>
      </c>
      <c r="C284" t="s">
        <v>48</v>
      </c>
      <c r="D284" t="s">
        <v>49</v>
      </c>
      <c r="E284" t="s">
        <v>50</v>
      </c>
      <c r="F284" t="s">
        <v>26</v>
      </c>
      <c r="G284" t="s">
        <v>15</v>
      </c>
      <c r="H284" t="s">
        <v>16</v>
      </c>
      <c r="I284">
        <v>2</v>
      </c>
      <c r="J284">
        <v>267.42</v>
      </c>
      <c r="K284">
        <v>534.84</v>
      </c>
      <c r="L284" t="s">
        <v>23</v>
      </c>
    </row>
    <row r="285" spans="1:12" x14ac:dyDescent="0.25">
      <c r="A285" s="1">
        <v>44653</v>
      </c>
      <c r="B285" s="1" t="str">
        <f>TEXT(Table134[Date],"mm-yyyy")</f>
        <v>04-2022</v>
      </c>
      <c r="C285" t="s">
        <v>41</v>
      </c>
      <c r="D285" t="s">
        <v>29</v>
      </c>
      <c r="E285" t="s">
        <v>42</v>
      </c>
      <c r="F285" t="s">
        <v>30</v>
      </c>
      <c r="G285" t="s">
        <v>32</v>
      </c>
      <c r="H285" t="s">
        <v>27</v>
      </c>
      <c r="I285">
        <v>1</v>
      </c>
      <c r="J285">
        <v>144.59</v>
      </c>
      <c r="K285">
        <v>144.59</v>
      </c>
      <c r="L285" t="s">
        <v>35</v>
      </c>
    </row>
    <row r="286" spans="1:12" x14ac:dyDescent="0.25">
      <c r="A286" s="1">
        <v>44790</v>
      </c>
      <c r="B286" s="1" t="str">
        <f>TEXT(Table134[Date],"mm-yyyy")</f>
        <v>08-2022</v>
      </c>
      <c r="C286" t="s">
        <v>18</v>
      </c>
      <c r="D286" t="s">
        <v>19</v>
      </c>
      <c r="E286" t="s">
        <v>20</v>
      </c>
      <c r="F286" t="s">
        <v>30</v>
      </c>
      <c r="G286" t="s">
        <v>40</v>
      </c>
      <c r="H286" t="s">
        <v>39</v>
      </c>
      <c r="I286">
        <v>2</v>
      </c>
      <c r="J286">
        <v>80.47</v>
      </c>
      <c r="K286">
        <v>160.94</v>
      </c>
      <c r="L286" t="s">
        <v>17</v>
      </c>
    </row>
    <row r="287" spans="1:12" x14ac:dyDescent="0.25">
      <c r="A287" s="1">
        <v>44677</v>
      </c>
      <c r="B287" s="1" t="str">
        <f>TEXT(Table134[Date],"mm-yyyy")</f>
        <v>04-2022</v>
      </c>
      <c r="C287" t="s">
        <v>28</v>
      </c>
      <c r="D287" t="s">
        <v>29</v>
      </c>
      <c r="E287" t="s">
        <v>25</v>
      </c>
      <c r="F287" t="s">
        <v>30</v>
      </c>
      <c r="G287" t="s">
        <v>32</v>
      </c>
      <c r="H287" t="s">
        <v>39</v>
      </c>
      <c r="I287">
        <v>2</v>
      </c>
      <c r="J287">
        <v>98.17</v>
      </c>
      <c r="K287">
        <v>196.34</v>
      </c>
      <c r="L287" t="s">
        <v>17</v>
      </c>
    </row>
    <row r="288" spans="1:12" x14ac:dyDescent="0.25">
      <c r="A288" s="1">
        <v>44727</v>
      </c>
      <c r="B288" s="1" t="str">
        <f>TEXT(Table134[Date],"mm-yyyy")</f>
        <v>06-2022</v>
      </c>
      <c r="C288" t="s">
        <v>37</v>
      </c>
      <c r="D288" t="s">
        <v>29</v>
      </c>
      <c r="E288" t="s">
        <v>38</v>
      </c>
      <c r="F288" t="s">
        <v>30</v>
      </c>
      <c r="G288" t="s">
        <v>40</v>
      </c>
      <c r="H288" t="s">
        <v>34</v>
      </c>
      <c r="I288">
        <v>2</v>
      </c>
      <c r="J288">
        <v>63.76</v>
      </c>
      <c r="K288">
        <v>127.52</v>
      </c>
      <c r="L288" t="s">
        <v>23</v>
      </c>
    </row>
    <row r="289" spans="1:12" x14ac:dyDescent="0.25">
      <c r="A289" s="1">
        <v>44657</v>
      </c>
      <c r="B289" s="1" t="str">
        <f>TEXT(Table134[Date],"mm-yyyy")</f>
        <v>04-2022</v>
      </c>
      <c r="C289" t="s">
        <v>41</v>
      </c>
      <c r="D289" t="s">
        <v>29</v>
      </c>
      <c r="E289" t="s">
        <v>42</v>
      </c>
      <c r="F289" t="s">
        <v>30</v>
      </c>
      <c r="G289" t="s">
        <v>32</v>
      </c>
      <c r="H289" t="s">
        <v>34</v>
      </c>
      <c r="I289">
        <v>2</v>
      </c>
      <c r="J289">
        <v>157.12</v>
      </c>
      <c r="K289">
        <v>314.24</v>
      </c>
      <c r="L289" t="s">
        <v>17</v>
      </c>
    </row>
    <row r="290" spans="1:12" x14ac:dyDescent="0.25">
      <c r="A290" s="1">
        <v>44658</v>
      </c>
      <c r="B290" s="1" t="str">
        <f>TEXT(Table134[Date],"mm-yyyy")</f>
        <v>04-2022</v>
      </c>
      <c r="C290" t="s">
        <v>41</v>
      </c>
      <c r="D290" t="s">
        <v>29</v>
      </c>
      <c r="E290" t="s">
        <v>42</v>
      </c>
      <c r="F290" t="s">
        <v>26</v>
      </c>
      <c r="G290" t="s">
        <v>32</v>
      </c>
      <c r="H290" t="s">
        <v>27</v>
      </c>
      <c r="I290">
        <v>5</v>
      </c>
      <c r="J290">
        <v>293.20999999999998</v>
      </c>
      <c r="K290">
        <v>1466.05</v>
      </c>
      <c r="L290" t="s">
        <v>23</v>
      </c>
    </row>
    <row r="291" spans="1:12" x14ac:dyDescent="0.25">
      <c r="A291" s="1">
        <v>44650</v>
      </c>
      <c r="B291" s="1" t="str">
        <f>TEXT(Table134[Date],"mm-yyyy")</f>
        <v>03-2022</v>
      </c>
      <c r="C291" t="s">
        <v>37</v>
      </c>
      <c r="D291" t="s">
        <v>29</v>
      </c>
      <c r="E291" t="s">
        <v>38</v>
      </c>
      <c r="F291" t="s">
        <v>30</v>
      </c>
      <c r="G291" t="s">
        <v>21</v>
      </c>
      <c r="H291" t="s">
        <v>34</v>
      </c>
      <c r="I291">
        <v>2</v>
      </c>
      <c r="J291">
        <v>142.25</v>
      </c>
      <c r="K291">
        <v>284.5</v>
      </c>
      <c r="L291" t="s">
        <v>35</v>
      </c>
    </row>
    <row r="292" spans="1:12" x14ac:dyDescent="0.25">
      <c r="A292" s="1">
        <v>44744</v>
      </c>
      <c r="B292" s="1" t="str">
        <f>TEXT(Table134[Date],"mm-yyyy")</f>
        <v>07-2022</v>
      </c>
      <c r="C292" t="s">
        <v>37</v>
      </c>
      <c r="D292" t="s">
        <v>29</v>
      </c>
      <c r="E292" t="s">
        <v>38</v>
      </c>
      <c r="F292" t="s">
        <v>30</v>
      </c>
      <c r="G292" t="s">
        <v>40</v>
      </c>
      <c r="H292" t="s">
        <v>16</v>
      </c>
      <c r="I292">
        <v>1</v>
      </c>
      <c r="J292">
        <v>86.17</v>
      </c>
      <c r="K292">
        <v>86.17</v>
      </c>
      <c r="L292" t="s">
        <v>36</v>
      </c>
    </row>
    <row r="293" spans="1:12" x14ac:dyDescent="0.25">
      <c r="A293" s="1">
        <v>44751</v>
      </c>
      <c r="B293" s="1" t="str">
        <f>TEXT(Table134[Date],"mm-yyyy")</f>
        <v>07-2022</v>
      </c>
      <c r="C293" t="s">
        <v>28</v>
      </c>
      <c r="D293" t="s">
        <v>29</v>
      </c>
      <c r="E293" t="s">
        <v>25</v>
      </c>
      <c r="F293" t="s">
        <v>26</v>
      </c>
      <c r="G293" t="s">
        <v>15</v>
      </c>
      <c r="H293" t="s">
        <v>39</v>
      </c>
      <c r="I293">
        <v>3</v>
      </c>
      <c r="J293">
        <v>172.37</v>
      </c>
      <c r="K293">
        <v>517.11</v>
      </c>
      <c r="L293" t="s">
        <v>17</v>
      </c>
    </row>
    <row r="294" spans="1:12" x14ac:dyDescent="0.25">
      <c r="A294" s="1">
        <v>44597</v>
      </c>
      <c r="B294" s="1" t="str">
        <f>TEXT(Table134[Date],"mm-yyyy")</f>
        <v>02-2022</v>
      </c>
      <c r="C294" t="s">
        <v>37</v>
      </c>
      <c r="D294" t="s">
        <v>29</v>
      </c>
      <c r="E294" t="s">
        <v>38</v>
      </c>
      <c r="F294" t="s">
        <v>30</v>
      </c>
      <c r="G294" t="s">
        <v>40</v>
      </c>
      <c r="H294" t="s">
        <v>43</v>
      </c>
      <c r="I294">
        <v>3</v>
      </c>
      <c r="J294">
        <v>236.05</v>
      </c>
      <c r="K294">
        <v>708.15</v>
      </c>
      <c r="L294" t="s">
        <v>35</v>
      </c>
    </row>
    <row r="295" spans="1:12" x14ac:dyDescent="0.25">
      <c r="A295" s="1">
        <v>44753</v>
      </c>
      <c r="B295" s="1" t="str">
        <f>TEXT(Table134[Date],"mm-yyyy")</f>
        <v>07-2022</v>
      </c>
      <c r="C295" t="s">
        <v>28</v>
      </c>
      <c r="D295" t="s">
        <v>29</v>
      </c>
      <c r="E295" t="s">
        <v>25</v>
      </c>
      <c r="F295" t="s">
        <v>30</v>
      </c>
      <c r="G295" t="s">
        <v>21</v>
      </c>
      <c r="H295" t="s">
        <v>34</v>
      </c>
      <c r="I295">
        <v>3</v>
      </c>
      <c r="J295">
        <v>256.72000000000003</v>
      </c>
      <c r="K295">
        <v>770.16</v>
      </c>
      <c r="L295" t="s">
        <v>35</v>
      </c>
    </row>
    <row r="296" spans="1:12" x14ac:dyDescent="0.25">
      <c r="A296" s="1">
        <v>44714</v>
      </c>
      <c r="B296" s="1" t="str">
        <f>TEXT(Table134[Date],"mm-yyyy")</f>
        <v>06-2022</v>
      </c>
      <c r="C296" t="s">
        <v>24</v>
      </c>
      <c r="D296" t="s">
        <v>19</v>
      </c>
      <c r="E296" t="s">
        <v>25</v>
      </c>
      <c r="F296" t="s">
        <v>30</v>
      </c>
      <c r="G296" t="s">
        <v>15</v>
      </c>
      <c r="H296" t="s">
        <v>34</v>
      </c>
      <c r="I296">
        <v>4</v>
      </c>
      <c r="J296">
        <v>205.64</v>
      </c>
      <c r="K296">
        <v>822.56</v>
      </c>
      <c r="L296" t="s">
        <v>36</v>
      </c>
    </row>
    <row r="297" spans="1:12" x14ac:dyDescent="0.25">
      <c r="A297" s="1">
        <v>44710</v>
      </c>
      <c r="B297" s="1" t="str">
        <f>TEXT(Table134[Date],"mm-yyyy")</f>
        <v>05-2022</v>
      </c>
      <c r="C297" t="s">
        <v>37</v>
      </c>
      <c r="D297" t="s">
        <v>29</v>
      </c>
      <c r="E297" t="s">
        <v>38</v>
      </c>
      <c r="F297" t="s">
        <v>30</v>
      </c>
      <c r="G297" t="s">
        <v>21</v>
      </c>
      <c r="H297" t="s">
        <v>27</v>
      </c>
      <c r="I297">
        <v>4</v>
      </c>
      <c r="J297">
        <v>68.180000000000007</v>
      </c>
      <c r="K297">
        <v>272.72000000000003</v>
      </c>
      <c r="L297" t="s">
        <v>23</v>
      </c>
    </row>
    <row r="298" spans="1:12" hidden="1" x14ac:dyDescent="0.25">
      <c r="A298" s="1">
        <v>44641</v>
      </c>
      <c r="B298" s="1" t="str">
        <f>TEXT(Table134[Date],"mm-yyyy")</f>
        <v>03-2022</v>
      </c>
      <c r="C298" t="s">
        <v>45</v>
      </c>
      <c r="D298" t="s">
        <v>46</v>
      </c>
      <c r="E298" t="s">
        <v>47</v>
      </c>
      <c r="F298" t="s">
        <v>30</v>
      </c>
      <c r="G298" t="s">
        <v>15</v>
      </c>
      <c r="H298" t="s">
        <v>33</v>
      </c>
      <c r="I298">
        <v>4</v>
      </c>
      <c r="J298">
        <v>68.97</v>
      </c>
      <c r="K298">
        <v>275.88</v>
      </c>
      <c r="L298" t="s">
        <v>17</v>
      </c>
    </row>
    <row r="299" spans="1:12" x14ac:dyDescent="0.25">
      <c r="A299" s="1">
        <v>44718</v>
      </c>
      <c r="B299" s="1" t="str">
        <f>TEXT(Table134[Date],"mm-yyyy")</f>
        <v>06-2022</v>
      </c>
      <c r="C299" t="s">
        <v>28</v>
      </c>
      <c r="D299" t="s">
        <v>29</v>
      </c>
      <c r="E299" t="s">
        <v>25</v>
      </c>
      <c r="F299" t="s">
        <v>14</v>
      </c>
      <c r="G299" t="s">
        <v>15</v>
      </c>
      <c r="H299" t="s">
        <v>27</v>
      </c>
      <c r="I299">
        <v>5</v>
      </c>
      <c r="J299">
        <v>123.23</v>
      </c>
      <c r="K299">
        <v>616.15</v>
      </c>
      <c r="L299" t="s">
        <v>36</v>
      </c>
    </row>
    <row r="300" spans="1:12" x14ac:dyDescent="0.25">
      <c r="A300" s="1">
        <v>44797</v>
      </c>
      <c r="B300" s="1" t="str">
        <f>TEXT(Table134[Date],"mm-yyyy")</f>
        <v>08-2022</v>
      </c>
      <c r="C300" t="s">
        <v>24</v>
      </c>
      <c r="D300" t="s">
        <v>19</v>
      </c>
      <c r="E300" t="s">
        <v>25</v>
      </c>
      <c r="F300" t="s">
        <v>26</v>
      </c>
      <c r="G300" t="s">
        <v>21</v>
      </c>
      <c r="H300" t="s">
        <v>33</v>
      </c>
      <c r="I300">
        <v>5</v>
      </c>
      <c r="J300">
        <v>273</v>
      </c>
      <c r="K300">
        <v>1365</v>
      </c>
      <c r="L300" t="s">
        <v>17</v>
      </c>
    </row>
    <row r="301" spans="1:12" x14ac:dyDescent="0.25">
      <c r="A301" s="1">
        <v>44602</v>
      </c>
      <c r="B301" s="1" t="str">
        <f>TEXT(Table134[Date],"mm-yyyy")</f>
        <v>02-2022</v>
      </c>
      <c r="C301" t="s">
        <v>18</v>
      </c>
      <c r="D301" t="s">
        <v>19</v>
      </c>
      <c r="E301" t="s">
        <v>20</v>
      </c>
      <c r="F301" t="s">
        <v>26</v>
      </c>
      <c r="G301" t="s">
        <v>32</v>
      </c>
      <c r="H301" t="s">
        <v>39</v>
      </c>
      <c r="I301">
        <v>3</v>
      </c>
      <c r="J301">
        <v>225.84</v>
      </c>
      <c r="K301">
        <v>677.52</v>
      </c>
      <c r="L301" t="s">
        <v>17</v>
      </c>
    </row>
    <row r="302" spans="1:12" x14ac:dyDescent="0.25">
      <c r="A302" s="1">
        <v>44621</v>
      </c>
      <c r="B302" s="1" t="str">
        <f>TEXT(Table134[Date],"mm-yyyy")</f>
        <v>03-2022</v>
      </c>
      <c r="C302" t="s">
        <v>31</v>
      </c>
      <c r="D302" t="s">
        <v>19</v>
      </c>
      <c r="E302" t="s">
        <v>25</v>
      </c>
      <c r="F302" t="s">
        <v>26</v>
      </c>
      <c r="G302" t="s">
        <v>40</v>
      </c>
      <c r="H302" t="s">
        <v>39</v>
      </c>
      <c r="I302">
        <v>3</v>
      </c>
      <c r="J302">
        <v>235.36</v>
      </c>
      <c r="K302">
        <v>706.08</v>
      </c>
      <c r="L302" t="s">
        <v>36</v>
      </c>
    </row>
    <row r="303" spans="1:12" x14ac:dyDescent="0.25">
      <c r="A303" s="1">
        <v>44637</v>
      </c>
      <c r="B303" s="1" t="str">
        <f>TEXT(Table134[Date],"mm-yyyy")</f>
        <v>03-2022</v>
      </c>
      <c r="C303" t="s">
        <v>18</v>
      </c>
      <c r="D303" t="s">
        <v>19</v>
      </c>
      <c r="E303" t="s">
        <v>20</v>
      </c>
      <c r="F303" t="s">
        <v>26</v>
      </c>
      <c r="G303" t="s">
        <v>40</v>
      </c>
      <c r="H303" t="s">
        <v>43</v>
      </c>
      <c r="I303">
        <v>5</v>
      </c>
      <c r="J303">
        <v>189.94</v>
      </c>
      <c r="K303">
        <v>949.7</v>
      </c>
      <c r="L303" t="s">
        <v>23</v>
      </c>
    </row>
    <row r="304" spans="1:12" x14ac:dyDescent="0.25">
      <c r="A304" s="1">
        <v>44564</v>
      </c>
      <c r="B304" s="1" t="str">
        <f>TEXT(Table134[Date],"mm-yyyy")</f>
        <v>01-2022</v>
      </c>
      <c r="C304" t="s">
        <v>37</v>
      </c>
      <c r="D304" t="s">
        <v>29</v>
      </c>
      <c r="E304" t="s">
        <v>38</v>
      </c>
      <c r="F304" t="s">
        <v>26</v>
      </c>
      <c r="G304" t="s">
        <v>32</v>
      </c>
      <c r="H304" t="s">
        <v>22</v>
      </c>
      <c r="I304">
        <v>3</v>
      </c>
      <c r="J304">
        <v>110.2</v>
      </c>
      <c r="K304">
        <v>330.6</v>
      </c>
      <c r="L304" t="s">
        <v>17</v>
      </c>
    </row>
    <row r="305" spans="1:12" x14ac:dyDescent="0.25">
      <c r="A305" s="1">
        <v>44741</v>
      </c>
      <c r="B305" s="1" t="str">
        <f>TEXT(Table134[Date],"mm-yyyy")</f>
        <v>06-2022</v>
      </c>
      <c r="C305" t="s">
        <v>37</v>
      </c>
      <c r="D305" t="s">
        <v>29</v>
      </c>
      <c r="E305" t="s">
        <v>38</v>
      </c>
      <c r="F305" t="s">
        <v>14</v>
      </c>
      <c r="G305" t="s">
        <v>40</v>
      </c>
      <c r="H305" t="s">
        <v>27</v>
      </c>
      <c r="I305">
        <v>2</v>
      </c>
      <c r="J305">
        <v>54.76</v>
      </c>
      <c r="K305">
        <v>109.52</v>
      </c>
      <c r="L305" t="s">
        <v>36</v>
      </c>
    </row>
    <row r="306" spans="1:12" x14ac:dyDescent="0.25">
      <c r="A306" s="1">
        <v>44714</v>
      </c>
      <c r="B306" s="1" t="str">
        <f>TEXT(Table134[Date],"mm-yyyy")</f>
        <v>06-2022</v>
      </c>
      <c r="C306" t="s">
        <v>41</v>
      </c>
      <c r="D306" t="s">
        <v>29</v>
      </c>
      <c r="E306" t="s">
        <v>42</v>
      </c>
      <c r="F306" t="s">
        <v>26</v>
      </c>
      <c r="G306" t="s">
        <v>40</v>
      </c>
      <c r="H306" t="s">
        <v>33</v>
      </c>
      <c r="I306">
        <v>1</v>
      </c>
      <c r="J306">
        <v>296.56</v>
      </c>
      <c r="K306">
        <v>296.56</v>
      </c>
      <c r="L306" t="s">
        <v>35</v>
      </c>
    </row>
    <row r="307" spans="1:12" x14ac:dyDescent="0.25">
      <c r="A307" s="1">
        <v>44716</v>
      </c>
      <c r="B307" s="1" t="str">
        <f>TEXT(Table134[Date],"mm-yyyy")</f>
        <v>06-2022</v>
      </c>
      <c r="C307" t="s">
        <v>18</v>
      </c>
      <c r="D307" t="s">
        <v>19</v>
      </c>
      <c r="E307" t="s">
        <v>20</v>
      </c>
      <c r="F307" t="s">
        <v>26</v>
      </c>
      <c r="G307" t="s">
        <v>40</v>
      </c>
      <c r="H307" t="s">
        <v>33</v>
      </c>
      <c r="I307">
        <v>1</v>
      </c>
      <c r="J307">
        <v>296.51</v>
      </c>
      <c r="K307">
        <v>296.51</v>
      </c>
      <c r="L307" t="s">
        <v>36</v>
      </c>
    </row>
    <row r="308" spans="1:12" hidden="1" x14ac:dyDescent="0.25">
      <c r="A308" s="1">
        <v>44654</v>
      </c>
      <c r="B308" s="1" t="str">
        <f>TEXT(Table134[Date],"mm-yyyy")</f>
        <v>04-2022</v>
      </c>
      <c r="C308" t="s">
        <v>48</v>
      </c>
      <c r="D308" t="s">
        <v>49</v>
      </c>
      <c r="E308" t="s">
        <v>50</v>
      </c>
      <c r="F308" t="s">
        <v>30</v>
      </c>
      <c r="G308" t="s">
        <v>32</v>
      </c>
      <c r="H308" t="s">
        <v>43</v>
      </c>
      <c r="I308">
        <v>1</v>
      </c>
      <c r="J308">
        <v>89.5</v>
      </c>
      <c r="K308">
        <v>89.5</v>
      </c>
      <c r="L308" t="s">
        <v>35</v>
      </c>
    </row>
    <row r="309" spans="1:12" x14ac:dyDescent="0.25">
      <c r="A309" s="1">
        <v>44636</v>
      </c>
      <c r="B309" s="1" t="str">
        <f>TEXT(Table134[Date],"mm-yyyy")</f>
        <v>03-2022</v>
      </c>
      <c r="C309" t="s">
        <v>18</v>
      </c>
      <c r="D309" t="s">
        <v>19</v>
      </c>
      <c r="E309" t="s">
        <v>20</v>
      </c>
      <c r="F309" t="s">
        <v>14</v>
      </c>
      <c r="G309" t="s">
        <v>32</v>
      </c>
      <c r="H309" t="s">
        <v>34</v>
      </c>
      <c r="I309">
        <v>3</v>
      </c>
      <c r="J309">
        <v>280.64</v>
      </c>
      <c r="K309">
        <v>841.92</v>
      </c>
      <c r="L309" t="s">
        <v>17</v>
      </c>
    </row>
    <row r="310" spans="1:12" x14ac:dyDescent="0.25">
      <c r="A310" s="1">
        <v>44607</v>
      </c>
      <c r="B310" s="1" t="str">
        <f>TEXT(Table134[Date],"mm-yyyy")</f>
        <v>02-2022</v>
      </c>
      <c r="C310" t="s">
        <v>28</v>
      </c>
      <c r="D310" t="s">
        <v>29</v>
      </c>
      <c r="E310" t="s">
        <v>25</v>
      </c>
      <c r="F310" t="s">
        <v>26</v>
      </c>
      <c r="G310" t="s">
        <v>21</v>
      </c>
      <c r="H310" t="s">
        <v>39</v>
      </c>
      <c r="I310">
        <v>5</v>
      </c>
      <c r="J310">
        <v>234.28</v>
      </c>
      <c r="K310">
        <v>1171.4000000000001</v>
      </c>
      <c r="L310" t="s">
        <v>23</v>
      </c>
    </row>
    <row r="311" spans="1:12" x14ac:dyDescent="0.25">
      <c r="A311" s="1">
        <v>44562</v>
      </c>
      <c r="B311" s="1" t="str">
        <f>TEXT(Table134[Date],"mm-yyyy")</f>
        <v>01-2022</v>
      </c>
      <c r="C311" t="s">
        <v>24</v>
      </c>
      <c r="D311" t="s">
        <v>19</v>
      </c>
      <c r="E311" t="s">
        <v>25</v>
      </c>
      <c r="F311" t="s">
        <v>26</v>
      </c>
      <c r="G311" t="s">
        <v>21</v>
      </c>
      <c r="H311" t="s">
        <v>16</v>
      </c>
      <c r="I311">
        <v>2</v>
      </c>
      <c r="J311">
        <v>294.89</v>
      </c>
      <c r="K311">
        <v>589.78</v>
      </c>
      <c r="L311" t="s">
        <v>36</v>
      </c>
    </row>
    <row r="312" spans="1:12" x14ac:dyDescent="0.25">
      <c r="A312" s="1">
        <v>44630</v>
      </c>
      <c r="B312" s="1" t="str">
        <f>TEXT(Table134[Date],"mm-yyyy")</f>
        <v>03-2022</v>
      </c>
      <c r="C312" t="s">
        <v>31</v>
      </c>
      <c r="D312" t="s">
        <v>19</v>
      </c>
      <c r="E312" t="s">
        <v>25</v>
      </c>
      <c r="F312" t="s">
        <v>26</v>
      </c>
      <c r="G312" t="s">
        <v>40</v>
      </c>
      <c r="H312" t="s">
        <v>22</v>
      </c>
      <c r="I312">
        <v>1</v>
      </c>
      <c r="J312">
        <v>208.24</v>
      </c>
      <c r="K312">
        <v>208.24</v>
      </c>
      <c r="L312" t="s">
        <v>23</v>
      </c>
    </row>
    <row r="313" spans="1:12" x14ac:dyDescent="0.25">
      <c r="A313" s="1">
        <v>44659</v>
      </c>
      <c r="B313" s="1" t="str">
        <f>TEXT(Table134[Date],"mm-yyyy")</f>
        <v>04-2022</v>
      </c>
      <c r="C313" t="s">
        <v>31</v>
      </c>
      <c r="D313" t="s">
        <v>19</v>
      </c>
      <c r="E313" t="s">
        <v>25</v>
      </c>
      <c r="F313" t="s">
        <v>30</v>
      </c>
      <c r="G313" t="s">
        <v>32</v>
      </c>
      <c r="H313" t="s">
        <v>43</v>
      </c>
      <c r="I313">
        <v>5</v>
      </c>
      <c r="J313">
        <v>94.25</v>
      </c>
      <c r="K313">
        <v>471.25</v>
      </c>
      <c r="L313" t="s">
        <v>36</v>
      </c>
    </row>
    <row r="314" spans="1:12" x14ac:dyDescent="0.25">
      <c r="A314" s="1">
        <v>44776</v>
      </c>
      <c r="B314" s="1" t="str">
        <f>TEXT(Table134[Date],"mm-yyyy")</f>
        <v>08-2022</v>
      </c>
      <c r="C314" t="s">
        <v>28</v>
      </c>
      <c r="D314" t="s">
        <v>29</v>
      </c>
      <c r="E314" t="s">
        <v>25</v>
      </c>
      <c r="F314" t="s">
        <v>26</v>
      </c>
      <c r="G314" t="s">
        <v>32</v>
      </c>
      <c r="H314" t="s">
        <v>27</v>
      </c>
      <c r="I314">
        <v>5</v>
      </c>
      <c r="J314">
        <v>259</v>
      </c>
      <c r="K314">
        <v>1295</v>
      </c>
      <c r="L314" t="s">
        <v>17</v>
      </c>
    </row>
    <row r="315" spans="1:12" hidden="1" x14ac:dyDescent="0.25">
      <c r="A315" s="1">
        <v>44686</v>
      </c>
      <c r="B315" s="1" t="str">
        <f>TEXT(Table134[Date],"mm-yyyy")</f>
        <v>05-2022</v>
      </c>
      <c r="C315" t="s">
        <v>48</v>
      </c>
      <c r="D315" t="s">
        <v>49</v>
      </c>
      <c r="E315" t="s">
        <v>50</v>
      </c>
      <c r="F315" t="s">
        <v>26</v>
      </c>
      <c r="G315" t="s">
        <v>32</v>
      </c>
      <c r="H315" t="s">
        <v>27</v>
      </c>
      <c r="I315">
        <v>4</v>
      </c>
      <c r="J315">
        <v>299.73</v>
      </c>
      <c r="K315">
        <v>1198.92</v>
      </c>
      <c r="L315" t="s">
        <v>23</v>
      </c>
    </row>
    <row r="316" spans="1:12" x14ac:dyDescent="0.25">
      <c r="A316" s="1">
        <v>44700</v>
      </c>
      <c r="B316" s="1" t="str">
        <f>TEXT(Table134[Date],"mm-yyyy")</f>
        <v>05-2022</v>
      </c>
      <c r="C316" t="s">
        <v>44</v>
      </c>
      <c r="D316" t="s">
        <v>19</v>
      </c>
      <c r="E316" t="s">
        <v>20</v>
      </c>
      <c r="F316" t="s">
        <v>30</v>
      </c>
      <c r="G316" t="s">
        <v>32</v>
      </c>
      <c r="H316" t="s">
        <v>39</v>
      </c>
      <c r="I316">
        <v>5</v>
      </c>
      <c r="J316">
        <v>71.260000000000005</v>
      </c>
      <c r="K316">
        <v>356.3</v>
      </c>
      <c r="L316" t="s">
        <v>23</v>
      </c>
    </row>
    <row r="317" spans="1:12" x14ac:dyDescent="0.25">
      <c r="A317" s="1">
        <v>44759</v>
      </c>
      <c r="B317" s="1" t="str">
        <f>TEXT(Table134[Date],"mm-yyyy")</f>
        <v>07-2022</v>
      </c>
      <c r="C317" t="s">
        <v>24</v>
      </c>
      <c r="D317" t="s">
        <v>19</v>
      </c>
      <c r="E317" t="s">
        <v>25</v>
      </c>
      <c r="F317" t="s">
        <v>26</v>
      </c>
      <c r="G317" t="s">
        <v>15</v>
      </c>
      <c r="H317" t="s">
        <v>16</v>
      </c>
      <c r="I317">
        <v>5</v>
      </c>
      <c r="J317">
        <v>270.14</v>
      </c>
      <c r="K317">
        <v>1350.7</v>
      </c>
      <c r="L317" t="s">
        <v>36</v>
      </c>
    </row>
  </sheetData>
  <mergeCells count="2">
    <mergeCell ref="O4:R4"/>
    <mergeCell ref="O23:Q23"/>
  </mergeCells>
  <pageMargins left="0.7" right="0.7" top="0.75" bottom="0.75" header="0.3" footer="0.3"/>
  <pageSetup orientation="portrait"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B1A853-CA92-4C35-9719-3BF0321DC5A8}">
  <dimension ref="A1:T317"/>
  <sheetViews>
    <sheetView topLeftCell="E1" workbookViewId="0">
      <selection activeCell="N2" sqref="N2:P2"/>
    </sheetView>
  </sheetViews>
  <sheetFormatPr defaultRowHeight="15" x14ac:dyDescent="0.25"/>
  <cols>
    <col min="1" max="1" width="10.42578125" bestFit="1" customWidth="1"/>
    <col min="2" max="2" width="24.42578125" bestFit="1" customWidth="1"/>
    <col min="3" max="3" width="14.85546875" bestFit="1" customWidth="1"/>
    <col min="4" max="5" width="10" bestFit="1" customWidth="1"/>
    <col min="6" max="6" width="14.5703125" bestFit="1" customWidth="1"/>
    <col min="7" max="7" width="10.28515625" bestFit="1" customWidth="1"/>
    <col min="8" max="8" width="10.85546875" customWidth="1"/>
    <col min="9" max="9" width="14.7109375" customWidth="1"/>
    <col min="10" max="10" width="13.28515625" bestFit="1" customWidth="1"/>
    <col min="11" max="11" width="17" bestFit="1" customWidth="1"/>
    <col min="13" max="13" width="13.140625" bestFit="1" customWidth="1"/>
    <col min="14" max="14" width="17.7109375" bestFit="1" customWidth="1"/>
    <col min="15" max="15" width="17.85546875" bestFit="1" customWidth="1"/>
    <col min="16" max="16" width="6" bestFit="1" customWidth="1"/>
    <col min="17" max="17" width="2.85546875" customWidth="1"/>
    <col min="18" max="19" width="6" bestFit="1" customWidth="1"/>
    <col min="20" max="20" width="13.42578125" customWidth="1"/>
    <col min="21" max="21" width="6" bestFit="1" customWidth="1"/>
    <col min="22" max="22" width="5" bestFit="1" customWidth="1"/>
    <col min="23" max="27" width="6" bestFit="1" customWidth="1"/>
    <col min="28" max="28" width="5" bestFit="1" customWidth="1"/>
    <col min="29" max="32" width="6" bestFit="1" customWidth="1"/>
    <col min="33" max="34" width="7" bestFit="1" customWidth="1"/>
    <col min="35" max="35" width="6" bestFit="1" customWidth="1"/>
    <col min="36" max="44" width="7" bestFit="1" customWidth="1"/>
    <col min="45" max="46" width="6" bestFit="1" customWidth="1"/>
    <col min="47" max="58" width="7" bestFit="1" customWidth="1"/>
    <col min="59" max="59" width="4" bestFit="1" customWidth="1"/>
    <col min="60" max="65" width="7" bestFit="1" customWidth="1"/>
    <col min="66" max="66" width="6" bestFit="1" customWidth="1"/>
    <col min="67" max="80" width="7" bestFit="1" customWidth="1"/>
    <col min="81" max="81" width="6" bestFit="1" customWidth="1"/>
    <col min="82" max="90" width="7" bestFit="1" customWidth="1"/>
    <col min="91" max="91" width="6" bestFit="1" customWidth="1"/>
    <col min="92" max="97" width="7" bestFit="1" customWidth="1"/>
    <col min="98" max="98" width="6" bestFit="1" customWidth="1"/>
    <col min="99" max="100" width="7" bestFit="1" customWidth="1"/>
    <col min="101" max="101" width="4" bestFit="1" customWidth="1"/>
    <col min="102" max="103" width="6" bestFit="1" customWidth="1"/>
    <col min="104" max="112" width="7" bestFit="1" customWidth="1"/>
    <col min="113" max="113" width="6" bestFit="1" customWidth="1"/>
    <col min="114" max="116" width="7" bestFit="1" customWidth="1"/>
    <col min="117" max="117" width="6" bestFit="1" customWidth="1"/>
    <col min="118" max="119" width="7" bestFit="1" customWidth="1"/>
    <col min="120" max="120" width="6" bestFit="1" customWidth="1"/>
    <col min="121" max="122" width="7" bestFit="1" customWidth="1"/>
    <col min="123" max="123" width="6" bestFit="1" customWidth="1"/>
    <col min="124" max="124" width="4" bestFit="1" customWidth="1"/>
    <col min="125" max="127" width="7" bestFit="1" customWidth="1"/>
    <col min="128" max="129" width="6" bestFit="1" customWidth="1"/>
    <col min="130" max="131" width="7" bestFit="1" customWidth="1"/>
    <col min="132" max="132" width="6" bestFit="1" customWidth="1"/>
    <col min="133" max="133" width="7" bestFit="1" customWidth="1"/>
    <col min="134" max="134" width="6" bestFit="1" customWidth="1"/>
    <col min="135" max="135" width="7" bestFit="1" customWidth="1"/>
    <col min="136" max="136" width="6" bestFit="1" customWidth="1"/>
    <col min="137" max="139" width="7" bestFit="1" customWidth="1"/>
    <col min="140" max="140" width="6" bestFit="1" customWidth="1"/>
    <col min="141" max="145" width="7" bestFit="1" customWidth="1"/>
    <col min="146" max="146" width="6" bestFit="1" customWidth="1"/>
    <col min="147" max="148" width="7" bestFit="1" customWidth="1"/>
    <col min="149" max="149" width="6" bestFit="1" customWidth="1"/>
    <col min="150" max="150" width="7" bestFit="1" customWidth="1"/>
    <col min="151" max="151" width="4" bestFit="1" customWidth="1"/>
    <col min="152" max="152" width="7" bestFit="1" customWidth="1"/>
    <col min="153" max="153" width="6" bestFit="1" customWidth="1"/>
    <col min="154" max="154" width="4" bestFit="1" customWidth="1"/>
    <col min="155" max="161" width="7" bestFit="1" customWidth="1"/>
    <col min="162" max="162" width="6" bestFit="1" customWidth="1"/>
    <col min="163" max="169" width="7" bestFit="1" customWidth="1"/>
    <col min="170" max="170" width="6" bestFit="1" customWidth="1"/>
    <col min="171" max="171" width="7" bestFit="1" customWidth="1"/>
    <col min="172" max="172" width="6" bestFit="1" customWidth="1"/>
    <col min="173" max="176" width="7" bestFit="1" customWidth="1"/>
    <col min="177" max="177" width="6" bestFit="1" customWidth="1"/>
    <col min="178" max="178" width="4" bestFit="1" customWidth="1"/>
    <col min="179" max="181" width="7" bestFit="1" customWidth="1"/>
    <col min="182" max="182" width="6" bestFit="1" customWidth="1"/>
    <col min="183" max="183" width="7" bestFit="1" customWidth="1"/>
    <col min="184" max="184" width="6" bestFit="1" customWidth="1"/>
    <col min="185" max="187" width="7" bestFit="1" customWidth="1"/>
    <col min="188" max="188" width="6" bestFit="1" customWidth="1"/>
    <col min="189" max="191" width="7" bestFit="1" customWidth="1"/>
    <col min="192" max="192" width="6" bestFit="1" customWidth="1"/>
    <col min="193" max="193" width="4" bestFit="1" customWidth="1"/>
    <col min="194" max="194" width="7" bestFit="1" customWidth="1"/>
    <col min="195" max="196" width="6" bestFit="1" customWidth="1"/>
    <col min="197" max="210" width="7" bestFit="1" customWidth="1"/>
    <col min="211" max="211" width="6" bestFit="1" customWidth="1"/>
    <col min="212" max="216" width="7" bestFit="1" customWidth="1"/>
    <col min="217" max="217" width="6" bestFit="1" customWidth="1"/>
    <col min="218" max="218" width="7" bestFit="1" customWidth="1"/>
    <col min="219" max="219" width="6" bestFit="1" customWidth="1"/>
    <col min="220" max="221" width="7" bestFit="1" customWidth="1"/>
    <col min="222" max="222" width="6" bestFit="1" customWidth="1"/>
    <col min="223" max="223" width="7" bestFit="1" customWidth="1"/>
    <col min="224" max="224" width="6" bestFit="1" customWidth="1"/>
    <col min="225" max="226" width="7" bestFit="1" customWidth="1"/>
    <col min="227" max="227" width="6" bestFit="1" customWidth="1"/>
    <col min="228" max="229" width="7" bestFit="1" customWidth="1"/>
    <col min="230" max="230" width="4" bestFit="1" customWidth="1"/>
    <col min="231" max="231" width="6" bestFit="1" customWidth="1"/>
    <col min="232" max="234" width="7" bestFit="1" customWidth="1"/>
    <col min="235" max="235" width="6" bestFit="1" customWidth="1"/>
    <col min="236" max="239" width="7" bestFit="1" customWidth="1"/>
    <col min="240" max="240" width="6" bestFit="1" customWidth="1"/>
    <col min="241" max="243" width="7" bestFit="1" customWidth="1"/>
    <col min="244" max="246" width="6" bestFit="1" customWidth="1"/>
    <col min="247" max="250" width="7" bestFit="1" customWidth="1"/>
    <col min="251" max="251" width="6" bestFit="1" customWidth="1"/>
    <col min="252" max="252" width="4" bestFit="1" customWidth="1"/>
    <col min="253" max="253" width="7" bestFit="1" customWidth="1"/>
    <col min="254" max="254" width="6" bestFit="1" customWidth="1"/>
    <col min="255" max="257" width="7" bestFit="1" customWidth="1"/>
    <col min="258" max="258" width="6" bestFit="1" customWidth="1"/>
    <col min="259" max="259" width="4" bestFit="1" customWidth="1"/>
    <col min="260" max="264" width="7" bestFit="1" customWidth="1"/>
    <col min="265" max="265" width="6" bestFit="1" customWidth="1"/>
    <col min="266" max="268" width="7" bestFit="1" customWidth="1"/>
    <col min="269" max="269" width="6" bestFit="1" customWidth="1"/>
    <col min="270" max="275" width="7" bestFit="1" customWidth="1"/>
    <col min="276" max="276" width="6" bestFit="1" customWidth="1"/>
    <col min="277" max="278" width="7" bestFit="1" customWidth="1"/>
    <col min="279" max="279" width="6" bestFit="1" customWidth="1"/>
    <col min="280" max="283" width="7" bestFit="1" customWidth="1"/>
    <col min="284" max="284" width="6" bestFit="1" customWidth="1"/>
    <col min="285" max="292" width="7" bestFit="1" customWidth="1"/>
    <col min="293" max="293" width="6" bestFit="1" customWidth="1"/>
    <col min="294" max="296" width="8" bestFit="1" customWidth="1"/>
    <col min="297" max="298" width="7" bestFit="1" customWidth="1"/>
    <col min="299" max="300" width="8" bestFit="1" customWidth="1"/>
    <col min="301" max="301" width="5" bestFit="1" customWidth="1"/>
    <col min="302" max="302" width="7" bestFit="1" customWidth="1"/>
    <col min="303" max="303" width="8" bestFit="1" customWidth="1"/>
    <col min="304" max="304" width="7" bestFit="1" customWidth="1"/>
    <col min="305" max="306" width="8" bestFit="1" customWidth="1"/>
    <col min="307" max="307" width="5" bestFit="1" customWidth="1"/>
    <col min="308" max="308" width="8" bestFit="1" customWidth="1"/>
    <col min="309" max="309" width="7" bestFit="1" customWidth="1"/>
    <col min="310" max="310" width="5" bestFit="1" customWidth="1"/>
    <col min="311" max="311" width="7" bestFit="1" customWidth="1"/>
    <col min="312" max="312" width="8" bestFit="1" customWidth="1"/>
    <col min="313" max="313" width="7" bestFit="1" customWidth="1"/>
    <col min="314" max="315" width="8" bestFit="1" customWidth="1"/>
    <col min="316" max="316" width="7" bestFit="1" customWidth="1"/>
    <col min="317" max="317" width="8" bestFit="1" customWidth="1"/>
    <col min="318" max="319" width="7" bestFit="1" customWidth="1"/>
    <col min="320" max="320" width="5" bestFit="1" customWidth="1"/>
    <col min="321" max="321" width="7" bestFit="1" customWidth="1"/>
    <col min="322" max="322" width="8" bestFit="1" customWidth="1"/>
    <col min="323" max="323" width="7" bestFit="1" customWidth="1"/>
    <col min="324" max="324" width="5" bestFit="1" customWidth="1"/>
    <col min="325" max="327" width="8" bestFit="1" customWidth="1"/>
    <col min="328" max="328" width="7" bestFit="1" customWidth="1"/>
    <col min="329" max="329" width="8" bestFit="1" customWidth="1"/>
    <col min="330" max="330" width="7" bestFit="1" customWidth="1"/>
    <col min="331" max="331" width="11.28515625" bestFit="1" customWidth="1"/>
  </cols>
  <sheetData>
    <row r="1" spans="1:20" x14ac:dyDescent="0.25">
      <c r="A1" t="s">
        <v>0</v>
      </c>
      <c r="B1" t="s">
        <v>1</v>
      </c>
      <c r="C1" t="s">
        <v>2</v>
      </c>
      <c r="D1" t="s">
        <v>3</v>
      </c>
      <c r="E1" t="s">
        <v>4</v>
      </c>
      <c r="F1" t="s">
        <v>5</v>
      </c>
      <c r="G1" t="s">
        <v>6</v>
      </c>
      <c r="H1" t="s">
        <v>7</v>
      </c>
      <c r="I1" t="s">
        <v>8</v>
      </c>
      <c r="J1" t="s">
        <v>9</v>
      </c>
      <c r="K1" t="s">
        <v>10</v>
      </c>
    </row>
    <row r="2" spans="1:20" ht="15.75" x14ac:dyDescent="0.25">
      <c r="A2" s="1">
        <v>44708</v>
      </c>
      <c r="B2" t="s">
        <v>11</v>
      </c>
      <c r="C2" t="s">
        <v>12</v>
      </c>
      <c r="D2" t="s">
        <v>13</v>
      </c>
      <c r="E2" t="s">
        <v>14</v>
      </c>
      <c r="F2" t="s">
        <v>15</v>
      </c>
      <c r="G2" t="s">
        <v>16</v>
      </c>
      <c r="H2">
        <v>5</v>
      </c>
      <c r="I2">
        <v>141.82</v>
      </c>
      <c r="J2">
        <v>709.1</v>
      </c>
      <c r="K2" t="s">
        <v>17</v>
      </c>
      <c r="M2" s="2" t="s">
        <v>124</v>
      </c>
      <c r="N2" s="31" t="s">
        <v>125</v>
      </c>
      <c r="O2" s="31"/>
      <c r="P2" s="31"/>
    </row>
    <row r="3" spans="1:20" x14ac:dyDescent="0.25">
      <c r="A3" s="1">
        <v>44679</v>
      </c>
      <c r="B3" t="s">
        <v>18</v>
      </c>
      <c r="C3" t="s">
        <v>19</v>
      </c>
      <c r="D3" t="s">
        <v>20</v>
      </c>
      <c r="E3" t="s">
        <v>14</v>
      </c>
      <c r="F3" t="s">
        <v>40</v>
      </c>
      <c r="G3" t="s">
        <v>33</v>
      </c>
      <c r="H3">
        <v>1</v>
      </c>
      <c r="I3">
        <v>70.69</v>
      </c>
      <c r="J3">
        <v>70.69</v>
      </c>
      <c r="K3" t="s">
        <v>35</v>
      </c>
    </row>
    <row r="4" spans="1:20" x14ac:dyDescent="0.25">
      <c r="A4" s="1">
        <v>44633</v>
      </c>
      <c r="B4" t="s">
        <v>37</v>
      </c>
      <c r="C4" t="s">
        <v>29</v>
      </c>
      <c r="D4" t="s">
        <v>38</v>
      </c>
      <c r="E4" t="s">
        <v>26</v>
      </c>
      <c r="F4" t="s">
        <v>32</v>
      </c>
      <c r="G4" t="s">
        <v>34</v>
      </c>
      <c r="H4">
        <v>1</v>
      </c>
      <c r="I4">
        <v>89.14</v>
      </c>
      <c r="J4">
        <v>89.14</v>
      </c>
      <c r="K4" t="s">
        <v>23</v>
      </c>
      <c r="N4" s="3" t="s">
        <v>54</v>
      </c>
      <c r="O4" t="s">
        <v>56</v>
      </c>
    </row>
    <row r="5" spans="1:20" hidden="1" x14ac:dyDescent="0.25">
      <c r="A5" s="1">
        <v>44766</v>
      </c>
      <c r="B5" t="s">
        <v>45</v>
      </c>
      <c r="C5" t="s">
        <v>46</v>
      </c>
      <c r="D5" t="s">
        <v>47</v>
      </c>
      <c r="E5" t="s">
        <v>14</v>
      </c>
      <c r="F5" t="s">
        <v>15</v>
      </c>
      <c r="G5" t="s">
        <v>43</v>
      </c>
      <c r="H5">
        <v>4</v>
      </c>
      <c r="I5">
        <v>135.07</v>
      </c>
      <c r="J5">
        <v>540.28</v>
      </c>
      <c r="K5" t="s">
        <v>23</v>
      </c>
      <c r="N5" s="4" t="s">
        <v>17</v>
      </c>
      <c r="O5" s="6">
        <v>48825.67</v>
      </c>
    </row>
    <row r="6" spans="1:20" x14ac:dyDescent="0.25">
      <c r="A6" s="1">
        <v>44723</v>
      </c>
      <c r="B6" t="s">
        <v>44</v>
      </c>
      <c r="C6" t="s">
        <v>19</v>
      </c>
      <c r="D6" t="s">
        <v>20</v>
      </c>
      <c r="E6" t="s">
        <v>30</v>
      </c>
      <c r="F6" t="s">
        <v>21</v>
      </c>
      <c r="G6" t="s">
        <v>27</v>
      </c>
      <c r="H6">
        <v>2</v>
      </c>
      <c r="I6">
        <v>223</v>
      </c>
      <c r="J6">
        <v>446</v>
      </c>
      <c r="K6" t="s">
        <v>23</v>
      </c>
      <c r="N6" s="5" t="s">
        <v>33</v>
      </c>
      <c r="O6" s="6">
        <v>8240.869999999999</v>
      </c>
    </row>
    <row r="7" spans="1:20" x14ac:dyDescent="0.25">
      <c r="A7" s="1">
        <v>44740</v>
      </c>
      <c r="B7" t="s">
        <v>11</v>
      </c>
      <c r="C7" t="s">
        <v>12</v>
      </c>
      <c r="D7" t="s">
        <v>13</v>
      </c>
      <c r="E7" t="s">
        <v>14</v>
      </c>
      <c r="F7" t="s">
        <v>15</v>
      </c>
      <c r="G7" t="s">
        <v>34</v>
      </c>
      <c r="H7">
        <v>4</v>
      </c>
      <c r="I7">
        <v>238.52</v>
      </c>
      <c r="J7">
        <v>954.08</v>
      </c>
      <c r="K7" t="s">
        <v>23</v>
      </c>
      <c r="N7" s="5" t="s">
        <v>39</v>
      </c>
      <c r="O7" s="6">
        <v>5356.2099999999991</v>
      </c>
    </row>
    <row r="8" spans="1:20" x14ac:dyDescent="0.25">
      <c r="A8" s="1">
        <v>44754</v>
      </c>
      <c r="B8" t="s">
        <v>28</v>
      </c>
      <c r="C8" t="s">
        <v>29</v>
      </c>
      <c r="D8" t="s">
        <v>25</v>
      </c>
      <c r="E8" t="s">
        <v>26</v>
      </c>
      <c r="F8" t="s">
        <v>32</v>
      </c>
      <c r="G8" t="s">
        <v>33</v>
      </c>
      <c r="H8">
        <v>5</v>
      </c>
      <c r="I8">
        <v>120.55</v>
      </c>
      <c r="J8">
        <v>602.75</v>
      </c>
      <c r="K8" t="s">
        <v>35</v>
      </c>
      <c r="N8" s="5" t="s">
        <v>27</v>
      </c>
      <c r="O8" s="6">
        <v>8952.16</v>
      </c>
    </row>
    <row r="9" spans="1:20" hidden="1" x14ac:dyDescent="0.25">
      <c r="A9" s="1">
        <v>44605</v>
      </c>
      <c r="B9" t="s">
        <v>45</v>
      </c>
      <c r="C9" t="s">
        <v>46</v>
      </c>
      <c r="D9" t="s">
        <v>47</v>
      </c>
      <c r="E9" t="s">
        <v>26</v>
      </c>
      <c r="F9" t="s">
        <v>21</v>
      </c>
      <c r="G9" t="s">
        <v>27</v>
      </c>
      <c r="H9">
        <v>4</v>
      </c>
      <c r="I9">
        <v>212.66</v>
      </c>
      <c r="J9">
        <v>850.64</v>
      </c>
      <c r="K9" t="s">
        <v>36</v>
      </c>
      <c r="N9" s="5" t="s">
        <v>43</v>
      </c>
      <c r="O9" s="6">
        <v>2607.58</v>
      </c>
    </row>
    <row r="10" spans="1:20" x14ac:dyDescent="0.25">
      <c r="A10" s="1">
        <v>44752</v>
      </c>
      <c r="B10" t="s">
        <v>37</v>
      </c>
      <c r="C10" t="s">
        <v>29</v>
      </c>
      <c r="D10" t="s">
        <v>38</v>
      </c>
      <c r="E10" t="s">
        <v>26</v>
      </c>
      <c r="F10" t="s">
        <v>21</v>
      </c>
      <c r="G10" t="s">
        <v>39</v>
      </c>
      <c r="H10">
        <v>5</v>
      </c>
      <c r="I10">
        <v>256.22000000000003</v>
      </c>
      <c r="J10">
        <v>1281.0999999999999</v>
      </c>
      <c r="K10" t="s">
        <v>36</v>
      </c>
      <c r="N10" s="5" t="s">
        <v>16</v>
      </c>
      <c r="O10" s="6">
        <v>7456.3</v>
      </c>
    </row>
    <row r="11" spans="1:20" x14ac:dyDescent="0.25">
      <c r="A11" s="1">
        <v>44583</v>
      </c>
      <c r="B11" t="s">
        <v>31</v>
      </c>
      <c r="C11" t="s">
        <v>19</v>
      </c>
      <c r="D11" t="s">
        <v>25</v>
      </c>
      <c r="E11" t="s">
        <v>14</v>
      </c>
      <c r="F11" t="s">
        <v>32</v>
      </c>
      <c r="G11" t="s">
        <v>39</v>
      </c>
      <c r="H11">
        <v>4</v>
      </c>
      <c r="I11">
        <v>124.4</v>
      </c>
      <c r="J11">
        <v>497.6</v>
      </c>
      <c r="K11" t="s">
        <v>36</v>
      </c>
      <c r="N11" s="5" t="s">
        <v>34</v>
      </c>
      <c r="O11" s="6">
        <v>8018.25</v>
      </c>
    </row>
    <row r="12" spans="1:20" x14ac:dyDescent="0.25">
      <c r="A12" s="1">
        <v>44730</v>
      </c>
      <c r="B12" t="s">
        <v>31</v>
      </c>
      <c r="C12" t="s">
        <v>19</v>
      </c>
      <c r="D12" t="s">
        <v>25</v>
      </c>
      <c r="E12" t="s">
        <v>26</v>
      </c>
      <c r="F12" t="s">
        <v>32</v>
      </c>
      <c r="G12" t="s">
        <v>27</v>
      </c>
      <c r="H12">
        <v>2</v>
      </c>
      <c r="I12">
        <v>80.33</v>
      </c>
      <c r="J12">
        <v>160.66</v>
      </c>
      <c r="K12" t="s">
        <v>17</v>
      </c>
      <c r="N12" s="5" t="s">
        <v>22</v>
      </c>
      <c r="O12" s="6">
        <v>8194.3000000000011</v>
      </c>
    </row>
    <row r="13" spans="1:20" x14ac:dyDescent="0.25">
      <c r="A13" s="1">
        <v>44638</v>
      </c>
      <c r="B13" t="s">
        <v>41</v>
      </c>
      <c r="C13" t="s">
        <v>29</v>
      </c>
      <c r="D13" t="s">
        <v>42</v>
      </c>
      <c r="E13" t="s">
        <v>14</v>
      </c>
      <c r="F13" t="s">
        <v>40</v>
      </c>
      <c r="G13" t="s">
        <v>39</v>
      </c>
      <c r="H13">
        <v>5</v>
      </c>
      <c r="I13">
        <v>58.65</v>
      </c>
      <c r="J13">
        <v>293.25</v>
      </c>
      <c r="K13" t="s">
        <v>35</v>
      </c>
      <c r="N13" s="4" t="s">
        <v>23</v>
      </c>
      <c r="O13" s="6">
        <v>43121.380000000005</v>
      </c>
    </row>
    <row r="14" spans="1:20" x14ac:dyDescent="0.25">
      <c r="A14" s="1">
        <v>44794</v>
      </c>
      <c r="B14" t="s">
        <v>24</v>
      </c>
      <c r="C14" t="s">
        <v>19</v>
      </c>
      <c r="D14" t="s">
        <v>25</v>
      </c>
      <c r="E14" t="s">
        <v>26</v>
      </c>
      <c r="F14" t="s">
        <v>21</v>
      </c>
      <c r="G14" t="s">
        <v>22</v>
      </c>
      <c r="H14">
        <v>5</v>
      </c>
      <c r="I14">
        <v>183.55</v>
      </c>
      <c r="J14">
        <v>917.75</v>
      </c>
      <c r="K14" t="s">
        <v>23</v>
      </c>
      <c r="N14" s="5" t="s">
        <v>33</v>
      </c>
      <c r="O14" s="6">
        <v>4659.1000000000004</v>
      </c>
    </row>
    <row r="15" spans="1:20" hidden="1" x14ac:dyDescent="0.25">
      <c r="A15" s="1">
        <v>44749</v>
      </c>
      <c r="B15" t="s">
        <v>48</v>
      </c>
      <c r="C15" t="s">
        <v>49</v>
      </c>
      <c r="D15" t="s">
        <v>50</v>
      </c>
      <c r="E15" t="s">
        <v>14</v>
      </c>
      <c r="F15" t="s">
        <v>21</v>
      </c>
      <c r="G15" t="s">
        <v>39</v>
      </c>
      <c r="H15">
        <v>2</v>
      </c>
      <c r="I15">
        <v>210.77</v>
      </c>
      <c r="J15">
        <v>421.54</v>
      </c>
      <c r="K15" t="s">
        <v>17</v>
      </c>
      <c r="N15" s="5" t="s">
        <v>39</v>
      </c>
      <c r="O15" s="6">
        <v>9282.86</v>
      </c>
    </row>
    <row r="16" spans="1:20" ht="15.75" x14ac:dyDescent="0.25">
      <c r="A16" s="1">
        <v>44692</v>
      </c>
      <c r="B16" t="s">
        <v>18</v>
      </c>
      <c r="C16" t="s">
        <v>19</v>
      </c>
      <c r="D16" t="s">
        <v>20</v>
      </c>
      <c r="E16" t="s">
        <v>14</v>
      </c>
      <c r="F16" t="s">
        <v>32</v>
      </c>
      <c r="G16" t="s">
        <v>27</v>
      </c>
      <c r="H16">
        <v>4</v>
      </c>
      <c r="I16">
        <v>218.82</v>
      </c>
      <c r="J16">
        <v>875.28</v>
      </c>
      <c r="K16" t="s">
        <v>36</v>
      </c>
      <c r="N16" s="5" t="s">
        <v>27</v>
      </c>
      <c r="O16" s="6">
        <v>6543.4400000000005</v>
      </c>
      <c r="R16" s="36" t="s">
        <v>126</v>
      </c>
      <c r="S16" s="36"/>
      <c r="T16" s="36"/>
    </row>
    <row r="17" spans="1:20" ht="15.75" x14ac:dyDescent="0.25">
      <c r="A17" s="1">
        <v>44729</v>
      </c>
      <c r="B17" t="s">
        <v>11</v>
      </c>
      <c r="C17" t="s">
        <v>12</v>
      </c>
      <c r="D17" t="s">
        <v>13</v>
      </c>
      <c r="E17" t="s">
        <v>26</v>
      </c>
      <c r="F17" t="s">
        <v>40</v>
      </c>
      <c r="G17" t="s">
        <v>34</v>
      </c>
      <c r="H17">
        <v>5</v>
      </c>
      <c r="I17">
        <v>133.74</v>
      </c>
      <c r="J17">
        <v>668.7</v>
      </c>
      <c r="K17" t="s">
        <v>17</v>
      </c>
      <c r="N17" s="5" t="s">
        <v>43</v>
      </c>
      <c r="O17" s="6">
        <v>4730.7199999999993</v>
      </c>
      <c r="R17" s="36" t="s">
        <v>127</v>
      </c>
      <c r="S17" s="36"/>
      <c r="T17" s="36"/>
    </row>
    <row r="18" spans="1:20" x14ac:dyDescent="0.25">
      <c r="A18" s="1">
        <v>44705</v>
      </c>
      <c r="B18" t="s">
        <v>44</v>
      </c>
      <c r="C18" t="s">
        <v>19</v>
      </c>
      <c r="D18" t="s">
        <v>20</v>
      </c>
      <c r="E18" t="s">
        <v>26</v>
      </c>
      <c r="F18" t="s">
        <v>32</v>
      </c>
      <c r="G18" t="s">
        <v>34</v>
      </c>
      <c r="H18">
        <v>1</v>
      </c>
      <c r="I18">
        <v>208.47</v>
      </c>
      <c r="J18">
        <v>208.47</v>
      </c>
      <c r="K18" t="s">
        <v>23</v>
      </c>
      <c r="N18" s="5" t="s">
        <v>16</v>
      </c>
      <c r="O18" s="6">
        <v>5962.4400000000005</v>
      </c>
    </row>
    <row r="19" spans="1:20" x14ac:dyDescent="0.25">
      <c r="A19" s="1">
        <v>44709</v>
      </c>
      <c r="B19" t="s">
        <v>37</v>
      </c>
      <c r="C19" t="s">
        <v>29</v>
      </c>
      <c r="D19" t="s">
        <v>38</v>
      </c>
      <c r="E19" t="s">
        <v>14</v>
      </c>
      <c r="F19" t="s">
        <v>15</v>
      </c>
      <c r="G19" t="s">
        <v>39</v>
      </c>
      <c r="H19">
        <v>1</v>
      </c>
      <c r="I19">
        <v>180.42</v>
      </c>
      <c r="J19">
        <v>180.42</v>
      </c>
      <c r="K19" t="s">
        <v>23</v>
      </c>
      <c r="N19" s="5" t="s">
        <v>34</v>
      </c>
      <c r="O19" s="6">
        <v>7260.01</v>
      </c>
    </row>
    <row r="20" spans="1:20" hidden="1" x14ac:dyDescent="0.25">
      <c r="A20" s="1">
        <v>44741</v>
      </c>
      <c r="B20" t="s">
        <v>48</v>
      </c>
      <c r="C20" t="s">
        <v>49</v>
      </c>
      <c r="D20" t="s">
        <v>50</v>
      </c>
      <c r="E20" t="s">
        <v>30</v>
      </c>
      <c r="F20" t="s">
        <v>32</v>
      </c>
      <c r="G20" t="s">
        <v>16</v>
      </c>
      <c r="H20">
        <v>3</v>
      </c>
      <c r="I20">
        <v>127.36</v>
      </c>
      <c r="J20">
        <v>382.08</v>
      </c>
      <c r="K20" t="s">
        <v>17</v>
      </c>
      <c r="N20" s="5" t="s">
        <v>22</v>
      </c>
      <c r="O20" s="6">
        <v>4682.8099999999995</v>
      </c>
    </row>
    <row r="21" spans="1:20" x14ac:dyDescent="0.25">
      <c r="A21" s="1">
        <v>44706</v>
      </c>
      <c r="B21" t="s">
        <v>41</v>
      </c>
      <c r="C21" t="s">
        <v>29</v>
      </c>
      <c r="D21" t="s">
        <v>42</v>
      </c>
      <c r="E21" t="s">
        <v>30</v>
      </c>
      <c r="F21" t="s">
        <v>21</v>
      </c>
      <c r="G21" t="s">
        <v>16</v>
      </c>
      <c r="H21">
        <v>3</v>
      </c>
      <c r="I21">
        <v>149.51</v>
      </c>
      <c r="J21">
        <v>448.53</v>
      </c>
      <c r="K21" t="s">
        <v>23</v>
      </c>
      <c r="N21" s="4" t="s">
        <v>35</v>
      </c>
      <c r="O21" s="6">
        <v>32427.56</v>
      </c>
    </row>
    <row r="22" spans="1:20" hidden="1" x14ac:dyDescent="0.25">
      <c r="A22" s="1">
        <v>44629</v>
      </c>
      <c r="B22" t="s">
        <v>45</v>
      </c>
      <c r="C22" t="s">
        <v>46</v>
      </c>
      <c r="D22" t="s">
        <v>47</v>
      </c>
      <c r="E22" t="s">
        <v>30</v>
      </c>
      <c r="F22" t="s">
        <v>32</v>
      </c>
      <c r="G22" t="s">
        <v>43</v>
      </c>
      <c r="H22">
        <v>3</v>
      </c>
      <c r="I22">
        <v>136.36000000000001</v>
      </c>
      <c r="J22">
        <v>409.08</v>
      </c>
      <c r="K22" t="s">
        <v>17</v>
      </c>
      <c r="N22" s="5" t="s">
        <v>33</v>
      </c>
      <c r="O22" s="6">
        <v>4281.51</v>
      </c>
    </row>
    <row r="23" spans="1:20" x14ac:dyDescent="0.25">
      <c r="A23" s="1">
        <v>44794</v>
      </c>
      <c r="B23" t="s">
        <v>28</v>
      </c>
      <c r="C23" t="s">
        <v>29</v>
      </c>
      <c r="D23" t="s">
        <v>25</v>
      </c>
      <c r="E23" t="s">
        <v>14</v>
      </c>
      <c r="F23" t="s">
        <v>32</v>
      </c>
      <c r="G23" t="s">
        <v>34</v>
      </c>
      <c r="H23">
        <v>5</v>
      </c>
      <c r="I23">
        <v>162.38</v>
      </c>
      <c r="J23">
        <v>811.9</v>
      </c>
      <c r="K23" t="s">
        <v>17</v>
      </c>
      <c r="N23" s="5" t="s">
        <v>39</v>
      </c>
      <c r="O23" s="6">
        <v>6003.46</v>
      </c>
    </row>
    <row r="24" spans="1:20" hidden="1" x14ac:dyDescent="0.25">
      <c r="A24" s="1">
        <v>44708</v>
      </c>
      <c r="B24" t="s">
        <v>48</v>
      </c>
      <c r="C24" t="s">
        <v>49</v>
      </c>
      <c r="D24" t="s">
        <v>50</v>
      </c>
      <c r="E24" t="s">
        <v>26</v>
      </c>
      <c r="F24" t="s">
        <v>40</v>
      </c>
      <c r="G24" t="s">
        <v>33</v>
      </c>
      <c r="H24">
        <v>2</v>
      </c>
      <c r="I24">
        <v>259.66000000000003</v>
      </c>
      <c r="J24">
        <v>519.32000000000005</v>
      </c>
      <c r="K24" t="s">
        <v>36</v>
      </c>
      <c r="N24" s="5" t="s">
        <v>27</v>
      </c>
      <c r="O24" s="6">
        <v>4324.84</v>
      </c>
    </row>
    <row r="25" spans="1:20" x14ac:dyDescent="0.25">
      <c r="A25" s="1">
        <v>44703</v>
      </c>
      <c r="B25" t="s">
        <v>37</v>
      </c>
      <c r="C25" t="s">
        <v>29</v>
      </c>
      <c r="D25" t="s">
        <v>38</v>
      </c>
      <c r="E25" t="s">
        <v>30</v>
      </c>
      <c r="F25" t="s">
        <v>21</v>
      </c>
      <c r="G25" t="s">
        <v>39</v>
      </c>
      <c r="H25">
        <v>1</v>
      </c>
      <c r="I25">
        <v>180.39</v>
      </c>
      <c r="J25">
        <v>180.39</v>
      </c>
      <c r="K25" t="s">
        <v>17</v>
      </c>
      <c r="N25" s="5" t="s">
        <v>43</v>
      </c>
      <c r="O25" s="6">
        <v>5082.8899999999994</v>
      </c>
    </row>
    <row r="26" spans="1:20" x14ac:dyDescent="0.25">
      <c r="A26" s="1">
        <v>44714</v>
      </c>
      <c r="B26" t="s">
        <v>37</v>
      </c>
      <c r="C26" t="s">
        <v>29</v>
      </c>
      <c r="D26" t="s">
        <v>38</v>
      </c>
      <c r="E26" t="s">
        <v>30</v>
      </c>
      <c r="F26" t="s">
        <v>15</v>
      </c>
      <c r="G26" t="s">
        <v>39</v>
      </c>
      <c r="H26">
        <v>3</v>
      </c>
      <c r="I26">
        <v>80.349999999999994</v>
      </c>
      <c r="J26">
        <v>241.05</v>
      </c>
      <c r="K26" t="s">
        <v>17</v>
      </c>
      <c r="N26" s="5" t="s">
        <v>16</v>
      </c>
      <c r="O26" s="6">
        <v>6940.49</v>
      </c>
    </row>
    <row r="27" spans="1:20" x14ac:dyDescent="0.25">
      <c r="A27" s="1">
        <v>44626</v>
      </c>
      <c r="B27" t="s">
        <v>11</v>
      </c>
      <c r="C27" t="s">
        <v>12</v>
      </c>
      <c r="D27" t="s">
        <v>13</v>
      </c>
      <c r="E27" t="s">
        <v>30</v>
      </c>
      <c r="F27" t="s">
        <v>21</v>
      </c>
      <c r="G27" t="s">
        <v>16</v>
      </c>
      <c r="H27">
        <v>2</v>
      </c>
      <c r="I27">
        <v>222.08</v>
      </c>
      <c r="J27">
        <v>444.16</v>
      </c>
      <c r="K27" t="s">
        <v>35</v>
      </c>
      <c r="N27" s="5" t="s">
        <v>34</v>
      </c>
      <c r="O27" s="6">
        <v>3435.64</v>
      </c>
    </row>
    <row r="28" spans="1:20" hidden="1" x14ac:dyDescent="0.25">
      <c r="A28" s="1">
        <v>44641</v>
      </c>
      <c r="B28" t="s">
        <v>48</v>
      </c>
      <c r="C28" t="s">
        <v>49</v>
      </c>
      <c r="D28" t="s">
        <v>50</v>
      </c>
      <c r="E28" t="s">
        <v>26</v>
      </c>
      <c r="F28" t="s">
        <v>40</v>
      </c>
      <c r="G28" t="s">
        <v>27</v>
      </c>
      <c r="H28">
        <v>1</v>
      </c>
      <c r="I28">
        <v>287.44</v>
      </c>
      <c r="J28">
        <v>287.44</v>
      </c>
      <c r="K28" t="s">
        <v>35</v>
      </c>
      <c r="N28" s="5" t="s">
        <v>22</v>
      </c>
      <c r="O28" s="6">
        <v>2358.73</v>
      </c>
    </row>
    <row r="29" spans="1:20" x14ac:dyDescent="0.25">
      <c r="A29" s="1">
        <v>44758</v>
      </c>
      <c r="B29" t="s">
        <v>11</v>
      </c>
      <c r="C29" t="s">
        <v>12</v>
      </c>
      <c r="D29" t="s">
        <v>13</v>
      </c>
      <c r="E29" t="s">
        <v>14</v>
      </c>
      <c r="F29" t="s">
        <v>15</v>
      </c>
      <c r="G29" t="s">
        <v>34</v>
      </c>
      <c r="H29">
        <v>5</v>
      </c>
      <c r="I29">
        <v>137.9</v>
      </c>
      <c r="J29">
        <v>689.5</v>
      </c>
      <c r="K29" t="s">
        <v>35</v>
      </c>
      <c r="N29" s="19" t="s">
        <v>36</v>
      </c>
      <c r="O29" s="20">
        <v>49344.44</v>
      </c>
    </row>
    <row r="30" spans="1:20" x14ac:dyDescent="0.25">
      <c r="A30" s="1">
        <v>44639</v>
      </c>
      <c r="B30" t="s">
        <v>37</v>
      </c>
      <c r="C30" t="s">
        <v>29</v>
      </c>
      <c r="D30" t="s">
        <v>38</v>
      </c>
      <c r="E30" t="s">
        <v>14</v>
      </c>
      <c r="F30" t="s">
        <v>21</v>
      </c>
      <c r="G30" t="s">
        <v>39</v>
      </c>
      <c r="H30">
        <v>3</v>
      </c>
      <c r="I30">
        <v>214.68</v>
      </c>
      <c r="J30">
        <v>644.04</v>
      </c>
      <c r="K30" t="s">
        <v>35</v>
      </c>
      <c r="N30" s="5" t="s">
        <v>33</v>
      </c>
      <c r="O30" s="6">
        <v>6543.5199999999995</v>
      </c>
    </row>
    <row r="31" spans="1:20" x14ac:dyDescent="0.25">
      <c r="A31" s="1">
        <v>44777</v>
      </c>
      <c r="B31" t="s">
        <v>28</v>
      </c>
      <c r="C31" t="s">
        <v>29</v>
      </c>
      <c r="D31" t="s">
        <v>25</v>
      </c>
      <c r="E31" t="s">
        <v>26</v>
      </c>
      <c r="F31" t="s">
        <v>15</v>
      </c>
      <c r="G31" t="s">
        <v>22</v>
      </c>
      <c r="H31">
        <v>2</v>
      </c>
      <c r="I31">
        <v>269.88</v>
      </c>
      <c r="J31">
        <v>539.76</v>
      </c>
      <c r="K31" t="s">
        <v>23</v>
      </c>
      <c r="N31" s="21" t="s">
        <v>39</v>
      </c>
      <c r="O31" s="20">
        <v>8871.08</v>
      </c>
    </row>
    <row r="32" spans="1:20" x14ac:dyDescent="0.25">
      <c r="A32" s="1">
        <v>44684</v>
      </c>
      <c r="B32" t="s">
        <v>31</v>
      </c>
      <c r="C32" t="s">
        <v>19</v>
      </c>
      <c r="D32" t="s">
        <v>25</v>
      </c>
      <c r="E32" t="s">
        <v>14</v>
      </c>
      <c r="F32" t="s">
        <v>40</v>
      </c>
      <c r="G32" t="s">
        <v>43</v>
      </c>
      <c r="H32">
        <v>1</v>
      </c>
      <c r="I32">
        <v>96.97</v>
      </c>
      <c r="J32">
        <v>96.97</v>
      </c>
      <c r="K32" t="s">
        <v>36</v>
      </c>
      <c r="N32" s="5" t="s">
        <v>27</v>
      </c>
      <c r="O32" s="6">
        <v>5407.3700000000008</v>
      </c>
    </row>
    <row r="33" spans="1:15" hidden="1" x14ac:dyDescent="0.25">
      <c r="A33" s="1">
        <v>44743</v>
      </c>
      <c r="B33" t="s">
        <v>45</v>
      </c>
      <c r="C33" t="s">
        <v>46</v>
      </c>
      <c r="D33" t="s">
        <v>47</v>
      </c>
      <c r="E33" t="s">
        <v>26</v>
      </c>
      <c r="F33" t="s">
        <v>15</v>
      </c>
      <c r="G33" t="s">
        <v>33</v>
      </c>
      <c r="H33">
        <v>4</v>
      </c>
      <c r="I33">
        <v>270.55</v>
      </c>
      <c r="J33">
        <v>1082.2</v>
      </c>
      <c r="K33" t="s">
        <v>23</v>
      </c>
      <c r="N33" s="5" t="s">
        <v>43</v>
      </c>
      <c r="O33" s="6">
        <v>6505.23</v>
      </c>
    </row>
    <row r="34" spans="1:15" x14ac:dyDescent="0.25">
      <c r="A34" s="1">
        <v>44728</v>
      </c>
      <c r="B34" t="s">
        <v>44</v>
      </c>
      <c r="C34" t="s">
        <v>19</v>
      </c>
      <c r="D34" t="s">
        <v>20</v>
      </c>
      <c r="E34" t="s">
        <v>14</v>
      </c>
      <c r="F34" t="s">
        <v>40</v>
      </c>
      <c r="G34" t="s">
        <v>33</v>
      </c>
      <c r="H34">
        <v>3</v>
      </c>
      <c r="I34">
        <v>261.31</v>
      </c>
      <c r="J34">
        <v>783.93</v>
      </c>
      <c r="K34" t="s">
        <v>17</v>
      </c>
      <c r="N34" s="5" t="s">
        <v>16</v>
      </c>
      <c r="O34" s="6">
        <v>8856.9599999999991</v>
      </c>
    </row>
    <row r="35" spans="1:15" hidden="1" x14ac:dyDescent="0.25">
      <c r="A35" s="1">
        <v>44571</v>
      </c>
      <c r="B35" t="s">
        <v>45</v>
      </c>
      <c r="C35" t="s">
        <v>46</v>
      </c>
      <c r="D35" t="s">
        <v>47</v>
      </c>
      <c r="E35" t="s">
        <v>14</v>
      </c>
      <c r="F35" t="s">
        <v>40</v>
      </c>
      <c r="G35" t="s">
        <v>22</v>
      </c>
      <c r="H35">
        <v>4</v>
      </c>
      <c r="I35">
        <v>56.4</v>
      </c>
      <c r="J35">
        <v>225.6</v>
      </c>
      <c r="K35" t="s">
        <v>17</v>
      </c>
      <c r="N35" s="5" t="s">
        <v>34</v>
      </c>
      <c r="O35" s="6">
        <v>6963.8499999999985</v>
      </c>
    </row>
    <row r="36" spans="1:15" x14ac:dyDescent="0.25">
      <c r="A36" s="1">
        <v>44750</v>
      </c>
      <c r="B36" t="s">
        <v>18</v>
      </c>
      <c r="C36" t="s">
        <v>19</v>
      </c>
      <c r="D36" t="s">
        <v>20</v>
      </c>
      <c r="E36" t="s">
        <v>30</v>
      </c>
      <c r="F36" t="s">
        <v>40</v>
      </c>
      <c r="G36" t="s">
        <v>27</v>
      </c>
      <c r="H36">
        <v>3</v>
      </c>
      <c r="I36">
        <v>239.55</v>
      </c>
      <c r="J36">
        <v>718.65</v>
      </c>
      <c r="K36" t="s">
        <v>17</v>
      </c>
      <c r="N36" s="5" t="s">
        <v>22</v>
      </c>
      <c r="O36" s="6">
        <v>6196.43</v>
      </c>
    </row>
    <row r="37" spans="1:15" x14ac:dyDescent="0.25">
      <c r="A37" s="1">
        <v>44793</v>
      </c>
      <c r="B37" t="s">
        <v>31</v>
      </c>
      <c r="C37" t="s">
        <v>19</v>
      </c>
      <c r="D37" t="s">
        <v>25</v>
      </c>
      <c r="E37" t="s">
        <v>14</v>
      </c>
      <c r="F37" t="s">
        <v>15</v>
      </c>
      <c r="G37" t="s">
        <v>27</v>
      </c>
      <c r="H37">
        <v>2</v>
      </c>
      <c r="I37">
        <v>94.62</v>
      </c>
      <c r="J37">
        <v>189.24</v>
      </c>
      <c r="K37" t="s">
        <v>23</v>
      </c>
      <c r="N37" s="4" t="s">
        <v>55</v>
      </c>
      <c r="O37" s="6">
        <v>173719.05</v>
      </c>
    </row>
    <row r="38" spans="1:15" x14ac:dyDescent="0.25">
      <c r="A38" s="1">
        <v>44766</v>
      </c>
      <c r="B38" t="s">
        <v>11</v>
      </c>
      <c r="C38" t="s">
        <v>12</v>
      </c>
      <c r="D38" t="s">
        <v>13</v>
      </c>
      <c r="E38" t="s">
        <v>14</v>
      </c>
      <c r="F38" t="s">
        <v>15</v>
      </c>
      <c r="G38" t="s">
        <v>27</v>
      </c>
      <c r="H38">
        <v>4</v>
      </c>
      <c r="I38">
        <v>57.22</v>
      </c>
      <c r="J38">
        <v>228.88</v>
      </c>
      <c r="K38" t="s">
        <v>23</v>
      </c>
    </row>
    <row r="39" spans="1:15" x14ac:dyDescent="0.25">
      <c r="A39" s="1">
        <v>44756</v>
      </c>
      <c r="B39" t="s">
        <v>24</v>
      </c>
      <c r="C39" t="s">
        <v>19</v>
      </c>
      <c r="D39" t="s">
        <v>25</v>
      </c>
      <c r="E39" t="s">
        <v>30</v>
      </c>
      <c r="F39" t="s">
        <v>15</v>
      </c>
      <c r="G39" t="s">
        <v>27</v>
      </c>
      <c r="H39">
        <v>1</v>
      </c>
      <c r="I39">
        <v>170.86</v>
      </c>
      <c r="J39">
        <v>170.86</v>
      </c>
      <c r="K39" t="s">
        <v>36</v>
      </c>
    </row>
    <row r="40" spans="1:15" x14ac:dyDescent="0.25">
      <c r="A40" s="1">
        <v>44603</v>
      </c>
      <c r="B40" t="s">
        <v>44</v>
      </c>
      <c r="C40" t="s">
        <v>19</v>
      </c>
      <c r="D40" t="s">
        <v>20</v>
      </c>
      <c r="E40" t="s">
        <v>30</v>
      </c>
      <c r="F40" t="s">
        <v>21</v>
      </c>
      <c r="G40" t="s">
        <v>33</v>
      </c>
      <c r="H40">
        <v>3</v>
      </c>
      <c r="I40">
        <v>105.79</v>
      </c>
      <c r="J40">
        <v>317.37</v>
      </c>
      <c r="K40" t="s">
        <v>36</v>
      </c>
    </row>
    <row r="41" spans="1:15" x14ac:dyDescent="0.25">
      <c r="A41" s="1">
        <v>44707</v>
      </c>
      <c r="B41" t="s">
        <v>44</v>
      </c>
      <c r="C41" t="s">
        <v>19</v>
      </c>
      <c r="D41" t="s">
        <v>20</v>
      </c>
      <c r="E41" t="s">
        <v>30</v>
      </c>
      <c r="F41" t="s">
        <v>21</v>
      </c>
      <c r="G41" t="s">
        <v>33</v>
      </c>
      <c r="H41">
        <v>5</v>
      </c>
      <c r="I41">
        <v>112.95</v>
      </c>
      <c r="J41">
        <v>564.75</v>
      </c>
      <c r="K41" t="s">
        <v>17</v>
      </c>
    </row>
    <row r="42" spans="1:15" x14ac:dyDescent="0.25">
      <c r="A42" s="1">
        <v>44793</v>
      </c>
      <c r="B42" t="s">
        <v>37</v>
      </c>
      <c r="C42" t="s">
        <v>29</v>
      </c>
      <c r="D42" t="s">
        <v>38</v>
      </c>
      <c r="E42" t="s">
        <v>14</v>
      </c>
      <c r="F42" t="s">
        <v>15</v>
      </c>
      <c r="G42" t="s">
        <v>22</v>
      </c>
      <c r="H42">
        <v>5</v>
      </c>
      <c r="I42">
        <v>55.8</v>
      </c>
      <c r="J42">
        <v>279</v>
      </c>
      <c r="K42" t="s">
        <v>17</v>
      </c>
    </row>
    <row r="43" spans="1:15" x14ac:dyDescent="0.25">
      <c r="A43" s="1">
        <v>44686</v>
      </c>
      <c r="B43" t="s">
        <v>41</v>
      </c>
      <c r="C43" t="s">
        <v>29</v>
      </c>
      <c r="D43" t="s">
        <v>42</v>
      </c>
      <c r="E43" t="s">
        <v>30</v>
      </c>
      <c r="F43" t="s">
        <v>40</v>
      </c>
      <c r="G43" t="s">
        <v>43</v>
      </c>
      <c r="H43">
        <v>1</v>
      </c>
      <c r="I43">
        <v>50.1</v>
      </c>
      <c r="J43">
        <v>50.1</v>
      </c>
      <c r="K43" t="s">
        <v>17</v>
      </c>
    </row>
    <row r="44" spans="1:15" x14ac:dyDescent="0.25">
      <c r="A44" s="1">
        <v>44804</v>
      </c>
      <c r="B44" t="s">
        <v>18</v>
      </c>
      <c r="C44" t="s">
        <v>19</v>
      </c>
      <c r="D44" t="s">
        <v>20</v>
      </c>
      <c r="E44" t="s">
        <v>30</v>
      </c>
      <c r="F44" t="s">
        <v>15</v>
      </c>
      <c r="G44" t="s">
        <v>22</v>
      </c>
      <c r="H44">
        <v>1</v>
      </c>
      <c r="I44">
        <v>56.49</v>
      </c>
      <c r="J44">
        <v>56.49</v>
      </c>
      <c r="K44" t="s">
        <v>35</v>
      </c>
    </row>
    <row r="45" spans="1:15" x14ac:dyDescent="0.25">
      <c r="A45" s="1">
        <v>44672</v>
      </c>
      <c r="B45" t="s">
        <v>37</v>
      </c>
      <c r="C45" t="s">
        <v>29</v>
      </c>
      <c r="D45" t="s">
        <v>38</v>
      </c>
      <c r="E45" t="s">
        <v>30</v>
      </c>
      <c r="F45" t="s">
        <v>40</v>
      </c>
      <c r="G45" t="s">
        <v>33</v>
      </c>
      <c r="H45">
        <v>5</v>
      </c>
      <c r="I45">
        <v>100.65</v>
      </c>
      <c r="J45">
        <v>503.25</v>
      </c>
      <c r="K45" t="s">
        <v>36</v>
      </c>
    </row>
    <row r="46" spans="1:15" x14ac:dyDescent="0.25">
      <c r="A46" s="1">
        <v>44794</v>
      </c>
      <c r="B46" t="s">
        <v>44</v>
      </c>
      <c r="C46" t="s">
        <v>19</v>
      </c>
      <c r="D46" t="s">
        <v>20</v>
      </c>
      <c r="E46" t="s">
        <v>30</v>
      </c>
      <c r="F46" t="s">
        <v>32</v>
      </c>
      <c r="G46" t="s">
        <v>16</v>
      </c>
      <c r="H46">
        <v>2</v>
      </c>
      <c r="I46">
        <v>160.44</v>
      </c>
      <c r="J46">
        <v>320.88</v>
      </c>
      <c r="K46" t="s">
        <v>35</v>
      </c>
    </row>
    <row r="47" spans="1:15" hidden="1" x14ac:dyDescent="0.25">
      <c r="A47" s="1">
        <v>44666</v>
      </c>
      <c r="B47" t="s">
        <v>48</v>
      </c>
      <c r="C47" t="s">
        <v>49</v>
      </c>
      <c r="D47" t="s">
        <v>50</v>
      </c>
      <c r="E47" t="s">
        <v>26</v>
      </c>
      <c r="F47" t="s">
        <v>21</v>
      </c>
      <c r="G47" t="s">
        <v>16</v>
      </c>
      <c r="H47">
        <v>4</v>
      </c>
      <c r="I47">
        <v>242.44</v>
      </c>
      <c r="J47">
        <v>969.76</v>
      </c>
      <c r="K47" t="s">
        <v>23</v>
      </c>
    </row>
    <row r="48" spans="1:15" x14ac:dyDescent="0.25">
      <c r="A48" s="1">
        <v>44688</v>
      </c>
      <c r="B48" t="s">
        <v>18</v>
      </c>
      <c r="C48" t="s">
        <v>19</v>
      </c>
      <c r="D48" t="s">
        <v>20</v>
      </c>
      <c r="E48" t="s">
        <v>14</v>
      </c>
      <c r="F48" t="s">
        <v>21</v>
      </c>
      <c r="G48" t="s">
        <v>33</v>
      </c>
      <c r="H48">
        <v>2</v>
      </c>
      <c r="I48">
        <v>209.81</v>
      </c>
      <c r="J48">
        <v>419.62</v>
      </c>
      <c r="K48" t="s">
        <v>17</v>
      </c>
    </row>
    <row r="49" spans="1:11" x14ac:dyDescent="0.25">
      <c r="A49" s="1">
        <v>44634</v>
      </c>
      <c r="B49" t="s">
        <v>44</v>
      </c>
      <c r="C49" t="s">
        <v>19</v>
      </c>
      <c r="D49" t="s">
        <v>20</v>
      </c>
      <c r="E49" t="s">
        <v>30</v>
      </c>
      <c r="F49" t="s">
        <v>32</v>
      </c>
      <c r="G49" t="s">
        <v>43</v>
      </c>
      <c r="H49">
        <v>4</v>
      </c>
      <c r="I49">
        <v>261.95999999999998</v>
      </c>
      <c r="J49">
        <v>1047.8399999999999</v>
      </c>
      <c r="K49" t="s">
        <v>23</v>
      </c>
    </row>
    <row r="50" spans="1:11" x14ac:dyDescent="0.25">
      <c r="A50" s="1">
        <v>44803</v>
      </c>
      <c r="B50" t="s">
        <v>41</v>
      </c>
      <c r="C50" t="s">
        <v>29</v>
      </c>
      <c r="D50" t="s">
        <v>42</v>
      </c>
      <c r="E50" t="s">
        <v>30</v>
      </c>
      <c r="F50" t="s">
        <v>32</v>
      </c>
      <c r="G50" t="s">
        <v>22</v>
      </c>
      <c r="H50">
        <v>3</v>
      </c>
      <c r="I50">
        <v>242.71</v>
      </c>
      <c r="J50">
        <v>728.13</v>
      </c>
      <c r="K50" t="s">
        <v>23</v>
      </c>
    </row>
    <row r="51" spans="1:11" x14ac:dyDescent="0.25">
      <c r="A51" s="1">
        <v>44718</v>
      </c>
      <c r="B51" t="s">
        <v>31</v>
      </c>
      <c r="C51" t="s">
        <v>19</v>
      </c>
      <c r="D51" t="s">
        <v>25</v>
      </c>
      <c r="E51" t="s">
        <v>26</v>
      </c>
      <c r="F51" t="s">
        <v>15</v>
      </c>
      <c r="G51" t="s">
        <v>22</v>
      </c>
      <c r="H51">
        <v>5</v>
      </c>
      <c r="I51">
        <v>299.3</v>
      </c>
      <c r="J51">
        <v>1496.5</v>
      </c>
      <c r="K51" t="s">
        <v>17</v>
      </c>
    </row>
    <row r="52" spans="1:11" x14ac:dyDescent="0.25">
      <c r="A52" s="1">
        <v>44802</v>
      </c>
      <c r="B52" t="s">
        <v>18</v>
      </c>
      <c r="C52" t="s">
        <v>19</v>
      </c>
      <c r="D52" t="s">
        <v>20</v>
      </c>
      <c r="E52" t="s">
        <v>14</v>
      </c>
      <c r="F52" t="s">
        <v>21</v>
      </c>
      <c r="G52" t="s">
        <v>22</v>
      </c>
      <c r="H52">
        <v>4</v>
      </c>
      <c r="I52">
        <v>162.85</v>
      </c>
      <c r="J52">
        <v>651.4</v>
      </c>
      <c r="K52" t="s">
        <v>35</v>
      </c>
    </row>
    <row r="53" spans="1:11" hidden="1" x14ac:dyDescent="0.25">
      <c r="A53" s="1">
        <v>44775</v>
      </c>
      <c r="B53" t="s">
        <v>48</v>
      </c>
      <c r="C53" t="s">
        <v>49</v>
      </c>
      <c r="D53" t="s">
        <v>50</v>
      </c>
      <c r="E53" t="s">
        <v>14</v>
      </c>
      <c r="F53" t="s">
        <v>21</v>
      </c>
      <c r="G53" t="s">
        <v>16</v>
      </c>
      <c r="H53">
        <v>5</v>
      </c>
      <c r="I53">
        <v>215.63</v>
      </c>
      <c r="J53">
        <v>1078.1500000000001</v>
      </c>
      <c r="K53" t="s">
        <v>17</v>
      </c>
    </row>
    <row r="54" spans="1:11" x14ac:dyDescent="0.25">
      <c r="A54" s="1">
        <v>44712</v>
      </c>
      <c r="B54" t="s">
        <v>31</v>
      </c>
      <c r="C54" t="s">
        <v>19</v>
      </c>
      <c r="D54" t="s">
        <v>25</v>
      </c>
      <c r="E54" t="s">
        <v>26</v>
      </c>
      <c r="F54" t="s">
        <v>15</v>
      </c>
      <c r="G54" t="s">
        <v>27</v>
      </c>
      <c r="H54">
        <v>1</v>
      </c>
      <c r="I54">
        <v>54.99</v>
      </c>
      <c r="J54">
        <v>54.99</v>
      </c>
      <c r="K54" t="s">
        <v>23</v>
      </c>
    </row>
    <row r="55" spans="1:11" x14ac:dyDescent="0.25">
      <c r="A55" s="1">
        <v>44593</v>
      </c>
      <c r="B55" t="s">
        <v>18</v>
      </c>
      <c r="C55" t="s">
        <v>19</v>
      </c>
      <c r="D55" t="s">
        <v>20</v>
      </c>
      <c r="E55" t="s">
        <v>30</v>
      </c>
      <c r="F55" t="s">
        <v>40</v>
      </c>
      <c r="G55" t="s">
        <v>34</v>
      </c>
      <c r="H55">
        <v>4</v>
      </c>
      <c r="I55">
        <v>185.7</v>
      </c>
      <c r="J55">
        <v>742.8</v>
      </c>
      <c r="K55" t="s">
        <v>36</v>
      </c>
    </row>
    <row r="56" spans="1:11" x14ac:dyDescent="0.25">
      <c r="A56" s="1">
        <v>44660</v>
      </c>
      <c r="B56" t="s">
        <v>28</v>
      </c>
      <c r="C56" t="s">
        <v>29</v>
      </c>
      <c r="D56" t="s">
        <v>25</v>
      </c>
      <c r="E56" t="s">
        <v>14</v>
      </c>
      <c r="F56" t="s">
        <v>21</v>
      </c>
      <c r="G56" t="s">
        <v>39</v>
      </c>
      <c r="H56">
        <v>2</v>
      </c>
      <c r="I56">
        <v>153.75</v>
      </c>
      <c r="J56">
        <v>307.5</v>
      </c>
      <c r="K56" t="s">
        <v>23</v>
      </c>
    </row>
    <row r="57" spans="1:11" x14ac:dyDescent="0.25">
      <c r="A57" s="1">
        <v>44641</v>
      </c>
      <c r="B57" t="s">
        <v>41</v>
      </c>
      <c r="C57" t="s">
        <v>29</v>
      </c>
      <c r="D57" t="s">
        <v>42</v>
      </c>
      <c r="E57" t="s">
        <v>30</v>
      </c>
      <c r="F57" t="s">
        <v>15</v>
      </c>
      <c r="G57" t="s">
        <v>33</v>
      </c>
      <c r="H57">
        <v>5</v>
      </c>
      <c r="I57">
        <v>235.5</v>
      </c>
      <c r="J57">
        <v>1177.5</v>
      </c>
      <c r="K57" t="s">
        <v>36</v>
      </c>
    </row>
    <row r="58" spans="1:11" x14ac:dyDescent="0.25">
      <c r="A58" s="1">
        <v>44765</v>
      </c>
      <c r="B58" t="s">
        <v>41</v>
      </c>
      <c r="C58" t="s">
        <v>29</v>
      </c>
      <c r="D58" t="s">
        <v>42</v>
      </c>
      <c r="E58" t="s">
        <v>26</v>
      </c>
      <c r="F58" t="s">
        <v>32</v>
      </c>
      <c r="G58" t="s">
        <v>39</v>
      </c>
      <c r="H58">
        <v>3</v>
      </c>
      <c r="I58">
        <v>239.76</v>
      </c>
      <c r="J58">
        <v>719.28</v>
      </c>
      <c r="K58" t="s">
        <v>17</v>
      </c>
    </row>
    <row r="59" spans="1:11" x14ac:dyDescent="0.25">
      <c r="A59" s="1">
        <v>44599</v>
      </c>
      <c r="B59" t="s">
        <v>37</v>
      </c>
      <c r="C59" t="s">
        <v>29</v>
      </c>
      <c r="D59" t="s">
        <v>38</v>
      </c>
      <c r="E59" t="s">
        <v>30</v>
      </c>
      <c r="F59" t="s">
        <v>32</v>
      </c>
      <c r="G59" t="s">
        <v>22</v>
      </c>
      <c r="H59">
        <v>4</v>
      </c>
      <c r="I59">
        <v>213.82</v>
      </c>
      <c r="J59">
        <v>855.28</v>
      </c>
      <c r="K59" t="s">
        <v>17</v>
      </c>
    </row>
    <row r="60" spans="1:11" x14ac:dyDescent="0.25">
      <c r="A60" s="1">
        <v>44678</v>
      </c>
      <c r="B60" t="s">
        <v>18</v>
      </c>
      <c r="C60" t="s">
        <v>19</v>
      </c>
      <c r="D60" t="s">
        <v>20</v>
      </c>
      <c r="E60" t="s">
        <v>26</v>
      </c>
      <c r="F60" t="s">
        <v>32</v>
      </c>
      <c r="G60" t="s">
        <v>16</v>
      </c>
      <c r="H60">
        <v>1</v>
      </c>
      <c r="I60">
        <v>67.2</v>
      </c>
      <c r="J60">
        <v>67.2</v>
      </c>
      <c r="K60" t="s">
        <v>36</v>
      </c>
    </row>
    <row r="61" spans="1:11" hidden="1" x14ac:dyDescent="0.25">
      <c r="A61" s="1">
        <v>44627</v>
      </c>
      <c r="B61" t="s">
        <v>45</v>
      </c>
      <c r="C61" t="s">
        <v>46</v>
      </c>
      <c r="D61" t="s">
        <v>47</v>
      </c>
      <c r="E61" t="s">
        <v>30</v>
      </c>
      <c r="F61" t="s">
        <v>40</v>
      </c>
      <c r="G61" t="s">
        <v>16</v>
      </c>
      <c r="H61">
        <v>4</v>
      </c>
      <c r="I61">
        <v>207.05</v>
      </c>
      <c r="J61">
        <v>828.2</v>
      </c>
      <c r="K61" t="s">
        <v>35</v>
      </c>
    </row>
    <row r="62" spans="1:11" x14ac:dyDescent="0.25">
      <c r="A62" s="1">
        <v>44686</v>
      </c>
      <c r="B62" t="s">
        <v>28</v>
      </c>
      <c r="C62" t="s">
        <v>29</v>
      </c>
      <c r="D62" t="s">
        <v>25</v>
      </c>
      <c r="E62" t="s">
        <v>14</v>
      </c>
      <c r="F62" t="s">
        <v>40</v>
      </c>
      <c r="G62" t="s">
        <v>16</v>
      </c>
      <c r="H62">
        <v>3</v>
      </c>
      <c r="I62">
        <v>257.92</v>
      </c>
      <c r="J62">
        <v>773.76</v>
      </c>
      <c r="K62" t="s">
        <v>36</v>
      </c>
    </row>
    <row r="63" spans="1:11" x14ac:dyDescent="0.25">
      <c r="A63" s="1">
        <v>44730</v>
      </c>
      <c r="B63" t="s">
        <v>18</v>
      </c>
      <c r="C63" t="s">
        <v>19</v>
      </c>
      <c r="D63" t="s">
        <v>20</v>
      </c>
      <c r="E63" t="s">
        <v>26</v>
      </c>
      <c r="F63" t="s">
        <v>15</v>
      </c>
      <c r="G63" t="s">
        <v>39</v>
      </c>
      <c r="H63">
        <v>1</v>
      </c>
      <c r="I63">
        <v>122.32</v>
      </c>
      <c r="J63">
        <v>122.32</v>
      </c>
      <c r="K63" t="s">
        <v>23</v>
      </c>
    </row>
    <row r="64" spans="1:11" x14ac:dyDescent="0.25">
      <c r="A64" s="1">
        <v>44707</v>
      </c>
      <c r="B64" t="s">
        <v>11</v>
      </c>
      <c r="C64" t="s">
        <v>12</v>
      </c>
      <c r="D64" t="s">
        <v>13</v>
      </c>
      <c r="E64" t="s">
        <v>14</v>
      </c>
      <c r="F64" t="s">
        <v>32</v>
      </c>
      <c r="G64" t="s">
        <v>22</v>
      </c>
      <c r="H64">
        <v>1</v>
      </c>
      <c r="I64">
        <v>203.63</v>
      </c>
      <c r="J64">
        <v>203.63</v>
      </c>
      <c r="K64" t="s">
        <v>23</v>
      </c>
    </row>
    <row r="65" spans="1:11" x14ac:dyDescent="0.25">
      <c r="A65" s="1">
        <v>44709</v>
      </c>
      <c r="B65" t="s">
        <v>31</v>
      </c>
      <c r="C65" t="s">
        <v>19</v>
      </c>
      <c r="D65" t="s">
        <v>25</v>
      </c>
      <c r="E65" t="s">
        <v>30</v>
      </c>
      <c r="F65" t="s">
        <v>40</v>
      </c>
      <c r="G65" t="s">
        <v>39</v>
      </c>
      <c r="H65">
        <v>3</v>
      </c>
      <c r="I65">
        <v>278.14999999999998</v>
      </c>
      <c r="J65">
        <v>834.45</v>
      </c>
      <c r="K65" t="s">
        <v>36</v>
      </c>
    </row>
    <row r="66" spans="1:11" x14ac:dyDescent="0.25">
      <c r="A66" s="1">
        <v>44745</v>
      </c>
      <c r="B66" t="s">
        <v>28</v>
      </c>
      <c r="C66" t="s">
        <v>29</v>
      </c>
      <c r="D66" t="s">
        <v>25</v>
      </c>
      <c r="E66" t="s">
        <v>30</v>
      </c>
      <c r="F66" t="s">
        <v>40</v>
      </c>
      <c r="G66" t="s">
        <v>27</v>
      </c>
      <c r="H66">
        <v>3</v>
      </c>
      <c r="I66">
        <v>129.78</v>
      </c>
      <c r="J66">
        <v>389.34</v>
      </c>
      <c r="K66" t="s">
        <v>17</v>
      </c>
    </row>
    <row r="67" spans="1:11" x14ac:dyDescent="0.25">
      <c r="A67" s="1">
        <v>44717</v>
      </c>
      <c r="B67" t="s">
        <v>31</v>
      </c>
      <c r="C67" t="s">
        <v>19</v>
      </c>
      <c r="D67" t="s">
        <v>25</v>
      </c>
      <c r="E67" t="s">
        <v>30</v>
      </c>
      <c r="F67" t="s">
        <v>32</v>
      </c>
      <c r="G67" t="s">
        <v>33</v>
      </c>
      <c r="H67">
        <v>5</v>
      </c>
      <c r="I67">
        <v>199.42</v>
      </c>
      <c r="J67">
        <v>997.1</v>
      </c>
      <c r="K67" t="s">
        <v>23</v>
      </c>
    </row>
    <row r="68" spans="1:11" x14ac:dyDescent="0.25">
      <c r="A68" s="1">
        <v>44738</v>
      </c>
      <c r="B68" t="s">
        <v>44</v>
      </c>
      <c r="C68" t="s">
        <v>19</v>
      </c>
      <c r="D68" t="s">
        <v>20</v>
      </c>
      <c r="E68" t="s">
        <v>30</v>
      </c>
      <c r="F68" t="s">
        <v>15</v>
      </c>
      <c r="G68" t="s">
        <v>16</v>
      </c>
      <c r="H68">
        <v>5</v>
      </c>
      <c r="I68">
        <v>98.23</v>
      </c>
      <c r="J68">
        <v>491.15</v>
      </c>
      <c r="K68" t="s">
        <v>23</v>
      </c>
    </row>
    <row r="69" spans="1:11" x14ac:dyDescent="0.25">
      <c r="A69" s="1">
        <v>44688</v>
      </c>
      <c r="B69" t="s">
        <v>24</v>
      </c>
      <c r="C69" t="s">
        <v>19</v>
      </c>
      <c r="D69" t="s">
        <v>25</v>
      </c>
      <c r="E69" t="s">
        <v>14</v>
      </c>
      <c r="F69" t="s">
        <v>21</v>
      </c>
      <c r="G69" t="s">
        <v>33</v>
      </c>
      <c r="H69">
        <v>1</v>
      </c>
      <c r="I69">
        <v>114.47</v>
      </c>
      <c r="J69">
        <v>114.47</v>
      </c>
      <c r="K69" t="s">
        <v>36</v>
      </c>
    </row>
    <row r="70" spans="1:11" hidden="1" x14ac:dyDescent="0.25">
      <c r="A70" s="1">
        <v>44624</v>
      </c>
      <c r="B70" t="s">
        <v>48</v>
      </c>
      <c r="C70" t="s">
        <v>49</v>
      </c>
      <c r="D70" t="s">
        <v>50</v>
      </c>
      <c r="E70" t="s">
        <v>26</v>
      </c>
      <c r="F70" t="s">
        <v>21</v>
      </c>
      <c r="G70" t="s">
        <v>16</v>
      </c>
      <c r="H70">
        <v>5</v>
      </c>
      <c r="I70">
        <v>224.71</v>
      </c>
      <c r="J70">
        <v>1123.55</v>
      </c>
      <c r="K70" t="s">
        <v>35</v>
      </c>
    </row>
    <row r="71" spans="1:11" x14ac:dyDescent="0.25">
      <c r="A71" s="1">
        <v>44590</v>
      </c>
      <c r="B71" t="s">
        <v>31</v>
      </c>
      <c r="C71" t="s">
        <v>19</v>
      </c>
      <c r="D71" t="s">
        <v>25</v>
      </c>
      <c r="E71" t="s">
        <v>14</v>
      </c>
      <c r="F71" t="s">
        <v>15</v>
      </c>
      <c r="G71" t="s">
        <v>43</v>
      </c>
      <c r="H71">
        <v>3</v>
      </c>
      <c r="I71">
        <v>104.04</v>
      </c>
      <c r="J71">
        <v>312.12</v>
      </c>
      <c r="K71" t="s">
        <v>23</v>
      </c>
    </row>
    <row r="72" spans="1:11" hidden="1" x14ac:dyDescent="0.25">
      <c r="A72" s="1">
        <v>44622</v>
      </c>
      <c r="B72" t="s">
        <v>48</v>
      </c>
      <c r="C72" t="s">
        <v>49</v>
      </c>
      <c r="D72" t="s">
        <v>50</v>
      </c>
      <c r="E72" t="s">
        <v>30</v>
      </c>
      <c r="F72" t="s">
        <v>40</v>
      </c>
      <c r="G72" t="s">
        <v>34</v>
      </c>
      <c r="H72">
        <v>5</v>
      </c>
      <c r="I72">
        <v>140.26</v>
      </c>
      <c r="J72">
        <v>701.3</v>
      </c>
      <c r="K72" t="s">
        <v>17</v>
      </c>
    </row>
    <row r="73" spans="1:11" x14ac:dyDescent="0.25">
      <c r="A73" s="1">
        <v>44713</v>
      </c>
      <c r="B73" t="s">
        <v>44</v>
      </c>
      <c r="C73" t="s">
        <v>19</v>
      </c>
      <c r="D73" t="s">
        <v>20</v>
      </c>
      <c r="E73" t="s">
        <v>30</v>
      </c>
      <c r="F73" t="s">
        <v>21</v>
      </c>
      <c r="G73" t="s">
        <v>34</v>
      </c>
      <c r="H73">
        <v>5</v>
      </c>
      <c r="I73">
        <v>215.38</v>
      </c>
      <c r="J73">
        <v>1076.9000000000001</v>
      </c>
      <c r="K73" t="s">
        <v>17</v>
      </c>
    </row>
    <row r="74" spans="1:11" x14ac:dyDescent="0.25">
      <c r="A74" s="1">
        <v>44696</v>
      </c>
      <c r="B74" t="s">
        <v>18</v>
      </c>
      <c r="C74" t="s">
        <v>19</v>
      </c>
      <c r="D74" t="s">
        <v>20</v>
      </c>
      <c r="E74" t="s">
        <v>26</v>
      </c>
      <c r="F74" t="s">
        <v>15</v>
      </c>
      <c r="G74" t="s">
        <v>33</v>
      </c>
      <c r="H74">
        <v>4</v>
      </c>
      <c r="I74">
        <v>127.55</v>
      </c>
      <c r="J74">
        <v>510.2</v>
      </c>
      <c r="K74" t="s">
        <v>23</v>
      </c>
    </row>
    <row r="75" spans="1:11" x14ac:dyDescent="0.25">
      <c r="A75" s="1">
        <v>44803</v>
      </c>
      <c r="B75" t="s">
        <v>31</v>
      </c>
      <c r="C75" t="s">
        <v>19</v>
      </c>
      <c r="D75" t="s">
        <v>25</v>
      </c>
      <c r="E75" t="s">
        <v>26</v>
      </c>
      <c r="F75" t="s">
        <v>15</v>
      </c>
      <c r="G75" t="s">
        <v>34</v>
      </c>
      <c r="H75">
        <v>3</v>
      </c>
      <c r="I75">
        <v>182.2</v>
      </c>
      <c r="J75">
        <v>546.6</v>
      </c>
      <c r="K75" t="s">
        <v>17</v>
      </c>
    </row>
    <row r="76" spans="1:11" x14ac:dyDescent="0.25">
      <c r="A76" s="1">
        <v>44655</v>
      </c>
      <c r="B76" t="s">
        <v>28</v>
      </c>
      <c r="C76" t="s">
        <v>29</v>
      </c>
      <c r="D76" t="s">
        <v>25</v>
      </c>
      <c r="E76" t="s">
        <v>30</v>
      </c>
      <c r="F76" t="s">
        <v>32</v>
      </c>
      <c r="G76" t="s">
        <v>27</v>
      </c>
      <c r="H76">
        <v>4</v>
      </c>
      <c r="I76">
        <v>246.66</v>
      </c>
      <c r="J76">
        <v>986.64</v>
      </c>
      <c r="K76" t="s">
        <v>23</v>
      </c>
    </row>
    <row r="77" spans="1:11" x14ac:dyDescent="0.25">
      <c r="A77" s="1">
        <v>44728</v>
      </c>
      <c r="B77" t="s">
        <v>18</v>
      </c>
      <c r="C77" t="s">
        <v>19</v>
      </c>
      <c r="D77" t="s">
        <v>20</v>
      </c>
      <c r="E77" t="s">
        <v>26</v>
      </c>
      <c r="F77" t="s">
        <v>32</v>
      </c>
      <c r="G77" t="s">
        <v>16</v>
      </c>
      <c r="H77">
        <v>5</v>
      </c>
      <c r="I77">
        <v>262.68</v>
      </c>
      <c r="J77">
        <v>1313.4</v>
      </c>
      <c r="K77" t="s">
        <v>36</v>
      </c>
    </row>
    <row r="78" spans="1:11" x14ac:dyDescent="0.25">
      <c r="A78" s="1">
        <v>44585</v>
      </c>
      <c r="B78" t="s">
        <v>44</v>
      </c>
      <c r="C78" t="s">
        <v>19</v>
      </c>
      <c r="D78" t="s">
        <v>20</v>
      </c>
      <c r="E78" t="s">
        <v>30</v>
      </c>
      <c r="F78" t="s">
        <v>15</v>
      </c>
      <c r="G78" t="s">
        <v>22</v>
      </c>
      <c r="H78">
        <v>3</v>
      </c>
      <c r="I78">
        <v>101.39</v>
      </c>
      <c r="J78">
        <v>304.17</v>
      </c>
      <c r="K78" t="s">
        <v>23</v>
      </c>
    </row>
    <row r="79" spans="1:11" x14ac:dyDescent="0.25">
      <c r="A79" s="1">
        <v>44606</v>
      </c>
      <c r="B79" t="s">
        <v>37</v>
      </c>
      <c r="C79" t="s">
        <v>29</v>
      </c>
      <c r="D79" t="s">
        <v>38</v>
      </c>
      <c r="E79" t="s">
        <v>26</v>
      </c>
      <c r="F79" t="s">
        <v>32</v>
      </c>
      <c r="G79" t="s">
        <v>16</v>
      </c>
      <c r="H79">
        <v>1</v>
      </c>
      <c r="I79">
        <v>59.05</v>
      </c>
      <c r="J79">
        <v>59.05</v>
      </c>
      <c r="K79" t="s">
        <v>23</v>
      </c>
    </row>
    <row r="80" spans="1:11" x14ac:dyDescent="0.25">
      <c r="A80" s="1">
        <v>44629</v>
      </c>
      <c r="B80" t="s">
        <v>37</v>
      </c>
      <c r="C80" t="s">
        <v>29</v>
      </c>
      <c r="D80" t="s">
        <v>38</v>
      </c>
      <c r="E80" t="s">
        <v>14</v>
      </c>
      <c r="F80" t="s">
        <v>21</v>
      </c>
      <c r="G80" t="s">
        <v>39</v>
      </c>
      <c r="H80">
        <v>1</v>
      </c>
      <c r="I80">
        <v>101.32</v>
      </c>
      <c r="J80">
        <v>101.32</v>
      </c>
      <c r="K80" t="s">
        <v>35</v>
      </c>
    </row>
    <row r="81" spans="1:11" x14ac:dyDescent="0.25">
      <c r="A81" s="1">
        <v>44758</v>
      </c>
      <c r="B81" t="s">
        <v>24</v>
      </c>
      <c r="C81" t="s">
        <v>19</v>
      </c>
      <c r="D81" t="s">
        <v>25</v>
      </c>
      <c r="E81" t="s">
        <v>30</v>
      </c>
      <c r="F81" t="s">
        <v>40</v>
      </c>
      <c r="G81" t="s">
        <v>33</v>
      </c>
      <c r="H81">
        <v>4</v>
      </c>
      <c r="I81">
        <v>228.88</v>
      </c>
      <c r="J81">
        <v>915.52</v>
      </c>
      <c r="K81" t="s">
        <v>17</v>
      </c>
    </row>
    <row r="82" spans="1:11" x14ac:dyDescent="0.25">
      <c r="A82" s="1">
        <v>44727</v>
      </c>
      <c r="B82" t="s">
        <v>24</v>
      </c>
      <c r="C82" t="s">
        <v>19</v>
      </c>
      <c r="D82" t="s">
        <v>25</v>
      </c>
      <c r="E82" t="s">
        <v>26</v>
      </c>
      <c r="F82" t="s">
        <v>15</v>
      </c>
      <c r="G82" t="s">
        <v>16</v>
      </c>
      <c r="H82">
        <v>4</v>
      </c>
      <c r="I82">
        <v>258.60000000000002</v>
      </c>
      <c r="J82">
        <v>1034.4000000000001</v>
      </c>
      <c r="K82" t="s">
        <v>17</v>
      </c>
    </row>
    <row r="83" spans="1:11" x14ac:dyDescent="0.25">
      <c r="A83" s="1">
        <v>44611</v>
      </c>
      <c r="B83" t="s">
        <v>44</v>
      </c>
      <c r="C83" t="s">
        <v>19</v>
      </c>
      <c r="D83" t="s">
        <v>20</v>
      </c>
      <c r="E83" t="s">
        <v>14</v>
      </c>
      <c r="F83" t="s">
        <v>21</v>
      </c>
      <c r="G83" t="s">
        <v>33</v>
      </c>
      <c r="H83">
        <v>4</v>
      </c>
      <c r="I83">
        <v>129.94999999999999</v>
      </c>
      <c r="J83">
        <v>519.79999999999995</v>
      </c>
      <c r="K83" t="s">
        <v>23</v>
      </c>
    </row>
    <row r="84" spans="1:11" x14ac:dyDescent="0.25">
      <c r="A84" s="1">
        <v>44748</v>
      </c>
      <c r="B84" t="s">
        <v>44</v>
      </c>
      <c r="C84" t="s">
        <v>19</v>
      </c>
      <c r="D84" t="s">
        <v>20</v>
      </c>
      <c r="E84" t="s">
        <v>26</v>
      </c>
      <c r="F84" t="s">
        <v>32</v>
      </c>
      <c r="G84" t="s">
        <v>27</v>
      </c>
      <c r="H84">
        <v>5</v>
      </c>
      <c r="I84">
        <v>190.03</v>
      </c>
      <c r="J84">
        <v>950.15</v>
      </c>
      <c r="K84" t="s">
        <v>23</v>
      </c>
    </row>
    <row r="85" spans="1:11" hidden="1" x14ac:dyDescent="0.25">
      <c r="A85" s="1">
        <v>44593</v>
      </c>
      <c r="B85" t="s">
        <v>45</v>
      </c>
      <c r="C85" t="s">
        <v>46</v>
      </c>
      <c r="D85" t="s">
        <v>47</v>
      </c>
      <c r="E85" t="s">
        <v>14</v>
      </c>
      <c r="F85" t="s">
        <v>32</v>
      </c>
      <c r="G85" t="s">
        <v>39</v>
      </c>
      <c r="H85">
        <v>1</v>
      </c>
      <c r="I85">
        <v>239.21</v>
      </c>
      <c r="J85">
        <v>239.21</v>
      </c>
      <c r="K85" t="s">
        <v>36</v>
      </c>
    </row>
    <row r="86" spans="1:11" x14ac:dyDescent="0.25">
      <c r="A86" s="1">
        <v>44645</v>
      </c>
      <c r="B86" t="s">
        <v>11</v>
      </c>
      <c r="C86" t="s">
        <v>12</v>
      </c>
      <c r="D86" t="s">
        <v>13</v>
      </c>
      <c r="E86" t="s">
        <v>14</v>
      </c>
      <c r="F86" t="s">
        <v>21</v>
      </c>
      <c r="G86" t="s">
        <v>33</v>
      </c>
      <c r="H86">
        <v>1</v>
      </c>
      <c r="I86">
        <v>271.18</v>
      </c>
      <c r="J86">
        <v>271.18</v>
      </c>
      <c r="K86" t="s">
        <v>23</v>
      </c>
    </row>
    <row r="87" spans="1:11" hidden="1" x14ac:dyDescent="0.25">
      <c r="A87" s="1">
        <v>44595</v>
      </c>
      <c r="B87" t="s">
        <v>48</v>
      </c>
      <c r="C87" t="s">
        <v>49</v>
      </c>
      <c r="D87" t="s">
        <v>50</v>
      </c>
      <c r="E87" t="s">
        <v>26</v>
      </c>
      <c r="F87" t="s">
        <v>21</v>
      </c>
      <c r="G87" t="s">
        <v>16</v>
      </c>
      <c r="H87">
        <v>5</v>
      </c>
      <c r="I87">
        <v>140.65</v>
      </c>
      <c r="J87">
        <v>703.25</v>
      </c>
      <c r="K87" t="s">
        <v>36</v>
      </c>
    </row>
    <row r="88" spans="1:11" x14ac:dyDescent="0.25">
      <c r="A88" s="1">
        <v>44742</v>
      </c>
      <c r="B88" t="s">
        <v>11</v>
      </c>
      <c r="C88" t="s">
        <v>12</v>
      </c>
      <c r="D88" t="s">
        <v>13</v>
      </c>
      <c r="E88" t="s">
        <v>14</v>
      </c>
      <c r="F88" t="s">
        <v>21</v>
      </c>
      <c r="G88" t="s">
        <v>34</v>
      </c>
      <c r="H88">
        <v>3</v>
      </c>
      <c r="I88">
        <v>97.21</v>
      </c>
      <c r="J88">
        <v>291.63</v>
      </c>
      <c r="K88" t="s">
        <v>23</v>
      </c>
    </row>
    <row r="89" spans="1:11" x14ac:dyDescent="0.25">
      <c r="A89" s="1">
        <v>44604</v>
      </c>
      <c r="B89" t="s">
        <v>41</v>
      </c>
      <c r="C89" t="s">
        <v>29</v>
      </c>
      <c r="D89" t="s">
        <v>42</v>
      </c>
      <c r="E89" t="s">
        <v>30</v>
      </c>
      <c r="F89" t="s">
        <v>40</v>
      </c>
      <c r="G89" t="s">
        <v>34</v>
      </c>
      <c r="H89">
        <v>5</v>
      </c>
      <c r="I89">
        <v>110.05</v>
      </c>
      <c r="J89">
        <v>550.25</v>
      </c>
      <c r="K89" t="s">
        <v>17</v>
      </c>
    </row>
    <row r="90" spans="1:11" x14ac:dyDescent="0.25">
      <c r="A90" s="1">
        <v>44757</v>
      </c>
      <c r="B90" t="s">
        <v>44</v>
      </c>
      <c r="C90" t="s">
        <v>19</v>
      </c>
      <c r="D90" t="s">
        <v>20</v>
      </c>
      <c r="E90" t="s">
        <v>14</v>
      </c>
      <c r="F90" t="s">
        <v>32</v>
      </c>
      <c r="G90" t="s">
        <v>27</v>
      </c>
      <c r="H90">
        <v>1</v>
      </c>
      <c r="I90">
        <v>209.13</v>
      </c>
      <c r="J90">
        <v>209.13</v>
      </c>
      <c r="K90" t="s">
        <v>23</v>
      </c>
    </row>
    <row r="91" spans="1:11" x14ac:dyDescent="0.25">
      <c r="A91" s="1">
        <v>44598</v>
      </c>
      <c r="B91" t="s">
        <v>24</v>
      </c>
      <c r="C91" t="s">
        <v>19</v>
      </c>
      <c r="D91" t="s">
        <v>25</v>
      </c>
      <c r="E91" t="s">
        <v>26</v>
      </c>
      <c r="F91" t="s">
        <v>40</v>
      </c>
      <c r="G91" t="s">
        <v>33</v>
      </c>
      <c r="H91">
        <v>1</v>
      </c>
      <c r="I91">
        <v>256.81</v>
      </c>
      <c r="J91">
        <v>256.81</v>
      </c>
      <c r="K91" t="s">
        <v>17</v>
      </c>
    </row>
    <row r="92" spans="1:11" x14ac:dyDescent="0.25">
      <c r="A92" s="1">
        <v>44581</v>
      </c>
      <c r="B92" t="s">
        <v>41</v>
      </c>
      <c r="C92" t="s">
        <v>29</v>
      </c>
      <c r="D92" t="s">
        <v>42</v>
      </c>
      <c r="E92" t="s">
        <v>26</v>
      </c>
      <c r="F92" t="s">
        <v>15</v>
      </c>
      <c r="G92" t="s">
        <v>27</v>
      </c>
      <c r="H92">
        <v>2</v>
      </c>
      <c r="I92">
        <v>53.05</v>
      </c>
      <c r="J92">
        <v>106.1</v>
      </c>
      <c r="K92" t="s">
        <v>23</v>
      </c>
    </row>
    <row r="93" spans="1:11" x14ac:dyDescent="0.25">
      <c r="A93" s="1">
        <v>44654</v>
      </c>
      <c r="B93" t="s">
        <v>18</v>
      </c>
      <c r="C93" t="s">
        <v>19</v>
      </c>
      <c r="D93" t="s">
        <v>20</v>
      </c>
      <c r="E93" t="s">
        <v>30</v>
      </c>
      <c r="F93" t="s">
        <v>40</v>
      </c>
      <c r="G93" t="s">
        <v>34</v>
      </c>
      <c r="H93">
        <v>4</v>
      </c>
      <c r="I93">
        <v>127.11</v>
      </c>
      <c r="J93">
        <v>508.44</v>
      </c>
      <c r="K93" t="s">
        <v>23</v>
      </c>
    </row>
    <row r="94" spans="1:11" x14ac:dyDescent="0.25">
      <c r="A94" s="1">
        <v>44744</v>
      </c>
      <c r="B94" t="s">
        <v>28</v>
      </c>
      <c r="C94" t="s">
        <v>29</v>
      </c>
      <c r="D94" t="s">
        <v>25</v>
      </c>
      <c r="E94" t="s">
        <v>26</v>
      </c>
      <c r="F94" t="s">
        <v>40</v>
      </c>
      <c r="G94" t="s">
        <v>16</v>
      </c>
      <c r="H94">
        <v>2</v>
      </c>
      <c r="I94">
        <v>259.45999999999998</v>
      </c>
      <c r="J94">
        <v>518.91999999999996</v>
      </c>
      <c r="K94" t="s">
        <v>36</v>
      </c>
    </row>
    <row r="95" spans="1:11" x14ac:dyDescent="0.25">
      <c r="A95" s="1">
        <v>44632</v>
      </c>
      <c r="B95" t="s">
        <v>37</v>
      </c>
      <c r="C95" t="s">
        <v>29</v>
      </c>
      <c r="D95" t="s">
        <v>38</v>
      </c>
      <c r="E95" t="s">
        <v>14</v>
      </c>
      <c r="F95" t="s">
        <v>32</v>
      </c>
      <c r="G95" t="s">
        <v>34</v>
      </c>
      <c r="H95">
        <v>2</v>
      </c>
      <c r="I95">
        <v>183.29</v>
      </c>
      <c r="J95">
        <v>366.58</v>
      </c>
      <c r="K95" t="s">
        <v>36</v>
      </c>
    </row>
    <row r="96" spans="1:11" x14ac:dyDescent="0.25">
      <c r="A96" s="1">
        <v>44577</v>
      </c>
      <c r="B96" t="s">
        <v>37</v>
      </c>
      <c r="C96" t="s">
        <v>29</v>
      </c>
      <c r="D96" t="s">
        <v>38</v>
      </c>
      <c r="E96" t="s">
        <v>26</v>
      </c>
      <c r="F96" t="s">
        <v>40</v>
      </c>
      <c r="G96" t="s">
        <v>39</v>
      </c>
      <c r="H96">
        <v>2</v>
      </c>
      <c r="I96">
        <v>130.4</v>
      </c>
      <c r="J96">
        <v>260.8</v>
      </c>
      <c r="K96" t="s">
        <v>23</v>
      </c>
    </row>
    <row r="97" spans="1:11" x14ac:dyDescent="0.25">
      <c r="A97" s="1">
        <v>44621</v>
      </c>
      <c r="B97" t="s">
        <v>18</v>
      </c>
      <c r="C97" t="s">
        <v>19</v>
      </c>
      <c r="D97" t="s">
        <v>20</v>
      </c>
      <c r="E97" t="s">
        <v>30</v>
      </c>
      <c r="F97" t="s">
        <v>21</v>
      </c>
      <c r="G97" t="s">
        <v>39</v>
      </c>
      <c r="H97">
        <v>5</v>
      </c>
      <c r="I97">
        <v>112.04</v>
      </c>
      <c r="J97">
        <v>560.20000000000005</v>
      </c>
      <c r="K97" t="s">
        <v>36</v>
      </c>
    </row>
    <row r="98" spans="1:11" hidden="1" x14ac:dyDescent="0.25">
      <c r="A98" s="1">
        <v>44619</v>
      </c>
      <c r="B98" t="s">
        <v>48</v>
      </c>
      <c r="C98" t="s">
        <v>49</v>
      </c>
      <c r="D98" t="s">
        <v>50</v>
      </c>
      <c r="E98" t="s">
        <v>26</v>
      </c>
      <c r="F98" t="s">
        <v>32</v>
      </c>
      <c r="G98" t="s">
        <v>16</v>
      </c>
      <c r="H98">
        <v>5</v>
      </c>
      <c r="I98">
        <v>85.1</v>
      </c>
      <c r="J98">
        <v>425.5</v>
      </c>
      <c r="K98" t="s">
        <v>23</v>
      </c>
    </row>
    <row r="99" spans="1:11" hidden="1" x14ac:dyDescent="0.25">
      <c r="A99" s="1">
        <v>44744</v>
      </c>
      <c r="B99" t="s">
        <v>48</v>
      </c>
      <c r="C99" t="s">
        <v>49</v>
      </c>
      <c r="D99" t="s">
        <v>50</v>
      </c>
      <c r="E99" t="s">
        <v>14</v>
      </c>
      <c r="F99" t="s">
        <v>21</v>
      </c>
      <c r="G99" t="s">
        <v>33</v>
      </c>
      <c r="H99">
        <v>1</v>
      </c>
      <c r="I99">
        <v>180.65</v>
      </c>
      <c r="J99">
        <v>180.65</v>
      </c>
      <c r="K99" t="s">
        <v>23</v>
      </c>
    </row>
    <row r="100" spans="1:11" hidden="1" x14ac:dyDescent="0.25">
      <c r="A100" s="1">
        <v>44600</v>
      </c>
      <c r="B100" t="s">
        <v>45</v>
      </c>
      <c r="C100" t="s">
        <v>46</v>
      </c>
      <c r="D100" t="s">
        <v>47</v>
      </c>
      <c r="E100" t="s">
        <v>26</v>
      </c>
      <c r="F100" t="s">
        <v>32</v>
      </c>
      <c r="G100" t="s">
        <v>34</v>
      </c>
      <c r="H100">
        <v>5</v>
      </c>
      <c r="I100">
        <v>147.13</v>
      </c>
      <c r="J100">
        <v>735.65</v>
      </c>
      <c r="K100" t="s">
        <v>36</v>
      </c>
    </row>
    <row r="101" spans="1:11" hidden="1" x14ac:dyDescent="0.25">
      <c r="A101" s="1">
        <v>44583</v>
      </c>
      <c r="B101" t="s">
        <v>48</v>
      </c>
      <c r="C101" t="s">
        <v>49</v>
      </c>
      <c r="D101" t="s">
        <v>50</v>
      </c>
      <c r="E101" t="s">
        <v>26</v>
      </c>
      <c r="F101" t="s">
        <v>15</v>
      </c>
      <c r="G101" t="s">
        <v>33</v>
      </c>
      <c r="H101">
        <v>3</v>
      </c>
      <c r="I101">
        <v>110.78</v>
      </c>
      <c r="J101">
        <v>332.34</v>
      </c>
      <c r="K101" t="s">
        <v>23</v>
      </c>
    </row>
    <row r="102" spans="1:11" x14ac:dyDescent="0.25">
      <c r="A102" s="1">
        <v>44736</v>
      </c>
      <c r="B102" t="s">
        <v>28</v>
      </c>
      <c r="C102" t="s">
        <v>29</v>
      </c>
      <c r="D102" t="s">
        <v>25</v>
      </c>
      <c r="E102" t="s">
        <v>26</v>
      </c>
      <c r="F102" t="s">
        <v>21</v>
      </c>
      <c r="G102" t="s">
        <v>43</v>
      </c>
      <c r="H102">
        <v>5</v>
      </c>
      <c r="I102">
        <v>58.37</v>
      </c>
      <c r="J102">
        <v>291.85000000000002</v>
      </c>
      <c r="K102" t="s">
        <v>35</v>
      </c>
    </row>
    <row r="103" spans="1:11" x14ac:dyDescent="0.25">
      <c r="A103" s="1">
        <v>44765</v>
      </c>
      <c r="B103" t="s">
        <v>41</v>
      </c>
      <c r="C103" t="s">
        <v>29</v>
      </c>
      <c r="D103" t="s">
        <v>42</v>
      </c>
      <c r="E103" t="s">
        <v>26</v>
      </c>
      <c r="F103" t="s">
        <v>32</v>
      </c>
      <c r="G103" t="s">
        <v>27</v>
      </c>
      <c r="H103">
        <v>5</v>
      </c>
      <c r="I103">
        <v>241.67</v>
      </c>
      <c r="J103">
        <v>1208.3499999999999</v>
      </c>
      <c r="K103" t="s">
        <v>17</v>
      </c>
    </row>
    <row r="104" spans="1:11" x14ac:dyDescent="0.25">
      <c r="A104" s="1">
        <v>44767</v>
      </c>
      <c r="B104" t="s">
        <v>37</v>
      </c>
      <c r="C104" t="s">
        <v>29</v>
      </c>
      <c r="D104" t="s">
        <v>38</v>
      </c>
      <c r="E104" t="s">
        <v>26</v>
      </c>
      <c r="F104" t="s">
        <v>15</v>
      </c>
      <c r="G104" t="s">
        <v>22</v>
      </c>
      <c r="H104">
        <v>2</v>
      </c>
      <c r="I104">
        <v>89.67</v>
      </c>
      <c r="J104">
        <v>179.34</v>
      </c>
      <c r="K104" t="s">
        <v>35</v>
      </c>
    </row>
    <row r="105" spans="1:11" x14ac:dyDescent="0.25">
      <c r="A105" s="1">
        <v>44710</v>
      </c>
      <c r="B105" t="s">
        <v>24</v>
      </c>
      <c r="C105" t="s">
        <v>19</v>
      </c>
      <c r="D105" t="s">
        <v>25</v>
      </c>
      <c r="E105" t="s">
        <v>26</v>
      </c>
      <c r="F105" t="s">
        <v>21</v>
      </c>
      <c r="G105" t="s">
        <v>39</v>
      </c>
      <c r="H105">
        <v>1</v>
      </c>
      <c r="I105">
        <v>132.09</v>
      </c>
      <c r="J105">
        <v>132.09</v>
      </c>
      <c r="K105" t="s">
        <v>35</v>
      </c>
    </row>
    <row r="106" spans="1:11" hidden="1" x14ac:dyDescent="0.25">
      <c r="A106" s="1">
        <v>44777</v>
      </c>
      <c r="B106" t="s">
        <v>45</v>
      </c>
      <c r="C106" t="s">
        <v>46</v>
      </c>
      <c r="D106" t="s">
        <v>47</v>
      </c>
      <c r="E106" t="s">
        <v>26</v>
      </c>
      <c r="F106" t="s">
        <v>32</v>
      </c>
      <c r="G106" t="s">
        <v>16</v>
      </c>
      <c r="H106">
        <v>2</v>
      </c>
      <c r="I106">
        <v>202.18</v>
      </c>
      <c r="J106">
        <v>404.36</v>
      </c>
      <c r="K106" t="s">
        <v>35</v>
      </c>
    </row>
    <row r="107" spans="1:11" x14ac:dyDescent="0.25">
      <c r="A107" s="1">
        <v>44604</v>
      </c>
      <c r="B107" t="s">
        <v>18</v>
      </c>
      <c r="C107" t="s">
        <v>19</v>
      </c>
      <c r="D107" t="s">
        <v>20</v>
      </c>
      <c r="E107" t="s">
        <v>30</v>
      </c>
      <c r="F107" t="s">
        <v>32</v>
      </c>
      <c r="G107" t="s">
        <v>34</v>
      </c>
      <c r="H107">
        <v>3</v>
      </c>
      <c r="I107">
        <v>90.19</v>
      </c>
      <c r="J107">
        <v>270.57</v>
      </c>
      <c r="K107" t="s">
        <v>23</v>
      </c>
    </row>
    <row r="108" spans="1:11" x14ac:dyDescent="0.25">
      <c r="A108" s="1">
        <v>44621</v>
      </c>
      <c r="B108" t="s">
        <v>28</v>
      </c>
      <c r="C108" t="s">
        <v>29</v>
      </c>
      <c r="D108" t="s">
        <v>25</v>
      </c>
      <c r="E108" t="s">
        <v>14</v>
      </c>
      <c r="F108" t="s">
        <v>21</v>
      </c>
      <c r="G108" t="s">
        <v>22</v>
      </c>
      <c r="H108">
        <v>2</v>
      </c>
      <c r="I108">
        <v>179.28</v>
      </c>
      <c r="J108">
        <v>358.56</v>
      </c>
      <c r="K108" t="s">
        <v>23</v>
      </c>
    </row>
    <row r="109" spans="1:11" x14ac:dyDescent="0.25">
      <c r="A109" s="1">
        <v>44643</v>
      </c>
      <c r="B109" t="s">
        <v>28</v>
      </c>
      <c r="C109" t="s">
        <v>29</v>
      </c>
      <c r="D109" t="s">
        <v>25</v>
      </c>
      <c r="E109" t="s">
        <v>30</v>
      </c>
      <c r="F109" t="s">
        <v>40</v>
      </c>
      <c r="G109" t="s">
        <v>22</v>
      </c>
      <c r="H109">
        <v>5</v>
      </c>
      <c r="I109">
        <v>188.61</v>
      </c>
      <c r="J109">
        <v>943.05</v>
      </c>
      <c r="K109" t="s">
        <v>36</v>
      </c>
    </row>
    <row r="110" spans="1:11" x14ac:dyDescent="0.25">
      <c r="A110" s="1">
        <v>44803</v>
      </c>
      <c r="B110" t="s">
        <v>11</v>
      </c>
      <c r="C110" t="s">
        <v>12</v>
      </c>
      <c r="D110" t="s">
        <v>13</v>
      </c>
      <c r="E110" t="s">
        <v>30</v>
      </c>
      <c r="F110" t="s">
        <v>40</v>
      </c>
      <c r="G110" t="s">
        <v>34</v>
      </c>
      <c r="H110">
        <v>2</v>
      </c>
      <c r="I110">
        <v>111.36</v>
      </c>
      <c r="J110">
        <v>222.72</v>
      </c>
      <c r="K110" t="s">
        <v>17</v>
      </c>
    </row>
    <row r="111" spans="1:11" hidden="1" x14ac:dyDescent="0.25">
      <c r="A111" s="1">
        <v>44610</v>
      </c>
      <c r="B111" t="s">
        <v>45</v>
      </c>
      <c r="C111" t="s">
        <v>46</v>
      </c>
      <c r="D111" t="s">
        <v>47</v>
      </c>
      <c r="E111" t="s">
        <v>26</v>
      </c>
      <c r="F111" t="s">
        <v>40</v>
      </c>
      <c r="G111" t="s">
        <v>34</v>
      </c>
      <c r="H111">
        <v>3</v>
      </c>
      <c r="I111">
        <v>53.98</v>
      </c>
      <c r="J111">
        <v>161.94</v>
      </c>
      <c r="K111" t="s">
        <v>23</v>
      </c>
    </row>
    <row r="112" spans="1:11" x14ac:dyDescent="0.25">
      <c r="A112" s="1">
        <v>44709</v>
      </c>
      <c r="B112" t="s">
        <v>37</v>
      </c>
      <c r="C112" t="s">
        <v>29</v>
      </c>
      <c r="D112" t="s">
        <v>38</v>
      </c>
      <c r="E112" t="s">
        <v>14</v>
      </c>
      <c r="F112" t="s">
        <v>21</v>
      </c>
      <c r="G112" t="s">
        <v>39</v>
      </c>
      <c r="H112">
        <v>4</v>
      </c>
      <c r="I112">
        <v>240.64</v>
      </c>
      <c r="J112">
        <v>962.56</v>
      </c>
      <c r="K112" t="s">
        <v>23</v>
      </c>
    </row>
    <row r="113" spans="1:11" x14ac:dyDescent="0.25">
      <c r="A113" s="1">
        <v>44620</v>
      </c>
      <c r="B113" t="s">
        <v>37</v>
      </c>
      <c r="C113" t="s">
        <v>29</v>
      </c>
      <c r="D113" t="s">
        <v>38</v>
      </c>
      <c r="E113" t="s">
        <v>26</v>
      </c>
      <c r="F113" t="s">
        <v>32</v>
      </c>
      <c r="G113" t="s">
        <v>22</v>
      </c>
      <c r="H113">
        <v>5</v>
      </c>
      <c r="I113">
        <v>195.57</v>
      </c>
      <c r="J113">
        <v>977.85</v>
      </c>
      <c r="K113" t="s">
        <v>23</v>
      </c>
    </row>
    <row r="114" spans="1:11" x14ac:dyDescent="0.25">
      <c r="A114" s="1">
        <v>44629</v>
      </c>
      <c r="B114" t="s">
        <v>28</v>
      </c>
      <c r="C114" t="s">
        <v>29</v>
      </c>
      <c r="D114" t="s">
        <v>25</v>
      </c>
      <c r="E114" t="s">
        <v>14</v>
      </c>
      <c r="F114" t="s">
        <v>21</v>
      </c>
      <c r="G114" t="s">
        <v>39</v>
      </c>
      <c r="H114">
        <v>3</v>
      </c>
      <c r="I114">
        <v>224.66</v>
      </c>
      <c r="J114">
        <v>673.98</v>
      </c>
      <c r="K114" t="s">
        <v>23</v>
      </c>
    </row>
    <row r="115" spans="1:11" hidden="1" x14ac:dyDescent="0.25">
      <c r="A115" s="1">
        <v>44679</v>
      </c>
      <c r="B115" t="s">
        <v>48</v>
      </c>
      <c r="C115" t="s">
        <v>49</v>
      </c>
      <c r="D115" t="s">
        <v>50</v>
      </c>
      <c r="E115" t="s">
        <v>26</v>
      </c>
      <c r="F115" t="s">
        <v>40</v>
      </c>
      <c r="G115" t="s">
        <v>39</v>
      </c>
      <c r="H115">
        <v>3</v>
      </c>
      <c r="I115">
        <v>65.2</v>
      </c>
      <c r="J115">
        <v>195.6</v>
      </c>
      <c r="K115" t="s">
        <v>36</v>
      </c>
    </row>
    <row r="116" spans="1:11" x14ac:dyDescent="0.25">
      <c r="A116" s="1">
        <v>44755</v>
      </c>
      <c r="B116" t="s">
        <v>44</v>
      </c>
      <c r="C116" t="s">
        <v>19</v>
      </c>
      <c r="D116" t="s">
        <v>20</v>
      </c>
      <c r="E116" t="s">
        <v>26</v>
      </c>
      <c r="F116" t="s">
        <v>15</v>
      </c>
      <c r="G116" t="s">
        <v>39</v>
      </c>
      <c r="H116">
        <v>4</v>
      </c>
      <c r="I116">
        <v>117.78</v>
      </c>
      <c r="J116">
        <v>471.12</v>
      </c>
      <c r="K116" t="s">
        <v>35</v>
      </c>
    </row>
    <row r="117" spans="1:11" x14ac:dyDescent="0.25">
      <c r="A117" s="1">
        <v>44601</v>
      </c>
      <c r="B117" t="s">
        <v>31</v>
      </c>
      <c r="C117" t="s">
        <v>19</v>
      </c>
      <c r="D117" t="s">
        <v>25</v>
      </c>
      <c r="E117" t="s">
        <v>26</v>
      </c>
      <c r="F117" t="s">
        <v>21</v>
      </c>
      <c r="G117" t="s">
        <v>43</v>
      </c>
      <c r="H117">
        <v>4</v>
      </c>
      <c r="I117">
        <v>214.93</v>
      </c>
      <c r="J117">
        <v>859.72</v>
      </c>
      <c r="K117" t="s">
        <v>17</v>
      </c>
    </row>
    <row r="118" spans="1:11" hidden="1" x14ac:dyDescent="0.25">
      <c r="A118" s="1">
        <v>44789</v>
      </c>
      <c r="B118" t="s">
        <v>48</v>
      </c>
      <c r="C118" t="s">
        <v>49</v>
      </c>
      <c r="D118" t="s">
        <v>50</v>
      </c>
      <c r="E118" t="s">
        <v>14</v>
      </c>
      <c r="F118" t="s">
        <v>15</v>
      </c>
      <c r="G118" t="s">
        <v>16</v>
      </c>
      <c r="H118">
        <v>2</v>
      </c>
      <c r="I118">
        <v>249.49</v>
      </c>
      <c r="J118">
        <v>498.98</v>
      </c>
      <c r="K118" t="s">
        <v>23</v>
      </c>
    </row>
    <row r="119" spans="1:11" x14ac:dyDescent="0.25">
      <c r="A119" s="1">
        <v>44725</v>
      </c>
      <c r="B119" t="s">
        <v>18</v>
      </c>
      <c r="C119" t="s">
        <v>19</v>
      </c>
      <c r="D119" t="s">
        <v>20</v>
      </c>
      <c r="E119" t="s">
        <v>30</v>
      </c>
      <c r="F119" t="s">
        <v>32</v>
      </c>
      <c r="G119" t="s">
        <v>43</v>
      </c>
      <c r="H119">
        <v>4</v>
      </c>
      <c r="I119">
        <v>141.35</v>
      </c>
      <c r="J119">
        <v>565.4</v>
      </c>
      <c r="K119" t="s">
        <v>35</v>
      </c>
    </row>
    <row r="120" spans="1:11" hidden="1" x14ac:dyDescent="0.25">
      <c r="A120" s="1">
        <v>44623</v>
      </c>
      <c r="B120" t="s">
        <v>48</v>
      </c>
      <c r="C120" t="s">
        <v>49</v>
      </c>
      <c r="D120" t="s">
        <v>50</v>
      </c>
      <c r="E120" t="s">
        <v>14</v>
      </c>
      <c r="F120" t="s">
        <v>15</v>
      </c>
      <c r="G120" t="s">
        <v>16</v>
      </c>
      <c r="H120">
        <v>3</v>
      </c>
      <c r="I120">
        <v>264.14</v>
      </c>
      <c r="J120">
        <v>792.42</v>
      </c>
      <c r="K120" t="s">
        <v>17</v>
      </c>
    </row>
    <row r="121" spans="1:11" x14ac:dyDescent="0.25">
      <c r="A121" s="1">
        <v>44564</v>
      </c>
      <c r="B121" t="s">
        <v>11</v>
      </c>
      <c r="C121" t="s">
        <v>12</v>
      </c>
      <c r="D121" t="s">
        <v>13</v>
      </c>
      <c r="E121" t="s">
        <v>14</v>
      </c>
      <c r="F121" t="s">
        <v>32</v>
      </c>
      <c r="G121" t="s">
        <v>34</v>
      </c>
      <c r="H121">
        <v>5</v>
      </c>
      <c r="I121">
        <v>73.58</v>
      </c>
      <c r="J121">
        <v>367.9</v>
      </c>
      <c r="K121" t="s">
        <v>35</v>
      </c>
    </row>
    <row r="122" spans="1:11" x14ac:dyDescent="0.25">
      <c r="A122" s="1">
        <v>44768</v>
      </c>
      <c r="B122" t="s">
        <v>11</v>
      </c>
      <c r="C122" t="s">
        <v>12</v>
      </c>
      <c r="D122" t="s">
        <v>13</v>
      </c>
      <c r="E122" t="s">
        <v>14</v>
      </c>
      <c r="F122" t="s">
        <v>21</v>
      </c>
      <c r="G122" t="s">
        <v>22</v>
      </c>
      <c r="H122">
        <v>1</v>
      </c>
      <c r="I122">
        <v>106.59</v>
      </c>
      <c r="J122">
        <v>106.59</v>
      </c>
      <c r="K122" t="s">
        <v>17</v>
      </c>
    </row>
    <row r="123" spans="1:11" x14ac:dyDescent="0.25">
      <c r="A123" s="1">
        <v>44604</v>
      </c>
      <c r="B123" t="s">
        <v>28</v>
      </c>
      <c r="C123" t="s">
        <v>29</v>
      </c>
      <c r="D123" t="s">
        <v>25</v>
      </c>
      <c r="E123" t="s">
        <v>30</v>
      </c>
      <c r="F123" t="s">
        <v>21</v>
      </c>
      <c r="G123" t="s">
        <v>39</v>
      </c>
      <c r="H123">
        <v>3</v>
      </c>
      <c r="I123">
        <v>59.98</v>
      </c>
      <c r="J123">
        <v>179.94</v>
      </c>
      <c r="K123" t="s">
        <v>35</v>
      </c>
    </row>
    <row r="124" spans="1:11" hidden="1" x14ac:dyDescent="0.25">
      <c r="A124" s="1">
        <v>44622</v>
      </c>
      <c r="B124" t="s">
        <v>48</v>
      </c>
      <c r="C124" t="s">
        <v>49</v>
      </c>
      <c r="D124" t="s">
        <v>50</v>
      </c>
      <c r="E124" t="s">
        <v>26</v>
      </c>
      <c r="F124" t="s">
        <v>32</v>
      </c>
      <c r="G124" t="s">
        <v>16</v>
      </c>
      <c r="H124">
        <v>3</v>
      </c>
      <c r="I124">
        <v>87.81</v>
      </c>
      <c r="J124">
        <v>263.43</v>
      </c>
      <c r="K124" t="s">
        <v>17</v>
      </c>
    </row>
    <row r="125" spans="1:11" x14ac:dyDescent="0.25">
      <c r="A125" s="1">
        <v>44657</v>
      </c>
      <c r="B125" t="s">
        <v>28</v>
      </c>
      <c r="C125" t="s">
        <v>29</v>
      </c>
      <c r="D125" t="s">
        <v>25</v>
      </c>
      <c r="E125" t="s">
        <v>30</v>
      </c>
      <c r="F125" t="s">
        <v>40</v>
      </c>
      <c r="G125" t="s">
        <v>16</v>
      </c>
      <c r="H125">
        <v>2</v>
      </c>
      <c r="I125">
        <v>283.60000000000002</v>
      </c>
      <c r="J125">
        <v>567.20000000000005</v>
      </c>
      <c r="K125" t="s">
        <v>35</v>
      </c>
    </row>
    <row r="126" spans="1:11" hidden="1" x14ac:dyDescent="0.25">
      <c r="A126" s="1">
        <v>44784</v>
      </c>
      <c r="B126" t="s">
        <v>48</v>
      </c>
      <c r="C126" t="s">
        <v>49</v>
      </c>
      <c r="D126" t="s">
        <v>50</v>
      </c>
      <c r="E126" t="s">
        <v>30</v>
      </c>
      <c r="F126" t="s">
        <v>15</v>
      </c>
      <c r="G126" t="s">
        <v>16</v>
      </c>
      <c r="H126">
        <v>2</v>
      </c>
      <c r="I126">
        <v>194.31</v>
      </c>
      <c r="J126">
        <v>388.62</v>
      </c>
      <c r="K126" t="s">
        <v>35</v>
      </c>
    </row>
    <row r="127" spans="1:11" x14ac:dyDescent="0.25">
      <c r="A127" s="1">
        <v>44735</v>
      </c>
      <c r="B127" t="s">
        <v>41</v>
      </c>
      <c r="C127" t="s">
        <v>29</v>
      </c>
      <c r="D127" t="s">
        <v>42</v>
      </c>
      <c r="E127" t="s">
        <v>14</v>
      </c>
      <c r="F127" t="s">
        <v>15</v>
      </c>
      <c r="G127" t="s">
        <v>16</v>
      </c>
      <c r="H127">
        <v>4</v>
      </c>
      <c r="I127">
        <v>199.68</v>
      </c>
      <c r="J127">
        <v>798.72</v>
      </c>
      <c r="K127" t="s">
        <v>36</v>
      </c>
    </row>
    <row r="128" spans="1:11" x14ac:dyDescent="0.25">
      <c r="A128" s="1">
        <v>44659</v>
      </c>
      <c r="B128" t="s">
        <v>11</v>
      </c>
      <c r="C128" t="s">
        <v>12</v>
      </c>
      <c r="D128" t="s">
        <v>13</v>
      </c>
      <c r="E128" t="s">
        <v>26</v>
      </c>
      <c r="F128" t="s">
        <v>40</v>
      </c>
      <c r="G128" t="s">
        <v>16</v>
      </c>
      <c r="H128">
        <v>5</v>
      </c>
      <c r="I128">
        <v>145.47</v>
      </c>
      <c r="J128">
        <v>727.35</v>
      </c>
      <c r="K128" t="s">
        <v>17</v>
      </c>
    </row>
    <row r="129" spans="1:11" x14ac:dyDescent="0.25">
      <c r="A129" s="1">
        <v>44592</v>
      </c>
      <c r="B129" t="s">
        <v>41</v>
      </c>
      <c r="C129" t="s">
        <v>29</v>
      </c>
      <c r="D129" t="s">
        <v>42</v>
      </c>
      <c r="E129" t="s">
        <v>26</v>
      </c>
      <c r="F129" t="s">
        <v>15</v>
      </c>
      <c r="G129" t="s">
        <v>33</v>
      </c>
      <c r="H129">
        <v>1</v>
      </c>
      <c r="I129">
        <v>141.11000000000001</v>
      </c>
      <c r="J129">
        <v>141.11000000000001</v>
      </c>
      <c r="K129" t="s">
        <v>35</v>
      </c>
    </row>
    <row r="130" spans="1:11" x14ac:dyDescent="0.25">
      <c r="A130" s="1">
        <v>44667</v>
      </c>
      <c r="B130" t="s">
        <v>31</v>
      </c>
      <c r="C130" t="s">
        <v>19</v>
      </c>
      <c r="D130" t="s">
        <v>25</v>
      </c>
      <c r="E130" t="s">
        <v>26</v>
      </c>
      <c r="F130" t="s">
        <v>32</v>
      </c>
      <c r="G130" t="s">
        <v>34</v>
      </c>
      <c r="H130">
        <v>2</v>
      </c>
      <c r="I130">
        <v>188.4</v>
      </c>
      <c r="J130">
        <v>376.8</v>
      </c>
      <c r="K130" t="s">
        <v>17</v>
      </c>
    </row>
    <row r="131" spans="1:11" x14ac:dyDescent="0.25">
      <c r="A131" s="1">
        <v>44650</v>
      </c>
      <c r="B131" t="s">
        <v>41</v>
      </c>
      <c r="C131" t="s">
        <v>29</v>
      </c>
      <c r="D131" t="s">
        <v>42</v>
      </c>
      <c r="E131" t="s">
        <v>30</v>
      </c>
      <c r="F131" t="s">
        <v>15</v>
      </c>
      <c r="G131" t="s">
        <v>27</v>
      </c>
      <c r="H131">
        <v>4</v>
      </c>
      <c r="I131">
        <v>145.28</v>
      </c>
      <c r="J131">
        <v>581.12</v>
      </c>
      <c r="K131" t="s">
        <v>17</v>
      </c>
    </row>
    <row r="132" spans="1:11" x14ac:dyDescent="0.25">
      <c r="A132" s="1">
        <v>44757</v>
      </c>
      <c r="B132" t="s">
        <v>44</v>
      </c>
      <c r="C132" t="s">
        <v>19</v>
      </c>
      <c r="D132" t="s">
        <v>20</v>
      </c>
      <c r="E132" t="s">
        <v>30</v>
      </c>
      <c r="F132" t="s">
        <v>21</v>
      </c>
      <c r="G132" t="s">
        <v>33</v>
      </c>
      <c r="H132">
        <v>2</v>
      </c>
      <c r="I132">
        <v>277.48</v>
      </c>
      <c r="J132">
        <v>554.96</v>
      </c>
      <c r="K132" t="s">
        <v>17</v>
      </c>
    </row>
    <row r="133" spans="1:11" x14ac:dyDescent="0.25">
      <c r="A133" s="1">
        <v>44789</v>
      </c>
      <c r="B133" t="s">
        <v>28</v>
      </c>
      <c r="C133" t="s">
        <v>29</v>
      </c>
      <c r="D133" t="s">
        <v>25</v>
      </c>
      <c r="E133" t="s">
        <v>26</v>
      </c>
      <c r="F133" t="s">
        <v>15</v>
      </c>
      <c r="G133" t="s">
        <v>16</v>
      </c>
      <c r="H133">
        <v>4</v>
      </c>
      <c r="I133">
        <v>153.56</v>
      </c>
      <c r="J133">
        <v>614.24</v>
      </c>
      <c r="K133" t="s">
        <v>36</v>
      </c>
    </row>
    <row r="134" spans="1:11" x14ac:dyDescent="0.25">
      <c r="A134" s="1">
        <v>44635</v>
      </c>
      <c r="B134" t="s">
        <v>11</v>
      </c>
      <c r="C134" t="s">
        <v>12</v>
      </c>
      <c r="D134" t="s">
        <v>13</v>
      </c>
      <c r="E134" t="s">
        <v>30</v>
      </c>
      <c r="F134" t="s">
        <v>32</v>
      </c>
      <c r="G134" t="s">
        <v>16</v>
      </c>
      <c r="H134">
        <v>2</v>
      </c>
      <c r="I134">
        <v>74.83</v>
      </c>
      <c r="J134">
        <v>149.66</v>
      </c>
      <c r="K134" t="s">
        <v>17</v>
      </c>
    </row>
    <row r="135" spans="1:11" x14ac:dyDescent="0.25">
      <c r="A135" s="1">
        <v>44748</v>
      </c>
      <c r="B135" t="s">
        <v>41</v>
      </c>
      <c r="C135" t="s">
        <v>29</v>
      </c>
      <c r="D135" t="s">
        <v>42</v>
      </c>
      <c r="E135" t="s">
        <v>26</v>
      </c>
      <c r="F135" t="s">
        <v>15</v>
      </c>
      <c r="G135" t="s">
        <v>27</v>
      </c>
      <c r="H135">
        <v>1</v>
      </c>
      <c r="I135">
        <v>136.80000000000001</v>
      </c>
      <c r="J135">
        <v>136.80000000000001</v>
      </c>
      <c r="K135" t="s">
        <v>35</v>
      </c>
    </row>
    <row r="136" spans="1:11" x14ac:dyDescent="0.25">
      <c r="A136" s="1">
        <v>44738</v>
      </c>
      <c r="B136" t="s">
        <v>18</v>
      </c>
      <c r="C136" t="s">
        <v>19</v>
      </c>
      <c r="D136" t="s">
        <v>20</v>
      </c>
      <c r="E136" t="s">
        <v>14</v>
      </c>
      <c r="F136" t="s">
        <v>32</v>
      </c>
      <c r="G136" t="s">
        <v>22</v>
      </c>
      <c r="H136">
        <v>3</v>
      </c>
      <c r="I136">
        <v>209.69</v>
      </c>
      <c r="J136">
        <v>629.07000000000005</v>
      </c>
      <c r="K136" t="s">
        <v>36</v>
      </c>
    </row>
    <row r="137" spans="1:11" x14ac:dyDescent="0.25">
      <c r="A137" s="1">
        <v>44638</v>
      </c>
      <c r="B137" t="s">
        <v>41</v>
      </c>
      <c r="C137" t="s">
        <v>29</v>
      </c>
      <c r="D137" t="s">
        <v>42</v>
      </c>
      <c r="E137" t="s">
        <v>30</v>
      </c>
      <c r="F137" t="s">
        <v>32</v>
      </c>
      <c r="G137" t="s">
        <v>43</v>
      </c>
      <c r="H137">
        <v>3</v>
      </c>
      <c r="I137">
        <v>200.87</v>
      </c>
      <c r="J137">
        <v>602.61</v>
      </c>
      <c r="K137" t="s">
        <v>23</v>
      </c>
    </row>
    <row r="138" spans="1:11" hidden="1" x14ac:dyDescent="0.25">
      <c r="A138" s="1">
        <v>44596</v>
      </c>
      <c r="B138" t="s">
        <v>48</v>
      </c>
      <c r="C138" t="s">
        <v>49</v>
      </c>
      <c r="D138" t="s">
        <v>50</v>
      </c>
      <c r="E138" t="s">
        <v>30</v>
      </c>
      <c r="F138" t="s">
        <v>21</v>
      </c>
      <c r="G138" t="s">
        <v>16</v>
      </c>
      <c r="H138">
        <v>1</v>
      </c>
      <c r="I138">
        <v>221.26</v>
      </c>
      <c r="J138">
        <v>221.26</v>
      </c>
      <c r="K138" t="s">
        <v>17</v>
      </c>
    </row>
    <row r="139" spans="1:11" x14ac:dyDescent="0.25">
      <c r="A139" s="1">
        <v>44564</v>
      </c>
      <c r="B139" t="s">
        <v>24</v>
      </c>
      <c r="C139" t="s">
        <v>19</v>
      </c>
      <c r="D139" t="s">
        <v>25</v>
      </c>
      <c r="E139" t="s">
        <v>26</v>
      </c>
      <c r="F139" t="s">
        <v>21</v>
      </c>
      <c r="G139" t="s">
        <v>22</v>
      </c>
      <c r="H139">
        <v>5</v>
      </c>
      <c r="I139">
        <v>176.98</v>
      </c>
      <c r="J139">
        <v>884.9</v>
      </c>
      <c r="K139" t="s">
        <v>17</v>
      </c>
    </row>
    <row r="140" spans="1:11" hidden="1" x14ac:dyDescent="0.25">
      <c r="A140" s="1">
        <v>44779</v>
      </c>
      <c r="B140" t="s">
        <v>45</v>
      </c>
      <c r="C140" t="s">
        <v>46</v>
      </c>
      <c r="D140" t="s">
        <v>47</v>
      </c>
      <c r="E140" t="s">
        <v>30</v>
      </c>
      <c r="F140" t="s">
        <v>32</v>
      </c>
      <c r="G140" t="s">
        <v>34</v>
      </c>
      <c r="H140">
        <v>5</v>
      </c>
      <c r="I140">
        <v>77.08</v>
      </c>
      <c r="J140">
        <v>385.4</v>
      </c>
      <c r="K140" t="s">
        <v>36</v>
      </c>
    </row>
    <row r="141" spans="1:11" x14ac:dyDescent="0.25">
      <c r="A141" s="1">
        <v>44626</v>
      </c>
      <c r="B141" t="s">
        <v>31</v>
      </c>
      <c r="C141" t="s">
        <v>19</v>
      </c>
      <c r="D141" t="s">
        <v>25</v>
      </c>
      <c r="E141" t="s">
        <v>30</v>
      </c>
      <c r="F141" t="s">
        <v>32</v>
      </c>
      <c r="G141" t="s">
        <v>39</v>
      </c>
      <c r="H141">
        <v>4</v>
      </c>
      <c r="I141">
        <v>239.54</v>
      </c>
      <c r="J141">
        <v>958.16</v>
      </c>
      <c r="K141" t="s">
        <v>36</v>
      </c>
    </row>
    <row r="142" spans="1:11" x14ac:dyDescent="0.25">
      <c r="A142" s="1">
        <v>44639</v>
      </c>
      <c r="B142" t="s">
        <v>41</v>
      </c>
      <c r="C142" t="s">
        <v>29</v>
      </c>
      <c r="D142" t="s">
        <v>42</v>
      </c>
      <c r="E142" t="s">
        <v>30</v>
      </c>
      <c r="F142" t="s">
        <v>21</v>
      </c>
      <c r="G142" t="s">
        <v>43</v>
      </c>
      <c r="H142">
        <v>5</v>
      </c>
      <c r="I142">
        <v>179.54</v>
      </c>
      <c r="J142">
        <v>897.7</v>
      </c>
      <c r="K142" t="s">
        <v>35</v>
      </c>
    </row>
    <row r="143" spans="1:11" x14ac:dyDescent="0.25">
      <c r="A143" s="1">
        <v>44656</v>
      </c>
      <c r="B143" t="s">
        <v>37</v>
      </c>
      <c r="C143" t="s">
        <v>29</v>
      </c>
      <c r="D143" t="s">
        <v>38</v>
      </c>
      <c r="E143" t="s">
        <v>26</v>
      </c>
      <c r="F143" t="s">
        <v>21</v>
      </c>
      <c r="G143" t="s">
        <v>39</v>
      </c>
      <c r="H143">
        <v>3</v>
      </c>
      <c r="I143">
        <v>274.23</v>
      </c>
      <c r="J143">
        <v>822.69</v>
      </c>
      <c r="K143" t="s">
        <v>23</v>
      </c>
    </row>
    <row r="144" spans="1:11" x14ac:dyDescent="0.25">
      <c r="A144" s="1">
        <v>44631</v>
      </c>
      <c r="B144" t="s">
        <v>28</v>
      </c>
      <c r="C144" t="s">
        <v>29</v>
      </c>
      <c r="D144" t="s">
        <v>25</v>
      </c>
      <c r="E144" t="s">
        <v>26</v>
      </c>
      <c r="F144" t="s">
        <v>15</v>
      </c>
      <c r="G144" t="s">
        <v>43</v>
      </c>
      <c r="H144">
        <v>5</v>
      </c>
      <c r="I144">
        <v>99.89</v>
      </c>
      <c r="J144">
        <v>499.45</v>
      </c>
      <c r="K144" t="s">
        <v>23</v>
      </c>
    </row>
    <row r="145" spans="1:11" x14ac:dyDescent="0.25">
      <c r="A145" s="1">
        <v>44654</v>
      </c>
      <c r="B145" t="s">
        <v>18</v>
      </c>
      <c r="C145" t="s">
        <v>19</v>
      </c>
      <c r="D145" t="s">
        <v>20</v>
      </c>
      <c r="E145" t="s">
        <v>26</v>
      </c>
      <c r="F145" t="s">
        <v>40</v>
      </c>
      <c r="G145" t="s">
        <v>34</v>
      </c>
      <c r="H145">
        <v>4</v>
      </c>
      <c r="I145">
        <v>148.11000000000001</v>
      </c>
      <c r="J145">
        <v>592.44000000000005</v>
      </c>
      <c r="K145" t="s">
        <v>23</v>
      </c>
    </row>
    <row r="146" spans="1:11" x14ac:dyDescent="0.25">
      <c r="A146" s="1">
        <v>44742</v>
      </c>
      <c r="B146" t="s">
        <v>31</v>
      </c>
      <c r="C146" t="s">
        <v>19</v>
      </c>
      <c r="D146" t="s">
        <v>25</v>
      </c>
      <c r="E146" t="s">
        <v>14</v>
      </c>
      <c r="F146" t="s">
        <v>40</v>
      </c>
      <c r="G146" t="s">
        <v>43</v>
      </c>
      <c r="H146">
        <v>5</v>
      </c>
      <c r="I146">
        <v>81.97</v>
      </c>
      <c r="J146">
        <v>409.85</v>
      </c>
      <c r="K146" t="s">
        <v>23</v>
      </c>
    </row>
    <row r="147" spans="1:11" x14ac:dyDescent="0.25">
      <c r="A147" s="1">
        <v>44570</v>
      </c>
      <c r="B147" t="s">
        <v>18</v>
      </c>
      <c r="C147" t="s">
        <v>19</v>
      </c>
      <c r="D147" t="s">
        <v>20</v>
      </c>
      <c r="E147" t="s">
        <v>26</v>
      </c>
      <c r="F147" t="s">
        <v>15</v>
      </c>
      <c r="G147" t="s">
        <v>43</v>
      </c>
      <c r="H147">
        <v>3</v>
      </c>
      <c r="I147">
        <v>291.29000000000002</v>
      </c>
      <c r="J147">
        <v>873.87</v>
      </c>
      <c r="K147" t="s">
        <v>36</v>
      </c>
    </row>
    <row r="148" spans="1:11" x14ac:dyDescent="0.25">
      <c r="A148" s="1">
        <v>44683</v>
      </c>
      <c r="B148" t="s">
        <v>44</v>
      </c>
      <c r="C148" t="s">
        <v>19</v>
      </c>
      <c r="D148" t="s">
        <v>20</v>
      </c>
      <c r="E148" t="s">
        <v>30</v>
      </c>
      <c r="F148" t="s">
        <v>21</v>
      </c>
      <c r="G148" t="s">
        <v>39</v>
      </c>
      <c r="H148">
        <v>5</v>
      </c>
      <c r="I148">
        <v>138.94999999999999</v>
      </c>
      <c r="J148">
        <v>694.75</v>
      </c>
      <c r="K148" t="s">
        <v>35</v>
      </c>
    </row>
    <row r="149" spans="1:11" x14ac:dyDescent="0.25">
      <c r="A149" s="1">
        <v>44588</v>
      </c>
      <c r="B149" t="s">
        <v>44</v>
      </c>
      <c r="C149" t="s">
        <v>19</v>
      </c>
      <c r="D149" t="s">
        <v>20</v>
      </c>
      <c r="E149" t="s">
        <v>30</v>
      </c>
      <c r="F149" t="s">
        <v>21</v>
      </c>
      <c r="G149" t="s">
        <v>16</v>
      </c>
      <c r="H149">
        <v>4</v>
      </c>
      <c r="I149">
        <v>208.19</v>
      </c>
      <c r="J149">
        <v>832.76</v>
      </c>
      <c r="K149" t="s">
        <v>36</v>
      </c>
    </row>
    <row r="150" spans="1:11" x14ac:dyDescent="0.25">
      <c r="A150" s="1">
        <v>44769</v>
      </c>
      <c r="B150" t="s">
        <v>31</v>
      </c>
      <c r="C150" t="s">
        <v>19</v>
      </c>
      <c r="D150" t="s">
        <v>25</v>
      </c>
      <c r="E150" t="s">
        <v>30</v>
      </c>
      <c r="F150" t="s">
        <v>15</v>
      </c>
      <c r="G150" t="s">
        <v>43</v>
      </c>
      <c r="H150">
        <v>5</v>
      </c>
      <c r="I150">
        <v>291.7</v>
      </c>
      <c r="J150">
        <v>1458.5</v>
      </c>
      <c r="K150" t="s">
        <v>36</v>
      </c>
    </row>
    <row r="151" spans="1:11" x14ac:dyDescent="0.25">
      <c r="A151" s="1">
        <v>44722</v>
      </c>
      <c r="B151" t="s">
        <v>11</v>
      </c>
      <c r="C151" t="s">
        <v>12</v>
      </c>
      <c r="D151" t="s">
        <v>13</v>
      </c>
      <c r="E151" t="s">
        <v>26</v>
      </c>
      <c r="F151" t="s">
        <v>40</v>
      </c>
      <c r="G151" t="s">
        <v>33</v>
      </c>
      <c r="H151">
        <v>3</v>
      </c>
      <c r="I151">
        <v>209.89</v>
      </c>
      <c r="J151">
        <v>629.66999999999996</v>
      </c>
      <c r="K151" t="s">
        <v>35</v>
      </c>
    </row>
    <row r="152" spans="1:11" x14ac:dyDescent="0.25">
      <c r="A152" s="1">
        <v>44685</v>
      </c>
      <c r="B152" t="s">
        <v>31</v>
      </c>
      <c r="C152" t="s">
        <v>19</v>
      </c>
      <c r="D152" t="s">
        <v>25</v>
      </c>
      <c r="E152" t="s">
        <v>14</v>
      </c>
      <c r="F152" t="s">
        <v>32</v>
      </c>
      <c r="G152" t="s">
        <v>16</v>
      </c>
      <c r="H152">
        <v>4</v>
      </c>
      <c r="I152">
        <v>171.49</v>
      </c>
      <c r="J152">
        <v>685.96</v>
      </c>
      <c r="K152" t="s">
        <v>23</v>
      </c>
    </row>
    <row r="153" spans="1:11" x14ac:dyDescent="0.25">
      <c r="A153" s="1">
        <v>44578</v>
      </c>
      <c r="B153" t="s">
        <v>28</v>
      </c>
      <c r="C153" t="s">
        <v>29</v>
      </c>
      <c r="D153" t="s">
        <v>25</v>
      </c>
      <c r="E153" t="s">
        <v>30</v>
      </c>
      <c r="F153" t="s">
        <v>32</v>
      </c>
      <c r="G153" t="s">
        <v>27</v>
      </c>
      <c r="H153">
        <v>3</v>
      </c>
      <c r="I153">
        <v>156.22</v>
      </c>
      <c r="J153">
        <v>468.66</v>
      </c>
      <c r="K153" t="s">
        <v>36</v>
      </c>
    </row>
    <row r="154" spans="1:11" x14ac:dyDescent="0.25">
      <c r="A154" s="1">
        <v>44719</v>
      </c>
      <c r="B154" t="s">
        <v>18</v>
      </c>
      <c r="C154" t="s">
        <v>19</v>
      </c>
      <c r="D154" t="s">
        <v>20</v>
      </c>
      <c r="E154" t="s">
        <v>30</v>
      </c>
      <c r="F154" t="s">
        <v>21</v>
      </c>
      <c r="G154" t="s">
        <v>16</v>
      </c>
      <c r="H154">
        <v>4</v>
      </c>
      <c r="I154">
        <v>158.82</v>
      </c>
      <c r="J154">
        <v>635.28</v>
      </c>
      <c r="K154" t="s">
        <v>35</v>
      </c>
    </row>
    <row r="155" spans="1:11" x14ac:dyDescent="0.25">
      <c r="A155" s="1">
        <v>44754</v>
      </c>
      <c r="B155" t="s">
        <v>37</v>
      </c>
      <c r="C155" t="s">
        <v>29</v>
      </c>
      <c r="D155" t="s">
        <v>38</v>
      </c>
      <c r="E155" t="s">
        <v>30</v>
      </c>
      <c r="F155" t="s">
        <v>40</v>
      </c>
      <c r="G155" t="s">
        <v>34</v>
      </c>
      <c r="H155">
        <v>3</v>
      </c>
      <c r="I155">
        <v>218.91</v>
      </c>
      <c r="J155">
        <v>656.73</v>
      </c>
      <c r="K155" t="s">
        <v>36</v>
      </c>
    </row>
    <row r="156" spans="1:11" x14ac:dyDescent="0.25">
      <c r="A156" s="1">
        <v>44769</v>
      </c>
      <c r="B156" t="s">
        <v>41</v>
      </c>
      <c r="C156" t="s">
        <v>29</v>
      </c>
      <c r="D156" t="s">
        <v>42</v>
      </c>
      <c r="E156" t="s">
        <v>26</v>
      </c>
      <c r="F156" t="s">
        <v>15</v>
      </c>
      <c r="G156" t="s">
        <v>33</v>
      </c>
      <c r="H156">
        <v>5</v>
      </c>
      <c r="I156">
        <v>54.88</v>
      </c>
      <c r="J156">
        <v>274.39999999999998</v>
      </c>
      <c r="K156" t="s">
        <v>36</v>
      </c>
    </row>
    <row r="157" spans="1:11" hidden="1" x14ac:dyDescent="0.25">
      <c r="A157" s="1">
        <v>44689</v>
      </c>
      <c r="B157" t="s">
        <v>45</v>
      </c>
      <c r="C157" t="s">
        <v>46</v>
      </c>
      <c r="D157" t="s">
        <v>47</v>
      </c>
      <c r="E157" t="s">
        <v>26</v>
      </c>
      <c r="F157" t="s">
        <v>40</v>
      </c>
      <c r="G157" t="s">
        <v>39</v>
      </c>
      <c r="H157">
        <v>1</v>
      </c>
      <c r="I157">
        <v>75.27</v>
      </c>
      <c r="J157">
        <v>75.27</v>
      </c>
      <c r="K157" t="s">
        <v>17</v>
      </c>
    </row>
    <row r="158" spans="1:11" hidden="1" x14ac:dyDescent="0.25">
      <c r="A158" s="1">
        <v>44724</v>
      </c>
      <c r="B158" t="s">
        <v>48</v>
      </c>
      <c r="C158" t="s">
        <v>49</v>
      </c>
      <c r="D158" t="s">
        <v>50</v>
      </c>
      <c r="E158" t="s">
        <v>30</v>
      </c>
      <c r="F158" t="s">
        <v>15</v>
      </c>
      <c r="G158" t="s">
        <v>43</v>
      </c>
      <c r="H158">
        <v>1</v>
      </c>
      <c r="I158">
        <v>144.04</v>
      </c>
      <c r="J158">
        <v>144.04</v>
      </c>
      <c r="K158" t="s">
        <v>23</v>
      </c>
    </row>
    <row r="159" spans="1:11" x14ac:dyDescent="0.25">
      <c r="A159" s="1">
        <v>44768</v>
      </c>
      <c r="B159" t="s">
        <v>31</v>
      </c>
      <c r="C159" t="s">
        <v>19</v>
      </c>
      <c r="D159" t="s">
        <v>25</v>
      </c>
      <c r="E159" t="s">
        <v>30</v>
      </c>
      <c r="F159" t="s">
        <v>21</v>
      </c>
      <c r="G159" t="s">
        <v>27</v>
      </c>
      <c r="H159">
        <v>4</v>
      </c>
      <c r="I159">
        <v>196.45</v>
      </c>
      <c r="J159">
        <v>785.8</v>
      </c>
      <c r="K159" t="s">
        <v>35</v>
      </c>
    </row>
    <row r="160" spans="1:11" x14ac:dyDescent="0.25">
      <c r="A160" s="1">
        <v>44578</v>
      </c>
      <c r="B160" t="s">
        <v>24</v>
      </c>
      <c r="C160" t="s">
        <v>19</v>
      </c>
      <c r="D160" t="s">
        <v>25</v>
      </c>
      <c r="E160" t="s">
        <v>30</v>
      </c>
      <c r="F160" t="s">
        <v>15</v>
      </c>
      <c r="G160" t="s">
        <v>22</v>
      </c>
      <c r="H160">
        <v>3</v>
      </c>
      <c r="I160">
        <v>213.66</v>
      </c>
      <c r="J160">
        <v>640.98</v>
      </c>
      <c r="K160" t="s">
        <v>17</v>
      </c>
    </row>
    <row r="161" spans="1:11" x14ac:dyDescent="0.25">
      <c r="A161" s="1">
        <v>44789</v>
      </c>
      <c r="B161" t="s">
        <v>18</v>
      </c>
      <c r="C161" t="s">
        <v>19</v>
      </c>
      <c r="D161" t="s">
        <v>20</v>
      </c>
      <c r="E161" t="s">
        <v>30</v>
      </c>
      <c r="F161" t="s">
        <v>21</v>
      </c>
      <c r="G161" t="s">
        <v>34</v>
      </c>
      <c r="H161">
        <v>1</v>
      </c>
      <c r="I161">
        <v>164.57</v>
      </c>
      <c r="J161">
        <v>164.57</v>
      </c>
      <c r="K161" t="s">
        <v>23</v>
      </c>
    </row>
    <row r="162" spans="1:11" x14ac:dyDescent="0.25">
      <c r="A162" s="1">
        <v>44664</v>
      </c>
      <c r="B162" t="s">
        <v>31</v>
      </c>
      <c r="C162" t="s">
        <v>19</v>
      </c>
      <c r="D162" t="s">
        <v>25</v>
      </c>
      <c r="E162" t="s">
        <v>30</v>
      </c>
      <c r="F162" t="s">
        <v>32</v>
      </c>
      <c r="G162" t="s">
        <v>39</v>
      </c>
      <c r="H162">
        <v>4</v>
      </c>
      <c r="I162">
        <v>203.25</v>
      </c>
      <c r="J162">
        <v>813</v>
      </c>
      <c r="K162" t="s">
        <v>36</v>
      </c>
    </row>
    <row r="163" spans="1:11" x14ac:dyDescent="0.25">
      <c r="A163" s="1">
        <v>44694</v>
      </c>
      <c r="B163" t="s">
        <v>37</v>
      </c>
      <c r="C163" t="s">
        <v>29</v>
      </c>
      <c r="D163" t="s">
        <v>38</v>
      </c>
      <c r="E163" t="s">
        <v>26</v>
      </c>
      <c r="F163" t="s">
        <v>40</v>
      </c>
      <c r="G163" t="s">
        <v>34</v>
      </c>
      <c r="H163">
        <v>5</v>
      </c>
      <c r="I163">
        <v>91.11</v>
      </c>
      <c r="J163">
        <v>455.55</v>
      </c>
      <c r="K163" t="s">
        <v>23</v>
      </c>
    </row>
    <row r="164" spans="1:11" x14ac:dyDescent="0.25">
      <c r="A164" s="1">
        <v>44609</v>
      </c>
      <c r="B164" t="s">
        <v>37</v>
      </c>
      <c r="C164" t="s">
        <v>29</v>
      </c>
      <c r="D164" t="s">
        <v>38</v>
      </c>
      <c r="E164" t="s">
        <v>14</v>
      </c>
      <c r="F164" t="s">
        <v>21</v>
      </c>
      <c r="G164" t="s">
        <v>22</v>
      </c>
      <c r="H164">
        <v>3</v>
      </c>
      <c r="I164">
        <v>57.92</v>
      </c>
      <c r="J164">
        <v>173.76</v>
      </c>
      <c r="K164" t="s">
        <v>23</v>
      </c>
    </row>
    <row r="165" spans="1:11" x14ac:dyDescent="0.25">
      <c r="A165" s="1">
        <v>44773</v>
      </c>
      <c r="B165" t="s">
        <v>31</v>
      </c>
      <c r="C165" t="s">
        <v>19</v>
      </c>
      <c r="D165" t="s">
        <v>25</v>
      </c>
      <c r="E165" t="s">
        <v>26</v>
      </c>
      <c r="F165" t="s">
        <v>15</v>
      </c>
      <c r="G165" t="s">
        <v>16</v>
      </c>
      <c r="H165">
        <v>3</v>
      </c>
      <c r="I165">
        <v>209.3</v>
      </c>
      <c r="J165">
        <v>627.9</v>
      </c>
      <c r="K165" t="s">
        <v>36</v>
      </c>
    </row>
    <row r="166" spans="1:11" x14ac:dyDescent="0.25">
      <c r="A166" s="1">
        <v>44798</v>
      </c>
      <c r="B166" t="s">
        <v>44</v>
      </c>
      <c r="C166" t="s">
        <v>19</v>
      </c>
      <c r="D166" t="s">
        <v>20</v>
      </c>
      <c r="E166" t="s">
        <v>14</v>
      </c>
      <c r="F166" t="s">
        <v>32</v>
      </c>
      <c r="G166" t="s">
        <v>27</v>
      </c>
      <c r="H166">
        <v>1</v>
      </c>
      <c r="I166">
        <v>112.26</v>
      </c>
      <c r="J166">
        <v>112.26</v>
      </c>
      <c r="K166" t="s">
        <v>35</v>
      </c>
    </row>
    <row r="167" spans="1:11" x14ac:dyDescent="0.25">
      <c r="A167" s="1">
        <v>44803</v>
      </c>
      <c r="B167" t="s">
        <v>24</v>
      </c>
      <c r="C167" t="s">
        <v>19</v>
      </c>
      <c r="D167" t="s">
        <v>25</v>
      </c>
      <c r="E167" t="s">
        <v>26</v>
      </c>
      <c r="F167" t="s">
        <v>15</v>
      </c>
      <c r="G167" t="s">
        <v>39</v>
      </c>
      <c r="H167">
        <v>2</v>
      </c>
      <c r="I167">
        <v>216.83</v>
      </c>
      <c r="J167">
        <v>433.66</v>
      </c>
      <c r="K167" t="s">
        <v>35</v>
      </c>
    </row>
    <row r="168" spans="1:11" hidden="1" x14ac:dyDescent="0.25">
      <c r="A168" s="1">
        <v>44763</v>
      </c>
      <c r="B168" t="s">
        <v>48</v>
      </c>
      <c r="C168" t="s">
        <v>49</v>
      </c>
      <c r="D168" t="s">
        <v>50</v>
      </c>
      <c r="E168" t="s">
        <v>14</v>
      </c>
      <c r="F168" t="s">
        <v>15</v>
      </c>
      <c r="G168" t="s">
        <v>39</v>
      </c>
      <c r="H168">
        <v>5</v>
      </c>
      <c r="I168">
        <v>68.52</v>
      </c>
      <c r="J168">
        <v>342.6</v>
      </c>
      <c r="K168" t="s">
        <v>35</v>
      </c>
    </row>
    <row r="169" spans="1:11" x14ac:dyDescent="0.25">
      <c r="A169" s="1">
        <v>44775</v>
      </c>
      <c r="B169" t="s">
        <v>41</v>
      </c>
      <c r="C169" t="s">
        <v>29</v>
      </c>
      <c r="D169" t="s">
        <v>42</v>
      </c>
      <c r="E169" t="s">
        <v>30</v>
      </c>
      <c r="F169" t="s">
        <v>32</v>
      </c>
      <c r="G169" t="s">
        <v>39</v>
      </c>
      <c r="H169">
        <v>1</v>
      </c>
      <c r="I169">
        <v>98.04</v>
      </c>
      <c r="J169">
        <v>98.04</v>
      </c>
      <c r="K169" t="s">
        <v>23</v>
      </c>
    </row>
    <row r="170" spans="1:11" x14ac:dyDescent="0.25">
      <c r="A170" s="1">
        <v>44742</v>
      </c>
      <c r="B170" t="s">
        <v>11</v>
      </c>
      <c r="C170" t="s">
        <v>12</v>
      </c>
      <c r="D170" t="s">
        <v>13</v>
      </c>
      <c r="E170" t="s">
        <v>30</v>
      </c>
      <c r="F170" t="s">
        <v>32</v>
      </c>
      <c r="G170" t="s">
        <v>43</v>
      </c>
      <c r="H170">
        <v>5</v>
      </c>
      <c r="I170">
        <v>204.35</v>
      </c>
      <c r="J170">
        <v>1021.75</v>
      </c>
      <c r="K170" t="s">
        <v>36</v>
      </c>
    </row>
    <row r="171" spans="1:11" x14ac:dyDescent="0.25">
      <c r="A171" s="1">
        <v>44661</v>
      </c>
      <c r="B171" t="s">
        <v>24</v>
      </c>
      <c r="C171" t="s">
        <v>19</v>
      </c>
      <c r="D171" t="s">
        <v>25</v>
      </c>
      <c r="E171" t="s">
        <v>26</v>
      </c>
      <c r="F171" t="s">
        <v>21</v>
      </c>
      <c r="G171" t="s">
        <v>27</v>
      </c>
      <c r="H171">
        <v>4</v>
      </c>
      <c r="I171">
        <v>283.7</v>
      </c>
      <c r="J171">
        <v>1134.8</v>
      </c>
      <c r="K171" t="s">
        <v>17</v>
      </c>
    </row>
    <row r="172" spans="1:11" x14ac:dyDescent="0.25">
      <c r="A172" s="1">
        <v>44745</v>
      </c>
      <c r="B172" t="s">
        <v>37</v>
      </c>
      <c r="C172" t="s">
        <v>29</v>
      </c>
      <c r="D172" t="s">
        <v>38</v>
      </c>
      <c r="E172" t="s">
        <v>26</v>
      </c>
      <c r="F172" t="s">
        <v>15</v>
      </c>
      <c r="G172" t="s">
        <v>43</v>
      </c>
      <c r="H172">
        <v>4</v>
      </c>
      <c r="I172">
        <v>172.52</v>
      </c>
      <c r="J172">
        <v>690.08</v>
      </c>
      <c r="K172" t="s">
        <v>35</v>
      </c>
    </row>
    <row r="173" spans="1:11" x14ac:dyDescent="0.25">
      <c r="A173" s="1">
        <v>44618</v>
      </c>
      <c r="B173" t="s">
        <v>31</v>
      </c>
      <c r="C173" t="s">
        <v>19</v>
      </c>
      <c r="D173" t="s">
        <v>25</v>
      </c>
      <c r="E173" t="s">
        <v>30</v>
      </c>
      <c r="F173" t="s">
        <v>15</v>
      </c>
      <c r="G173" t="s">
        <v>22</v>
      </c>
      <c r="H173">
        <v>3</v>
      </c>
      <c r="I173">
        <v>51.81</v>
      </c>
      <c r="J173">
        <v>155.43</v>
      </c>
      <c r="K173" t="s">
        <v>36</v>
      </c>
    </row>
    <row r="174" spans="1:11" x14ac:dyDescent="0.25">
      <c r="A174" s="1">
        <v>44680</v>
      </c>
      <c r="B174" t="s">
        <v>28</v>
      </c>
      <c r="C174" t="s">
        <v>29</v>
      </c>
      <c r="D174" t="s">
        <v>25</v>
      </c>
      <c r="E174" t="s">
        <v>30</v>
      </c>
      <c r="F174" t="s">
        <v>40</v>
      </c>
      <c r="G174" t="s">
        <v>16</v>
      </c>
      <c r="H174">
        <v>5</v>
      </c>
      <c r="I174">
        <v>71.28</v>
      </c>
      <c r="J174">
        <v>356.4</v>
      </c>
      <c r="K174" t="s">
        <v>23</v>
      </c>
    </row>
    <row r="175" spans="1:11" x14ac:dyDescent="0.25">
      <c r="A175" s="1">
        <v>44616</v>
      </c>
      <c r="B175" t="s">
        <v>18</v>
      </c>
      <c r="C175" t="s">
        <v>19</v>
      </c>
      <c r="D175" t="s">
        <v>20</v>
      </c>
      <c r="E175" t="s">
        <v>14</v>
      </c>
      <c r="F175" t="s">
        <v>40</v>
      </c>
      <c r="G175" t="s">
        <v>39</v>
      </c>
      <c r="H175">
        <v>2</v>
      </c>
      <c r="I175">
        <v>248.44</v>
      </c>
      <c r="J175">
        <v>496.88</v>
      </c>
      <c r="K175" t="s">
        <v>23</v>
      </c>
    </row>
    <row r="176" spans="1:11" x14ac:dyDescent="0.25">
      <c r="A176" s="1">
        <v>44745</v>
      </c>
      <c r="B176" t="s">
        <v>18</v>
      </c>
      <c r="C176" t="s">
        <v>19</v>
      </c>
      <c r="D176" t="s">
        <v>20</v>
      </c>
      <c r="E176" t="s">
        <v>26</v>
      </c>
      <c r="F176" t="s">
        <v>40</v>
      </c>
      <c r="G176" t="s">
        <v>43</v>
      </c>
      <c r="H176">
        <v>2</v>
      </c>
      <c r="I176">
        <v>107.04</v>
      </c>
      <c r="J176">
        <v>214.08</v>
      </c>
      <c r="K176" t="s">
        <v>17</v>
      </c>
    </row>
    <row r="177" spans="1:11" hidden="1" x14ac:dyDescent="0.25">
      <c r="A177" s="1">
        <v>44803</v>
      </c>
      <c r="B177" t="s">
        <v>48</v>
      </c>
      <c r="C177" t="s">
        <v>49</v>
      </c>
      <c r="D177" t="s">
        <v>50</v>
      </c>
      <c r="E177" t="s">
        <v>26</v>
      </c>
      <c r="F177" t="s">
        <v>40</v>
      </c>
      <c r="G177" t="s">
        <v>33</v>
      </c>
      <c r="H177">
        <v>1</v>
      </c>
      <c r="I177">
        <v>132.07</v>
      </c>
      <c r="J177">
        <v>132.07</v>
      </c>
      <c r="K177" t="s">
        <v>36</v>
      </c>
    </row>
    <row r="178" spans="1:11" x14ac:dyDescent="0.25">
      <c r="A178" s="1">
        <v>44751</v>
      </c>
      <c r="B178" t="s">
        <v>24</v>
      </c>
      <c r="C178" t="s">
        <v>19</v>
      </c>
      <c r="D178" t="s">
        <v>25</v>
      </c>
      <c r="E178" t="s">
        <v>30</v>
      </c>
      <c r="F178" t="s">
        <v>32</v>
      </c>
      <c r="G178" t="s">
        <v>16</v>
      </c>
      <c r="H178">
        <v>3</v>
      </c>
      <c r="I178">
        <v>118.37</v>
      </c>
      <c r="J178">
        <v>355.11</v>
      </c>
      <c r="K178" t="s">
        <v>17</v>
      </c>
    </row>
    <row r="179" spans="1:11" x14ac:dyDescent="0.25">
      <c r="A179" s="1">
        <v>44669</v>
      </c>
      <c r="B179" t="s">
        <v>28</v>
      </c>
      <c r="C179" t="s">
        <v>29</v>
      </c>
      <c r="D179" t="s">
        <v>25</v>
      </c>
      <c r="E179" t="s">
        <v>26</v>
      </c>
      <c r="F179" t="s">
        <v>21</v>
      </c>
      <c r="G179" t="s">
        <v>27</v>
      </c>
      <c r="H179">
        <v>5</v>
      </c>
      <c r="I179">
        <v>243.74</v>
      </c>
      <c r="J179">
        <v>1218.7</v>
      </c>
      <c r="K179" t="s">
        <v>36</v>
      </c>
    </row>
    <row r="180" spans="1:11" x14ac:dyDescent="0.25">
      <c r="A180" s="1">
        <v>44577</v>
      </c>
      <c r="B180" t="s">
        <v>24</v>
      </c>
      <c r="C180" t="s">
        <v>19</v>
      </c>
      <c r="D180" t="s">
        <v>25</v>
      </c>
      <c r="E180" t="s">
        <v>14</v>
      </c>
      <c r="F180" t="s">
        <v>15</v>
      </c>
      <c r="G180" t="s">
        <v>16</v>
      </c>
      <c r="H180">
        <v>5</v>
      </c>
      <c r="I180">
        <v>150.02000000000001</v>
      </c>
      <c r="J180">
        <v>750.1</v>
      </c>
      <c r="K180" t="s">
        <v>23</v>
      </c>
    </row>
    <row r="181" spans="1:11" x14ac:dyDescent="0.25">
      <c r="A181" s="1">
        <v>44653</v>
      </c>
      <c r="B181" t="s">
        <v>28</v>
      </c>
      <c r="C181" t="s">
        <v>29</v>
      </c>
      <c r="D181" t="s">
        <v>25</v>
      </c>
      <c r="E181" t="s">
        <v>26</v>
      </c>
      <c r="F181" t="s">
        <v>21</v>
      </c>
      <c r="G181" t="s">
        <v>33</v>
      </c>
      <c r="H181">
        <v>3</v>
      </c>
      <c r="I181">
        <v>73.31</v>
      </c>
      <c r="J181">
        <v>219.93</v>
      </c>
      <c r="K181" t="s">
        <v>36</v>
      </c>
    </row>
    <row r="182" spans="1:11" hidden="1" x14ac:dyDescent="0.25">
      <c r="A182" s="1">
        <v>44798</v>
      </c>
      <c r="B182" t="s">
        <v>48</v>
      </c>
      <c r="C182" t="s">
        <v>49</v>
      </c>
      <c r="D182" t="s">
        <v>50</v>
      </c>
      <c r="E182" t="s">
        <v>30</v>
      </c>
      <c r="F182" t="s">
        <v>32</v>
      </c>
      <c r="G182" t="s">
        <v>33</v>
      </c>
      <c r="H182">
        <v>2</v>
      </c>
      <c r="I182">
        <v>176.24</v>
      </c>
      <c r="J182">
        <v>352.48</v>
      </c>
      <c r="K182" t="s">
        <v>23</v>
      </c>
    </row>
    <row r="183" spans="1:11" x14ac:dyDescent="0.25">
      <c r="A183" s="1">
        <v>44708</v>
      </c>
      <c r="B183" t="s">
        <v>44</v>
      </c>
      <c r="C183" t="s">
        <v>19</v>
      </c>
      <c r="D183" t="s">
        <v>20</v>
      </c>
      <c r="E183" t="s">
        <v>26</v>
      </c>
      <c r="F183" t="s">
        <v>40</v>
      </c>
      <c r="G183" t="s">
        <v>34</v>
      </c>
      <c r="H183">
        <v>5</v>
      </c>
      <c r="I183">
        <v>135.5</v>
      </c>
      <c r="J183">
        <v>677.5</v>
      </c>
      <c r="K183" t="s">
        <v>35</v>
      </c>
    </row>
    <row r="184" spans="1:11" x14ac:dyDescent="0.25">
      <c r="A184" s="1">
        <v>44791</v>
      </c>
      <c r="B184" t="s">
        <v>11</v>
      </c>
      <c r="C184" t="s">
        <v>12</v>
      </c>
      <c r="D184" t="s">
        <v>13</v>
      </c>
      <c r="E184" t="s">
        <v>30</v>
      </c>
      <c r="F184" t="s">
        <v>40</v>
      </c>
      <c r="G184" t="s">
        <v>39</v>
      </c>
      <c r="H184">
        <v>4</v>
      </c>
      <c r="I184">
        <v>250.12</v>
      </c>
      <c r="J184">
        <v>1000.48</v>
      </c>
      <c r="K184" t="s">
        <v>17</v>
      </c>
    </row>
    <row r="185" spans="1:11" x14ac:dyDescent="0.25">
      <c r="A185" s="1">
        <v>44745</v>
      </c>
      <c r="B185" t="s">
        <v>18</v>
      </c>
      <c r="C185" t="s">
        <v>19</v>
      </c>
      <c r="D185" t="s">
        <v>20</v>
      </c>
      <c r="E185" t="s">
        <v>26</v>
      </c>
      <c r="F185" t="s">
        <v>32</v>
      </c>
      <c r="G185" t="s">
        <v>33</v>
      </c>
      <c r="H185">
        <v>4</v>
      </c>
      <c r="I185">
        <v>145.88999999999999</v>
      </c>
      <c r="J185">
        <v>583.55999999999995</v>
      </c>
      <c r="K185" t="s">
        <v>17</v>
      </c>
    </row>
    <row r="186" spans="1:11" x14ac:dyDescent="0.25">
      <c r="A186" s="1">
        <v>44688</v>
      </c>
      <c r="B186" t="s">
        <v>28</v>
      </c>
      <c r="C186" t="s">
        <v>29</v>
      </c>
      <c r="D186" t="s">
        <v>25</v>
      </c>
      <c r="E186" t="s">
        <v>14</v>
      </c>
      <c r="F186" t="s">
        <v>32</v>
      </c>
      <c r="G186" t="s">
        <v>22</v>
      </c>
      <c r="H186">
        <v>4</v>
      </c>
      <c r="I186">
        <v>281.54000000000002</v>
      </c>
      <c r="J186">
        <v>1126.1600000000001</v>
      </c>
      <c r="K186" t="s">
        <v>36</v>
      </c>
    </row>
    <row r="187" spans="1:11" x14ac:dyDescent="0.25">
      <c r="A187" s="1">
        <v>44737</v>
      </c>
      <c r="B187" t="s">
        <v>31</v>
      </c>
      <c r="C187" t="s">
        <v>19</v>
      </c>
      <c r="D187" t="s">
        <v>25</v>
      </c>
      <c r="E187" t="s">
        <v>14</v>
      </c>
      <c r="F187" t="s">
        <v>32</v>
      </c>
      <c r="G187" t="s">
        <v>33</v>
      </c>
      <c r="H187">
        <v>4</v>
      </c>
      <c r="I187">
        <v>121.42</v>
      </c>
      <c r="J187">
        <v>485.68</v>
      </c>
      <c r="K187" t="s">
        <v>17</v>
      </c>
    </row>
    <row r="188" spans="1:11" x14ac:dyDescent="0.25">
      <c r="A188" s="1">
        <v>44715</v>
      </c>
      <c r="B188" t="s">
        <v>31</v>
      </c>
      <c r="C188" t="s">
        <v>19</v>
      </c>
      <c r="D188" t="s">
        <v>25</v>
      </c>
      <c r="E188" t="s">
        <v>26</v>
      </c>
      <c r="F188" t="s">
        <v>21</v>
      </c>
      <c r="G188" t="s">
        <v>43</v>
      </c>
      <c r="H188">
        <v>4</v>
      </c>
      <c r="I188">
        <v>265.91000000000003</v>
      </c>
      <c r="J188">
        <v>1063.6400000000001</v>
      </c>
      <c r="K188" t="s">
        <v>35</v>
      </c>
    </row>
    <row r="189" spans="1:11" x14ac:dyDescent="0.25">
      <c r="A189" s="1">
        <v>44586</v>
      </c>
      <c r="B189" t="s">
        <v>11</v>
      </c>
      <c r="C189" t="s">
        <v>12</v>
      </c>
      <c r="D189" t="s">
        <v>13</v>
      </c>
      <c r="E189" t="s">
        <v>26</v>
      </c>
      <c r="F189" t="s">
        <v>15</v>
      </c>
      <c r="G189" t="s">
        <v>27</v>
      </c>
      <c r="H189">
        <v>1</v>
      </c>
      <c r="I189">
        <v>240.42</v>
      </c>
      <c r="J189">
        <v>240.42</v>
      </c>
      <c r="K189" t="s">
        <v>17</v>
      </c>
    </row>
    <row r="190" spans="1:11" x14ac:dyDescent="0.25">
      <c r="A190" s="1">
        <v>44569</v>
      </c>
      <c r="B190" t="s">
        <v>44</v>
      </c>
      <c r="C190" t="s">
        <v>19</v>
      </c>
      <c r="D190" t="s">
        <v>20</v>
      </c>
      <c r="E190" t="s">
        <v>26</v>
      </c>
      <c r="F190" t="s">
        <v>40</v>
      </c>
      <c r="G190" t="s">
        <v>22</v>
      </c>
      <c r="H190">
        <v>5</v>
      </c>
      <c r="I190">
        <v>275.27</v>
      </c>
      <c r="J190">
        <v>1376.35</v>
      </c>
      <c r="K190" t="s">
        <v>17</v>
      </c>
    </row>
    <row r="191" spans="1:11" x14ac:dyDescent="0.25">
      <c r="A191" s="1">
        <v>44782</v>
      </c>
      <c r="B191" t="s">
        <v>41</v>
      </c>
      <c r="C191" t="s">
        <v>29</v>
      </c>
      <c r="D191" t="s">
        <v>42</v>
      </c>
      <c r="E191" t="s">
        <v>26</v>
      </c>
      <c r="F191" t="s">
        <v>21</v>
      </c>
      <c r="G191" t="s">
        <v>43</v>
      </c>
      <c r="H191">
        <v>3</v>
      </c>
      <c r="I191">
        <v>154.79</v>
      </c>
      <c r="J191">
        <v>464.37</v>
      </c>
      <c r="K191" t="s">
        <v>17</v>
      </c>
    </row>
    <row r="192" spans="1:11" x14ac:dyDescent="0.25">
      <c r="A192" s="1">
        <v>44786</v>
      </c>
      <c r="B192" t="s">
        <v>41</v>
      </c>
      <c r="C192" t="s">
        <v>29</v>
      </c>
      <c r="D192" t="s">
        <v>42</v>
      </c>
      <c r="E192" t="s">
        <v>14</v>
      </c>
      <c r="F192" t="s">
        <v>40</v>
      </c>
      <c r="G192" t="s">
        <v>43</v>
      </c>
      <c r="H192">
        <v>5</v>
      </c>
      <c r="I192">
        <v>139</v>
      </c>
      <c r="J192">
        <v>695</v>
      </c>
      <c r="K192" t="s">
        <v>35</v>
      </c>
    </row>
    <row r="193" spans="1:11" x14ac:dyDescent="0.25">
      <c r="A193" s="1">
        <v>44733</v>
      </c>
      <c r="B193" t="s">
        <v>28</v>
      </c>
      <c r="C193" t="s">
        <v>29</v>
      </c>
      <c r="D193" t="s">
        <v>25</v>
      </c>
      <c r="E193" t="s">
        <v>14</v>
      </c>
      <c r="F193" t="s">
        <v>21</v>
      </c>
      <c r="G193" t="s">
        <v>33</v>
      </c>
      <c r="H193">
        <v>3</v>
      </c>
      <c r="I193">
        <v>79.27</v>
      </c>
      <c r="J193">
        <v>237.81</v>
      </c>
      <c r="K193" t="s">
        <v>17</v>
      </c>
    </row>
    <row r="194" spans="1:11" x14ac:dyDescent="0.25">
      <c r="A194" s="1">
        <v>44796</v>
      </c>
      <c r="B194" t="s">
        <v>37</v>
      </c>
      <c r="C194" t="s">
        <v>29</v>
      </c>
      <c r="D194" t="s">
        <v>38</v>
      </c>
      <c r="E194" t="s">
        <v>30</v>
      </c>
      <c r="F194" t="s">
        <v>32</v>
      </c>
      <c r="G194" t="s">
        <v>39</v>
      </c>
      <c r="H194">
        <v>2</v>
      </c>
      <c r="I194">
        <v>237.1</v>
      </c>
      <c r="J194">
        <v>474.2</v>
      </c>
      <c r="K194" t="s">
        <v>23</v>
      </c>
    </row>
    <row r="195" spans="1:11" x14ac:dyDescent="0.25">
      <c r="A195" s="1">
        <v>44590</v>
      </c>
      <c r="B195" t="s">
        <v>37</v>
      </c>
      <c r="C195" t="s">
        <v>29</v>
      </c>
      <c r="D195" t="s">
        <v>38</v>
      </c>
      <c r="E195" t="s">
        <v>30</v>
      </c>
      <c r="F195" t="s">
        <v>32</v>
      </c>
      <c r="G195" t="s">
        <v>34</v>
      </c>
      <c r="H195">
        <v>4</v>
      </c>
      <c r="I195">
        <v>228.46</v>
      </c>
      <c r="J195">
        <v>913.84</v>
      </c>
      <c r="K195" t="s">
        <v>23</v>
      </c>
    </row>
    <row r="196" spans="1:11" x14ac:dyDescent="0.25">
      <c r="A196" s="1">
        <v>44724</v>
      </c>
      <c r="B196" t="s">
        <v>41</v>
      </c>
      <c r="C196" t="s">
        <v>29</v>
      </c>
      <c r="D196" t="s">
        <v>42</v>
      </c>
      <c r="E196" t="s">
        <v>30</v>
      </c>
      <c r="F196" t="s">
        <v>40</v>
      </c>
      <c r="G196" t="s">
        <v>39</v>
      </c>
      <c r="H196">
        <v>4</v>
      </c>
      <c r="I196">
        <v>52.42</v>
      </c>
      <c r="J196">
        <v>209.68</v>
      </c>
      <c r="K196" t="s">
        <v>36</v>
      </c>
    </row>
    <row r="197" spans="1:11" x14ac:dyDescent="0.25">
      <c r="A197" s="1">
        <v>44799</v>
      </c>
      <c r="B197" t="s">
        <v>24</v>
      </c>
      <c r="C197" t="s">
        <v>19</v>
      </c>
      <c r="D197" t="s">
        <v>25</v>
      </c>
      <c r="E197" t="s">
        <v>30</v>
      </c>
      <c r="F197" t="s">
        <v>15</v>
      </c>
      <c r="G197" t="s">
        <v>16</v>
      </c>
      <c r="H197">
        <v>3</v>
      </c>
      <c r="I197">
        <v>270.52</v>
      </c>
      <c r="J197">
        <v>811.56</v>
      </c>
      <c r="K197" t="s">
        <v>35</v>
      </c>
    </row>
    <row r="198" spans="1:11" x14ac:dyDescent="0.25">
      <c r="A198" s="1">
        <v>44569</v>
      </c>
      <c r="B198" t="s">
        <v>31</v>
      </c>
      <c r="C198" t="s">
        <v>19</v>
      </c>
      <c r="D198" t="s">
        <v>25</v>
      </c>
      <c r="E198" t="s">
        <v>14</v>
      </c>
      <c r="F198" t="s">
        <v>15</v>
      </c>
      <c r="G198" t="s">
        <v>34</v>
      </c>
      <c r="H198">
        <v>4</v>
      </c>
      <c r="I198">
        <v>119.36</v>
      </c>
      <c r="J198">
        <v>477.44</v>
      </c>
      <c r="K198" t="s">
        <v>23</v>
      </c>
    </row>
    <row r="199" spans="1:11" hidden="1" x14ac:dyDescent="0.25">
      <c r="A199" s="1">
        <v>44584</v>
      </c>
      <c r="B199" t="s">
        <v>45</v>
      </c>
      <c r="C199" t="s">
        <v>46</v>
      </c>
      <c r="D199" t="s">
        <v>47</v>
      </c>
      <c r="E199" t="s">
        <v>26</v>
      </c>
      <c r="F199" t="s">
        <v>15</v>
      </c>
      <c r="G199" t="s">
        <v>34</v>
      </c>
      <c r="H199">
        <v>3</v>
      </c>
      <c r="I199">
        <v>125.26</v>
      </c>
      <c r="J199">
        <v>375.78</v>
      </c>
      <c r="K199" t="s">
        <v>36</v>
      </c>
    </row>
    <row r="200" spans="1:11" x14ac:dyDescent="0.25">
      <c r="A200" s="1">
        <v>44714</v>
      </c>
      <c r="B200" t="s">
        <v>37</v>
      </c>
      <c r="C200" t="s">
        <v>29</v>
      </c>
      <c r="D200" t="s">
        <v>38</v>
      </c>
      <c r="E200" t="s">
        <v>26</v>
      </c>
      <c r="F200" t="s">
        <v>32</v>
      </c>
      <c r="G200" t="s">
        <v>39</v>
      </c>
      <c r="H200">
        <v>3</v>
      </c>
      <c r="I200">
        <v>296.55</v>
      </c>
      <c r="J200">
        <v>889.65</v>
      </c>
      <c r="K200" t="s">
        <v>17</v>
      </c>
    </row>
    <row r="201" spans="1:11" hidden="1" x14ac:dyDescent="0.25">
      <c r="A201" s="1">
        <v>44725</v>
      </c>
      <c r="B201" t="s">
        <v>48</v>
      </c>
      <c r="C201" t="s">
        <v>49</v>
      </c>
      <c r="D201" t="s">
        <v>50</v>
      </c>
      <c r="E201" t="s">
        <v>26</v>
      </c>
      <c r="F201" t="s">
        <v>32</v>
      </c>
      <c r="G201" t="s">
        <v>34</v>
      </c>
      <c r="H201">
        <v>1</v>
      </c>
      <c r="I201">
        <v>56.73</v>
      </c>
      <c r="J201">
        <v>56.73</v>
      </c>
      <c r="K201" t="s">
        <v>36</v>
      </c>
    </row>
    <row r="202" spans="1:11" x14ac:dyDescent="0.25">
      <c r="A202" s="1">
        <v>44579</v>
      </c>
      <c r="B202" t="s">
        <v>41</v>
      </c>
      <c r="C202" t="s">
        <v>29</v>
      </c>
      <c r="D202" t="s">
        <v>42</v>
      </c>
      <c r="E202" t="s">
        <v>14</v>
      </c>
      <c r="F202" t="s">
        <v>32</v>
      </c>
      <c r="G202" t="s">
        <v>34</v>
      </c>
      <c r="H202">
        <v>1</v>
      </c>
      <c r="I202">
        <v>91.56</v>
      </c>
      <c r="J202">
        <v>91.56</v>
      </c>
      <c r="K202" t="s">
        <v>35</v>
      </c>
    </row>
    <row r="203" spans="1:11" hidden="1" x14ac:dyDescent="0.25">
      <c r="A203" s="1">
        <v>44662</v>
      </c>
      <c r="B203" t="s">
        <v>45</v>
      </c>
      <c r="C203" t="s">
        <v>46</v>
      </c>
      <c r="D203" t="s">
        <v>47</v>
      </c>
      <c r="E203" t="s">
        <v>26</v>
      </c>
      <c r="F203" t="s">
        <v>21</v>
      </c>
      <c r="G203" t="s">
        <v>22</v>
      </c>
      <c r="H203">
        <v>2</v>
      </c>
      <c r="I203">
        <v>152.54</v>
      </c>
      <c r="J203">
        <v>305.08</v>
      </c>
      <c r="K203" t="s">
        <v>17</v>
      </c>
    </row>
    <row r="204" spans="1:11" hidden="1" x14ac:dyDescent="0.25">
      <c r="A204" s="1">
        <v>44746</v>
      </c>
      <c r="B204" t="s">
        <v>45</v>
      </c>
      <c r="C204" t="s">
        <v>46</v>
      </c>
      <c r="D204" t="s">
        <v>47</v>
      </c>
      <c r="E204" t="s">
        <v>26</v>
      </c>
      <c r="F204" t="s">
        <v>32</v>
      </c>
      <c r="G204" t="s">
        <v>33</v>
      </c>
      <c r="H204">
        <v>4</v>
      </c>
      <c r="I204">
        <v>61.37</v>
      </c>
      <c r="J204">
        <v>245.48</v>
      </c>
      <c r="K204" t="s">
        <v>23</v>
      </c>
    </row>
    <row r="205" spans="1:11" x14ac:dyDescent="0.25">
      <c r="A205" s="1">
        <v>44627</v>
      </c>
      <c r="B205" t="s">
        <v>37</v>
      </c>
      <c r="C205" t="s">
        <v>29</v>
      </c>
      <c r="D205" t="s">
        <v>38</v>
      </c>
      <c r="E205" t="s">
        <v>30</v>
      </c>
      <c r="F205" t="s">
        <v>21</v>
      </c>
      <c r="G205" t="s">
        <v>16</v>
      </c>
      <c r="H205">
        <v>3</v>
      </c>
      <c r="I205">
        <v>162.36000000000001</v>
      </c>
      <c r="J205">
        <v>487.08</v>
      </c>
      <c r="K205" t="s">
        <v>36</v>
      </c>
    </row>
    <row r="206" spans="1:11" x14ac:dyDescent="0.25">
      <c r="A206" s="1">
        <v>44741</v>
      </c>
      <c r="B206" t="s">
        <v>41</v>
      </c>
      <c r="C206" t="s">
        <v>29</v>
      </c>
      <c r="D206" t="s">
        <v>42</v>
      </c>
      <c r="E206" t="s">
        <v>30</v>
      </c>
      <c r="F206" t="s">
        <v>21</v>
      </c>
      <c r="G206" t="s">
        <v>22</v>
      </c>
      <c r="H206">
        <v>2</v>
      </c>
      <c r="I206">
        <v>257.5</v>
      </c>
      <c r="J206">
        <v>515</v>
      </c>
      <c r="K206" t="s">
        <v>35</v>
      </c>
    </row>
    <row r="207" spans="1:11" x14ac:dyDescent="0.25">
      <c r="A207" s="1">
        <v>44702</v>
      </c>
      <c r="B207" t="s">
        <v>24</v>
      </c>
      <c r="C207" t="s">
        <v>19</v>
      </c>
      <c r="D207" t="s">
        <v>25</v>
      </c>
      <c r="E207" t="s">
        <v>26</v>
      </c>
      <c r="F207" t="s">
        <v>32</v>
      </c>
      <c r="G207" t="s">
        <v>27</v>
      </c>
      <c r="H207">
        <v>4</v>
      </c>
      <c r="I207">
        <v>202.28</v>
      </c>
      <c r="J207">
        <v>809.12</v>
      </c>
      <c r="K207" t="s">
        <v>17</v>
      </c>
    </row>
    <row r="208" spans="1:11" hidden="1" x14ac:dyDescent="0.25">
      <c r="A208" s="1">
        <v>44749</v>
      </c>
      <c r="B208" t="s">
        <v>45</v>
      </c>
      <c r="C208" t="s">
        <v>46</v>
      </c>
      <c r="D208" t="s">
        <v>47</v>
      </c>
      <c r="E208" t="s">
        <v>14</v>
      </c>
      <c r="F208" t="s">
        <v>32</v>
      </c>
      <c r="G208" t="s">
        <v>43</v>
      </c>
      <c r="H208">
        <v>1</v>
      </c>
      <c r="I208">
        <v>224.83</v>
      </c>
      <c r="J208">
        <v>224.83</v>
      </c>
      <c r="K208" t="s">
        <v>23</v>
      </c>
    </row>
    <row r="209" spans="1:11" hidden="1" x14ac:dyDescent="0.25">
      <c r="A209" s="1">
        <v>44653</v>
      </c>
      <c r="B209" t="s">
        <v>48</v>
      </c>
      <c r="C209" t="s">
        <v>49</v>
      </c>
      <c r="D209" t="s">
        <v>50</v>
      </c>
      <c r="E209" t="s">
        <v>30</v>
      </c>
      <c r="F209" t="s">
        <v>21</v>
      </c>
      <c r="G209" t="s">
        <v>39</v>
      </c>
      <c r="H209">
        <v>3</v>
      </c>
      <c r="I209">
        <v>256.27</v>
      </c>
      <c r="J209">
        <v>768.81</v>
      </c>
      <c r="K209" t="s">
        <v>23</v>
      </c>
    </row>
    <row r="210" spans="1:11" x14ac:dyDescent="0.25">
      <c r="A210" s="1">
        <v>44646</v>
      </c>
      <c r="B210" t="s">
        <v>18</v>
      </c>
      <c r="C210" t="s">
        <v>19</v>
      </c>
      <c r="D210" t="s">
        <v>20</v>
      </c>
      <c r="E210" t="s">
        <v>26</v>
      </c>
      <c r="F210" t="s">
        <v>15</v>
      </c>
      <c r="G210" t="s">
        <v>34</v>
      </c>
      <c r="H210">
        <v>2</v>
      </c>
      <c r="I210">
        <v>277.26</v>
      </c>
      <c r="J210">
        <v>554.52</v>
      </c>
      <c r="K210" t="s">
        <v>35</v>
      </c>
    </row>
    <row r="211" spans="1:11" hidden="1" x14ac:dyDescent="0.25">
      <c r="A211" s="1">
        <v>44746</v>
      </c>
      <c r="B211" t="s">
        <v>48</v>
      </c>
      <c r="C211" t="s">
        <v>49</v>
      </c>
      <c r="D211" t="s">
        <v>50</v>
      </c>
      <c r="E211" t="s">
        <v>14</v>
      </c>
      <c r="F211" t="s">
        <v>21</v>
      </c>
      <c r="G211" t="s">
        <v>39</v>
      </c>
      <c r="H211">
        <v>3</v>
      </c>
      <c r="I211">
        <v>271.19</v>
      </c>
      <c r="J211">
        <v>813.57</v>
      </c>
      <c r="K211" t="s">
        <v>23</v>
      </c>
    </row>
    <row r="212" spans="1:11" x14ac:dyDescent="0.25">
      <c r="A212" s="1">
        <v>44573</v>
      </c>
      <c r="B212" t="s">
        <v>37</v>
      </c>
      <c r="C212" t="s">
        <v>29</v>
      </c>
      <c r="D212" t="s">
        <v>38</v>
      </c>
      <c r="E212" t="s">
        <v>30</v>
      </c>
      <c r="F212" t="s">
        <v>21</v>
      </c>
      <c r="G212" t="s">
        <v>39</v>
      </c>
      <c r="H212">
        <v>3</v>
      </c>
      <c r="I212">
        <v>205.62</v>
      </c>
      <c r="J212">
        <v>616.86</v>
      </c>
      <c r="K212" t="s">
        <v>36</v>
      </c>
    </row>
    <row r="213" spans="1:11" x14ac:dyDescent="0.25">
      <c r="A213" s="1">
        <v>44774</v>
      </c>
      <c r="B213" t="s">
        <v>31</v>
      </c>
      <c r="C213" t="s">
        <v>19</v>
      </c>
      <c r="D213" t="s">
        <v>25</v>
      </c>
      <c r="E213" t="s">
        <v>30</v>
      </c>
      <c r="F213" t="s">
        <v>21</v>
      </c>
      <c r="G213" t="s">
        <v>22</v>
      </c>
      <c r="H213">
        <v>4</v>
      </c>
      <c r="I213">
        <v>130.97</v>
      </c>
      <c r="J213">
        <v>523.88</v>
      </c>
      <c r="K213" t="s">
        <v>17</v>
      </c>
    </row>
    <row r="214" spans="1:11" x14ac:dyDescent="0.25">
      <c r="A214" s="1">
        <v>44646</v>
      </c>
      <c r="B214" t="s">
        <v>11</v>
      </c>
      <c r="C214" t="s">
        <v>12</v>
      </c>
      <c r="D214" t="s">
        <v>13</v>
      </c>
      <c r="E214" t="s">
        <v>30</v>
      </c>
      <c r="F214" t="s">
        <v>21</v>
      </c>
      <c r="G214" t="s">
        <v>39</v>
      </c>
      <c r="H214">
        <v>5</v>
      </c>
      <c r="I214">
        <v>267.70999999999998</v>
      </c>
      <c r="J214">
        <v>1338.55</v>
      </c>
      <c r="K214" t="s">
        <v>23</v>
      </c>
    </row>
    <row r="215" spans="1:11" x14ac:dyDescent="0.25">
      <c r="A215" s="1">
        <v>44565</v>
      </c>
      <c r="B215" t="s">
        <v>24</v>
      </c>
      <c r="C215" t="s">
        <v>19</v>
      </c>
      <c r="D215" t="s">
        <v>25</v>
      </c>
      <c r="E215" t="s">
        <v>30</v>
      </c>
      <c r="F215" t="s">
        <v>40</v>
      </c>
      <c r="G215" t="s">
        <v>22</v>
      </c>
      <c r="H215">
        <v>4</v>
      </c>
      <c r="I215">
        <v>151.37</v>
      </c>
      <c r="J215">
        <v>605.48</v>
      </c>
      <c r="K215" t="s">
        <v>35</v>
      </c>
    </row>
    <row r="216" spans="1:11" x14ac:dyDescent="0.25">
      <c r="A216" s="1">
        <v>44627</v>
      </c>
      <c r="B216" t="s">
        <v>37</v>
      </c>
      <c r="C216" t="s">
        <v>29</v>
      </c>
      <c r="D216" t="s">
        <v>38</v>
      </c>
      <c r="E216" t="s">
        <v>30</v>
      </c>
      <c r="F216" t="s">
        <v>40</v>
      </c>
      <c r="G216" t="s">
        <v>39</v>
      </c>
      <c r="H216">
        <v>5</v>
      </c>
      <c r="I216">
        <v>89.84</v>
      </c>
      <c r="J216">
        <v>449.2</v>
      </c>
      <c r="K216" t="s">
        <v>36</v>
      </c>
    </row>
    <row r="217" spans="1:11" hidden="1" x14ac:dyDescent="0.25">
      <c r="A217" s="1">
        <v>44676</v>
      </c>
      <c r="B217" t="s">
        <v>48</v>
      </c>
      <c r="C217" t="s">
        <v>49</v>
      </c>
      <c r="D217" t="s">
        <v>50</v>
      </c>
      <c r="E217" t="s">
        <v>30</v>
      </c>
      <c r="F217" t="s">
        <v>21</v>
      </c>
      <c r="G217" t="s">
        <v>39</v>
      </c>
      <c r="H217">
        <v>1</v>
      </c>
      <c r="I217">
        <v>276.64</v>
      </c>
      <c r="J217">
        <v>276.64</v>
      </c>
      <c r="K217" t="s">
        <v>17</v>
      </c>
    </row>
    <row r="218" spans="1:11" hidden="1" x14ac:dyDescent="0.25">
      <c r="A218" s="1">
        <v>44635</v>
      </c>
      <c r="B218" t="s">
        <v>48</v>
      </c>
      <c r="C218" t="s">
        <v>49</v>
      </c>
      <c r="D218" t="s">
        <v>50</v>
      </c>
      <c r="E218" t="s">
        <v>14</v>
      </c>
      <c r="F218" t="s">
        <v>15</v>
      </c>
      <c r="G218" t="s">
        <v>43</v>
      </c>
      <c r="H218">
        <v>3</v>
      </c>
      <c r="I218">
        <v>203.41</v>
      </c>
      <c r="J218">
        <v>610.23</v>
      </c>
      <c r="K218" t="s">
        <v>17</v>
      </c>
    </row>
    <row r="219" spans="1:11" x14ac:dyDescent="0.25">
      <c r="A219" s="1">
        <v>44783</v>
      </c>
      <c r="B219" t="s">
        <v>28</v>
      </c>
      <c r="C219" t="s">
        <v>29</v>
      </c>
      <c r="D219" t="s">
        <v>25</v>
      </c>
      <c r="E219" t="s">
        <v>30</v>
      </c>
      <c r="F219" t="s">
        <v>15</v>
      </c>
      <c r="G219" t="s">
        <v>34</v>
      </c>
      <c r="H219">
        <v>2</v>
      </c>
      <c r="I219">
        <v>195.85</v>
      </c>
      <c r="J219">
        <v>391.7</v>
      </c>
      <c r="K219" t="s">
        <v>36</v>
      </c>
    </row>
    <row r="220" spans="1:11" hidden="1" x14ac:dyDescent="0.25">
      <c r="A220" s="1">
        <v>44777</v>
      </c>
      <c r="B220" t="s">
        <v>48</v>
      </c>
      <c r="C220" t="s">
        <v>49</v>
      </c>
      <c r="D220" t="s">
        <v>50</v>
      </c>
      <c r="E220" t="s">
        <v>30</v>
      </c>
      <c r="F220" t="s">
        <v>40</v>
      </c>
      <c r="G220" t="s">
        <v>33</v>
      </c>
      <c r="H220">
        <v>2</v>
      </c>
      <c r="I220">
        <v>288.87</v>
      </c>
      <c r="J220">
        <v>577.74</v>
      </c>
      <c r="K220" t="s">
        <v>35</v>
      </c>
    </row>
    <row r="221" spans="1:11" x14ac:dyDescent="0.25">
      <c r="A221" s="1">
        <v>44692</v>
      </c>
      <c r="B221" t="s">
        <v>28</v>
      </c>
      <c r="C221" t="s">
        <v>29</v>
      </c>
      <c r="D221" t="s">
        <v>25</v>
      </c>
      <c r="E221" t="s">
        <v>30</v>
      </c>
      <c r="F221" t="s">
        <v>40</v>
      </c>
      <c r="G221" t="s">
        <v>33</v>
      </c>
      <c r="H221">
        <v>1</v>
      </c>
      <c r="I221">
        <v>65.45</v>
      </c>
      <c r="J221">
        <v>65.45</v>
      </c>
      <c r="K221" t="s">
        <v>23</v>
      </c>
    </row>
    <row r="222" spans="1:11" x14ac:dyDescent="0.25">
      <c r="A222" s="1">
        <v>44562</v>
      </c>
      <c r="B222" t="s">
        <v>18</v>
      </c>
      <c r="C222" t="s">
        <v>19</v>
      </c>
      <c r="D222" t="s">
        <v>20</v>
      </c>
      <c r="E222" t="s">
        <v>14</v>
      </c>
      <c r="F222" t="s">
        <v>32</v>
      </c>
      <c r="G222" t="s">
        <v>22</v>
      </c>
      <c r="H222">
        <v>1</v>
      </c>
      <c r="I222">
        <v>202.42</v>
      </c>
      <c r="J222">
        <v>202.42</v>
      </c>
      <c r="K222" t="s">
        <v>36</v>
      </c>
    </row>
    <row r="223" spans="1:11" x14ac:dyDescent="0.25">
      <c r="A223" s="1">
        <v>44625</v>
      </c>
      <c r="B223" t="s">
        <v>28</v>
      </c>
      <c r="C223" t="s">
        <v>29</v>
      </c>
      <c r="D223" t="s">
        <v>25</v>
      </c>
      <c r="E223" t="s">
        <v>30</v>
      </c>
      <c r="F223" t="s">
        <v>21</v>
      </c>
      <c r="G223" t="s">
        <v>33</v>
      </c>
      <c r="H223">
        <v>2</v>
      </c>
      <c r="I223">
        <v>51.11</v>
      </c>
      <c r="J223">
        <v>102.22</v>
      </c>
      <c r="K223" t="s">
        <v>23</v>
      </c>
    </row>
    <row r="224" spans="1:11" hidden="1" x14ac:dyDescent="0.25">
      <c r="A224" s="1">
        <v>44766</v>
      </c>
      <c r="B224" t="s">
        <v>45</v>
      </c>
      <c r="C224" t="s">
        <v>46</v>
      </c>
      <c r="D224" t="s">
        <v>47</v>
      </c>
      <c r="E224" t="s">
        <v>30</v>
      </c>
      <c r="F224" t="s">
        <v>15</v>
      </c>
      <c r="G224" t="s">
        <v>16</v>
      </c>
      <c r="H224">
        <v>1</v>
      </c>
      <c r="I224">
        <v>292.68</v>
      </c>
      <c r="J224">
        <v>292.68</v>
      </c>
      <c r="K224" t="s">
        <v>35</v>
      </c>
    </row>
    <row r="225" spans="1:11" hidden="1" x14ac:dyDescent="0.25">
      <c r="A225" s="1">
        <v>44783</v>
      </c>
      <c r="B225" t="s">
        <v>48</v>
      </c>
      <c r="C225" t="s">
        <v>49</v>
      </c>
      <c r="D225" t="s">
        <v>50</v>
      </c>
      <c r="E225" t="s">
        <v>26</v>
      </c>
      <c r="F225" t="s">
        <v>32</v>
      </c>
      <c r="G225" t="s">
        <v>22</v>
      </c>
      <c r="H225">
        <v>2</v>
      </c>
      <c r="I225">
        <v>175.51</v>
      </c>
      <c r="J225">
        <v>351.02</v>
      </c>
      <c r="K225" t="s">
        <v>35</v>
      </c>
    </row>
    <row r="226" spans="1:11" x14ac:dyDescent="0.25">
      <c r="A226" s="1">
        <v>44633</v>
      </c>
      <c r="B226" t="s">
        <v>18</v>
      </c>
      <c r="C226" t="s">
        <v>19</v>
      </c>
      <c r="D226" t="s">
        <v>20</v>
      </c>
      <c r="E226" t="s">
        <v>26</v>
      </c>
      <c r="F226" t="s">
        <v>40</v>
      </c>
      <c r="G226" t="s">
        <v>27</v>
      </c>
      <c r="H226">
        <v>4</v>
      </c>
      <c r="I226">
        <v>211.37</v>
      </c>
      <c r="J226">
        <v>845.48</v>
      </c>
      <c r="K226" t="s">
        <v>17</v>
      </c>
    </row>
    <row r="227" spans="1:11" x14ac:dyDescent="0.25">
      <c r="A227" s="1">
        <v>44643</v>
      </c>
      <c r="B227" t="s">
        <v>28</v>
      </c>
      <c r="C227" t="s">
        <v>29</v>
      </c>
      <c r="D227" t="s">
        <v>25</v>
      </c>
      <c r="E227" t="s">
        <v>14</v>
      </c>
      <c r="F227" t="s">
        <v>32</v>
      </c>
      <c r="G227" t="s">
        <v>27</v>
      </c>
      <c r="H227">
        <v>1</v>
      </c>
      <c r="I227">
        <v>209.78</v>
      </c>
      <c r="J227">
        <v>209.78</v>
      </c>
      <c r="K227" t="s">
        <v>35</v>
      </c>
    </row>
    <row r="228" spans="1:11" x14ac:dyDescent="0.25">
      <c r="A228" s="1">
        <v>44693</v>
      </c>
      <c r="B228" t="s">
        <v>24</v>
      </c>
      <c r="C228" t="s">
        <v>19</v>
      </c>
      <c r="D228" t="s">
        <v>25</v>
      </c>
      <c r="E228" t="s">
        <v>14</v>
      </c>
      <c r="F228" t="s">
        <v>32</v>
      </c>
      <c r="G228" t="s">
        <v>43</v>
      </c>
      <c r="H228">
        <v>1</v>
      </c>
      <c r="I228">
        <v>59.85</v>
      </c>
      <c r="J228">
        <v>59.85</v>
      </c>
      <c r="K228" t="s">
        <v>36</v>
      </c>
    </row>
    <row r="229" spans="1:11" x14ac:dyDescent="0.25">
      <c r="A229" s="1">
        <v>44759</v>
      </c>
      <c r="B229" t="s">
        <v>24</v>
      </c>
      <c r="C229" t="s">
        <v>19</v>
      </c>
      <c r="D229" t="s">
        <v>25</v>
      </c>
      <c r="E229" t="s">
        <v>14</v>
      </c>
      <c r="F229" t="s">
        <v>21</v>
      </c>
      <c r="G229" t="s">
        <v>39</v>
      </c>
      <c r="H229">
        <v>3</v>
      </c>
      <c r="I229">
        <v>156.27000000000001</v>
      </c>
      <c r="J229">
        <v>468.81</v>
      </c>
      <c r="K229" t="s">
        <v>35</v>
      </c>
    </row>
    <row r="230" spans="1:11" x14ac:dyDescent="0.25">
      <c r="A230" s="1">
        <v>44628</v>
      </c>
      <c r="B230" t="s">
        <v>18</v>
      </c>
      <c r="C230" t="s">
        <v>19</v>
      </c>
      <c r="D230" t="s">
        <v>20</v>
      </c>
      <c r="E230" t="s">
        <v>14</v>
      </c>
      <c r="F230" t="s">
        <v>15</v>
      </c>
      <c r="G230" t="s">
        <v>33</v>
      </c>
      <c r="H230">
        <v>2</v>
      </c>
      <c r="I230">
        <v>175</v>
      </c>
      <c r="J230">
        <v>350</v>
      </c>
      <c r="K230" t="s">
        <v>17</v>
      </c>
    </row>
    <row r="231" spans="1:11" x14ac:dyDescent="0.25">
      <c r="A231" s="1">
        <v>44778</v>
      </c>
      <c r="B231" t="s">
        <v>37</v>
      </c>
      <c r="C231" t="s">
        <v>29</v>
      </c>
      <c r="D231" t="s">
        <v>38</v>
      </c>
      <c r="E231" t="s">
        <v>30</v>
      </c>
      <c r="F231" t="s">
        <v>32</v>
      </c>
      <c r="G231" t="s">
        <v>34</v>
      </c>
      <c r="H231">
        <v>2</v>
      </c>
      <c r="I231">
        <v>88</v>
      </c>
      <c r="J231">
        <v>176</v>
      </c>
      <c r="K231" t="s">
        <v>36</v>
      </c>
    </row>
    <row r="232" spans="1:11" x14ac:dyDescent="0.25">
      <c r="A232" s="1">
        <v>44744</v>
      </c>
      <c r="B232" t="s">
        <v>24</v>
      </c>
      <c r="C232" t="s">
        <v>19</v>
      </c>
      <c r="D232" t="s">
        <v>25</v>
      </c>
      <c r="E232" t="s">
        <v>30</v>
      </c>
      <c r="F232" t="s">
        <v>32</v>
      </c>
      <c r="G232" t="s">
        <v>34</v>
      </c>
      <c r="H232">
        <v>4</v>
      </c>
      <c r="I232">
        <v>293.33</v>
      </c>
      <c r="J232">
        <v>1173.32</v>
      </c>
      <c r="K232" t="s">
        <v>17</v>
      </c>
    </row>
    <row r="233" spans="1:11" x14ac:dyDescent="0.25">
      <c r="A233" s="1">
        <v>44759</v>
      </c>
      <c r="B233" t="s">
        <v>24</v>
      </c>
      <c r="C233" t="s">
        <v>19</v>
      </c>
      <c r="D233" t="s">
        <v>25</v>
      </c>
      <c r="E233" t="s">
        <v>14</v>
      </c>
      <c r="F233" t="s">
        <v>15</v>
      </c>
      <c r="G233" t="s">
        <v>27</v>
      </c>
      <c r="H233">
        <v>5</v>
      </c>
      <c r="I233">
        <v>285.37</v>
      </c>
      <c r="J233">
        <v>1426.85</v>
      </c>
      <c r="K233" t="s">
        <v>35</v>
      </c>
    </row>
    <row r="234" spans="1:11" x14ac:dyDescent="0.25">
      <c r="A234" s="1">
        <v>44576</v>
      </c>
      <c r="B234" t="s">
        <v>37</v>
      </c>
      <c r="C234" t="s">
        <v>29</v>
      </c>
      <c r="D234" t="s">
        <v>38</v>
      </c>
      <c r="E234" t="s">
        <v>26</v>
      </c>
      <c r="F234" t="s">
        <v>40</v>
      </c>
      <c r="G234" t="s">
        <v>22</v>
      </c>
      <c r="H234">
        <v>5</v>
      </c>
      <c r="I234">
        <v>220.59</v>
      </c>
      <c r="J234">
        <v>1102.95</v>
      </c>
      <c r="K234" t="s">
        <v>36</v>
      </c>
    </row>
    <row r="235" spans="1:11" x14ac:dyDescent="0.25">
      <c r="A235" s="1">
        <v>44623</v>
      </c>
      <c r="B235" t="s">
        <v>24</v>
      </c>
      <c r="C235" t="s">
        <v>19</v>
      </c>
      <c r="D235" t="s">
        <v>25</v>
      </c>
      <c r="E235" t="s">
        <v>30</v>
      </c>
      <c r="F235" t="s">
        <v>21</v>
      </c>
      <c r="G235" t="s">
        <v>33</v>
      </c>
      <c r="H235">
        <v>5</v>
      </c>
      <c r="I235">
        <v>214</v>
      </c>
      <c r="J235">
        <v>1070</v>
      </c>
      <c r="K235" t="s">
        <v>36</v>
      </c>
    </row>
    <row r="236" spans="1:11" x14ac:dyDescent="0.25">
      <c r="A236" s="1">
        <v>44791</v>
      </c>
      <c r="B236" t="s">
        <v>18</v>
      </c>
      <c r="C236" t="s">
        <v>19</v>
      </c>
      <c r="D236" t="s">
        <v>20</v>
      </c>
      <c r="E236" t="s">
        <v>14</v>
      </c>
      <c r="F236" t="s">
        <v>15</v>
      </c>
      <c r="G236" t="s">
        <v>27</v>
      </c>
      <c r="H236">
        <v>5</v>
      </c>
      <c r="I236">
        <v>208.24</v>
      </c>
      <c r="J236">
        <v>1041.2</v>
      </c>
      <c r="K236" t="s">
        <v>17</v>
      </c>
    </row>
    <row r="237" spans="1:11" x14ac:dyDescent="0.25">
      <c r="A237" s="1">
        <v>44719</v>
      </c>
      <c r="B237" t="s">
        <v>41</v>
      </c>
      <c r="C237" t="s">
        <v>29</v>
      </c>
      <c r="D237" t="s">
        <v>42</v>
      </c>
      <c r="E237" t="s">
        <v>14</v>
      </c>
      <c r="F237" t="s">
        <v>32</v>
      </c>
      <c r="G237" t="s">
        <v>27</v>
      </c>
      <c r="H237">
        <v>4</v>
      </c>
      <c r="I237">
        <v>133.69999999999999</v>
      </c>
      <c r="J237">
        <v>534.79999999999995</v>
      </c>
      <c r="K237" t="s">
        <v>35</v>
      </c>
    </row>
    <row r="238" spans="1:11" x14ac:dyDescent="0.25">
      <c r="A238" s="1">
        <v>44797</v>
      </c>
      <c r="B238" t="s">
        <v>11</v>
      </c>
      <c r="C238" t="s">
        <v>12</v>
      </c>
      <c r="D238" t="s">
        <v>13</v>
      </c>
      <c r="E238" t="s">
        <v>30</v>
      </c>
      <c r="F238" t="s">
        <v>32</v>
      </c>
      <c r="G238" t="s">
        <v>43</v>
      </c>
      <c r="H238">
        <v>2</v>
      </c>
      <c r="I238">
        <v>158.69999999999999</v>
      </c>
      <c r="J238">
        <v>317.39999999999998</v>
      </c>
      <c r="K238" t="s">
        <v>36</v>
      </c>
    </row>
    <row r="239" spans="1:11" x14ac:dyDescent="0.25">
      <c r="A239" s="1">
        <v>44580</v>
      </c>
      <c r="B239" t="s">
        <v>28</v>
      </c>
      <c r="C239" t="s">
        <v>29</v>
      </c>
      <c r="D239" t="s">
        <v>25</v>
      </c>
      <c r="E239" t="s">
        <v>26</v>
      </c>
      <c r="F239" t="s">
        <v>21</v>
      </c>
      <c r="G239" t="s">
        <v>34</v>
      </c>
      <c r="H239">
        <v>2</v>
      </c>
      <c r="I239">
        <v>244.13</v>
      </c>
      <c r="J239">
        <v>488.26</v>
      </c>
      <c r="K239" t="s">
        <v>23</v>
      </c>
    </row>
    <row r="240" spans="1:11" x14ac:dyDescent="0.25">
      <c r="A240" s="1">
        <v>44792</v>
      </c>
      <c r="B240" t="s">
        <v>28</v>
      </c>
      <c r="C240" t="s">
        <v>29</v>
      </c>
      <c r="D240" t="s">
        <v>25</v>
      </c>
      <c r="E240" t="s">
        <v>26</v>
      </c>
      <c r="F240" t="s">
        <v>32</v>
      </c>
      <c r="G240" t="s">
        <v>33</v>
      </c>
      <c r="H240">
        <v>5</v>
      </c>
      <c r="I240">
        <v>147.99</v>
      </c>
      <c r="J240">
        <v>739.95</v>
      </c>
      <c r="K240" t="s">
        <v>35</v>
      </c>
    </row>
    <row r="241" spans="1:11" x14ac:dyDescent="0.25">
      <c r="A241" s="1">
        <v>44784</v>
      </c>
      <c r="B241" t="s">
        <v>11</v>
      </c>
      <c r="C241" t="s">
        <v>12</v>
      </c>
      <c r="D241" t="s">
        <v>13</v>
      </c>
      <c r="E241" t="s">
        <v>14</v>
      </c>
      <c r="F241" t="s">
        <v>32</v>
      </c>
      <c r="G241" t="s">
        <v>16</v>
      </c>
      <c r="H241">
        <v>1</v>
      </c>
      <c r="I241">
        <v>157.81</v>
      </c>
      <c r="J241">
        <v>157.81</v>
      </c>
      <c r="K241" t="s">
        <v>23</v>
      </c>
    </row>
    <row r="242" spans="1:11" hidden="1" x14ac:dyDescent="0.25">
      <c r="A242" s="1">
        <v>44644</v>
      </c>
      <c r="B242" t="s">
        <v>48</v>
      </c>
      <c r="C242" t="s">
        <v>49</v>
      </c>
      <c r="D242" t="s">
        <v>50</v>
      </c>
      <c r="E242" t="s">
        <v>14</v>
      </c>
      <c r="F242" t="s">
        <v>21</v>
      </c>
      <c r="G242" t="s">
        <v>27</v>
      </c>
      <c r="H242">
        <v>2</v>
      </c>
      <c r="I242">
        <v>212.76</v>
      </c>
      <c r="J242">
        <v>425.52</v>
      </c>
      <c r="K242" t="s">
        <v>36</v>
      </c>
    </row>
    <row r="243" spans="1:11" x14ac:dyDescent="0.25">
      <c r="A243" s="1">
        <v>44578</v>
      </c>
      <c r="B243" t="s">
        <v>44</v>
      </c>
      <c r="C243" t="s">
        <v>19</v>
      </c>
      <c r="D243" t="s">
        <v>20</v>
      </c>
      <c r="E243" t="s">
        <v>26</v>
      </c>
      <c r="F243" t="s">
        <v>32</v>
      </c>
      <c r="G243" t="s">
        <v>33</v>
      </c>
      <c r="H243">
        <v>3</v>
      </c>
      <c r="I243">
        <v>225.9</v>
      </c>
      <c r="J243">
        <v>677.7</v>
      </c>
      <c r="K243" t="s">
        <v>36</v>
      </c>
    </row>
    <row r="244" spans="1:11" hidden="1" x14ac:dyDescent="0.25">
      <c r="A244" s="1">
        <v>44601</v>
      </c>
      <c r="B244" t="s">
        <v>45</v>
      </c>
      <c r="C244" t="s">
        <v>46</v>
      </c>
      <c r="D244" t="s">
        <v>47</v>
      </c>
      <c r="E244" t="s">
        <v>30</v>
      </c>
      <c r="F244" t="s">
        <v>21</v>
      </c>
      <c r="G244" t="s">
        <v>39</v>
      </c>
      <c r="H244">
        <v>3</v>
      </c>
      <c r="I244">
        <v>112.98</v>
      </c>
      <c r="J244">
        <v>338.94</v>
      </c>
      <c r="K244" t="s">
        <v>36</v>
      </c>
    </row>
    <row r="245" spans="1:11" hidden="1" x14ac:dyDescent="0.25">
      <c r="A245" s="1">
        <v>44694</v>
      </c>
      <c r="B245" t="s">
        <v>45</v>
      </c>
      <c r="C245" t="s">
        <v>46</v>
      </c>
      <c r="D245" t="s">
        <v>47</v>
      </c>
      <c r="E245" t="s">
        <v>14</v>
      </c>
      <c r="F245" t="s">
        <v>32</v>
      </c>
      <c r="G245" t="s">
        <v>39</v>
      </c>
      <c r="H245">
        <v>2</v>
      </c>
      <c r="I245">
        <v>100.84</v>
      </c>
      <c r="J245">
        <v>201.68</v>
      </c>
      <c r="K245" t="s">
        <v>23</v>
      </c>
    </row>
    <row r="246" spans="1:11" x14ac:dyDescent="0.25">
      <c r="A246" s="1">
        <v>44595</v>
      </c>
      <c r="B246" t="s">
        <v>31</v>
      </c>
      <c r="C246" t="s">
        <v>19</v>
      </c>
      <c r="D246" t="s">
        <v>25</v>
      </c>
      <c r="E246" t="s">
        <v>26</v>
      </c>
      <c r="F246" t="s">
        <v>32</v>
      </c>
      <c r="G246" t="s">
        <v>39</v>
      </c>
      <c r="H246">
        <v>4</v>
      </c>
      <c r="I246">
        <v>292.75</v>
      </c>
      <c r="J246">
        <v>1171</v>
      </c>
      <c r="K246" t="s">
        <v>36</v>
      </c>
    </row>
    <row r="247" spans="1:11" x14ac:dyDescent="0.25">
      <c r="A247" s="1">
        <v>44600</v>
      </c>
      <c r="B247" t="s">
        <v>28</v>
      </c>
      <c r="C247" t="s">
        <v>29</v>
      </c>
      <c r="D247" t="s">
        <v>25</v>
      </c>
      <c r="E247" t="s">
        <v>30</v>
      </c>
      <c r="F247" t="s">
        <v>21</v>
      </c>
      <c r="G247" t="s">
        <v>34</v>
      </c>
      <c r="H247">
        <v>3</v>
      </c>
      <c r="I247">
        <v>82.62</v>
      </c>
      <c r="J247">
        <v>247.86</v>
      </c>
      <c r="K247" t="s">
        <v>23</v>
      </c>
    </row>
    <row r="248" spans="1:11" x14ac:dyDescent="0.25">
      <c r="A248" s="1">
        <v>44760</v>
      </c>
      <c r="B248" t="s">
        <v>37</v>
      </c>
      <c r="C248" t="s">
        <v>29</v>
      </c>
      <c r="D248" t="s">
        <v>38</v>
      </c>
      <c r="E248" t="s">
        <v>30</v>
      </c>
      <c r="F248" t="s">
        <v>40</v>
      </c>
      <c r="G248" t="s">
        <v>33</v>
      </c>
      <c r="H248">
        <v>3</v>
      </c>
      <c r="I248">
        <v>246.13</v>
      </c>
      <c r="J248">
        <v>738.39</v>
      </c>
      <c r="K248" t="s">
        <v>35</v>
      </c>
    </row>
    <row r="249" spans="1:11" x14ac:dyDescent="0.25">
      <c r="A249" s="1">
        <v>44680</v>
      </c>
      <c r="B249" t="s">
        <v>24</v>
      </c>
      <c r="C249" t="s">
        <v>19</v>
      </c>
      <c r="D249" t="s">
        <v>25</v>
      </c>
      <c r="E249" t="s">
        <v>30</v>
      </c>
      <c r="F249" t="s">
        <v>21</v>
      </c>
      <c r="G249" t="s">
        <v>27</v>
      </c>
      <c r="H249">
        <v>4</v>
      </c>
      <c r="I249">
        <v>168.01</v>
      </c>
      <c r="J249">
        <v>672.04</v>
      </c>
      <c r="K249" t="s">
        <v>36</v>
      </c>
    </row>
    <row r="250" spans="1:11" x14ac:dyDescent="0.25">
      <c r="A250" s="1">
        <v>44799</v>
      </c>
      <c r="B250" t="s">
        <v>44</v>
      </c>
      <c r="C250" t="s">
        <v>19</v>
      </c>
      <c r="D250" t="s">
        <v>20</v>
      </c>
      <c r="E250" t="s">
        <v>30</v>
      </c>
      <c r="F250" t="s">
        <v>40</v>
      </c>
      <c r="G250" t="s">
        <v>16</v>
      </c>
      <c r="H250">
        <v>1</v>
      </c>
      <c r="I250">
        <v>93.08</v>
      </c>
      <c r="J250">
        <v>93.08</v>
      </c>
      <c r="K250" t="s">
        <v>36</v>
      </c>
    </row>
    <row r="251" spans="1:11" x14ac:dyDescent="0.25">
      <c r="A251" s="1">
        <v>44575</v>
      </c>
      <c r="B251" t="s">
        <v>37</v>
      </c>
      <c r="C251" t="s">
        <v>29</v>
      </c>
      <c r="D251" t="s">
        <v>38</v>
      </c>
      <c r="E251" t="s">
        <v>26</v>
      </c>
      <c r="F251" t="s">
        <v>15</v>
      </c>
      <c r="G251" t="s">
        <v>33</v>
      </c>
      <c r="H251">
        <v>3</v>
      </c>
      <c r="I251">
        <v>161.55000000000001</v>
      </c>
      <c r="J251">
        <v>484.65</v>
      </c>
      <c r="K251" t="s">
        <v>35</v>
      </c>
    </row>
    <row r="252" spans="1:11" hidden="1" x14ac:dyDescent="0.25">
      <c r="A252" s="1">
        <v>44617</v>
      </c>
      <c r="B252" t="s">
        <v>45</v>
      </c>
      <c r="C252" t="s">
        <v>46</v>
      </c>
      <c r="D252" t="s">
        <v>47</v>
      </c>
      <c r="E252" t="s">
        <v>30</v>
      </c>
      <c r="F252" t="s">
        <v>32</v>
      </c>
      <c r="G252" t="s">
        <v>27</v>
      </c>
      <c r="H252">
        <v>3</v>
      </c>
      <c r="I252">
        <v>228.84</v>
      </c>
      <c r="J252">
        <v>686.52</v>
      </c>
      <c r="K252" t="s">
        <v>35</v>
      </c>
    </row>
    <row r="253" spans="1:11" x14ac:dyDescent="0.25">
      <c r="A253" s="1">
        <v>44704</v>
      </c>
      <c r="B253" t="s">
        <v>37</v>
      </c>
      <c r="C253" t="s">
        <v>29</v>
      </c>
      <c r="D253" t="s">
        <v>38</v>
      </c>
      <c r="E253" t="s">
        <v>26</v>
      </c>
      <c r="F253" t="s">
        <v>40</v>
      </c>
      <c r="G253" t="s">
        <v>22</v>
      </c>
      <c r="H253">
        <v>4</v>
      </c>
      <c r="I253">
        <v>221.31</v>
      </c>
      <c r="J253">
        <v>885.24</v>
      </c>
      <c r="K253" t="s">
        <v>17</v>
      </c>
    </row>
    <row r="254" spans="1:11" hidden="1" x14ac:dyDescent="0.25">
      <c r="A254" s="1">
        <v>44768</v>
      </c>
      <c r="B254" t="s">
        <v>45</v>
      </c>
      <c r="C254" t="s">
        <v>46</v>
      </c>
      <c r="D254" t="s">
        <v>47</v>
      </c>
      <c r="E254" t="s">
        <v>26</v>
      </c>
      <c r="F254" t="s">
        <v>40</v>
      </c>
      <c r="G254" t="s">
        <v>34</v>
      </c>
      <c r="H254">
        <v>2</v>
      </c>
      <c r="I254">
        <v>287.68</v>
      </c>
      <c r="J254">
        <v>575.36</v>
      </c>
      <c r="K254" t="s">
        <v>23</v>
      </c>
    </row>
    <row r="255" spans="1:11" x14ac:dyDescent="0.25">
      <c r="A255" s="1">
        <v>44577</v>
      </c>
      <c r="B255" t="s">
        <v>24</v>
      </c>
      <c r="C255" t="s">
        <v>19</v>
      </c>
      <c r="D255" t="s">
        <v>25</v>
      </c>
      <c r="E255" t="s">
        <v>26</v>
      </c>
      <c r="F255" t="s">
        <v>15</v>
      </c>
      <c r="G255" t="s">
        <v>34</v>
      </c>
      <c r="H255">
        <v>5</v>
      </c>
      <c r="I255">
        <v>168.7</v>
      </c>
      <c r="J255">
        <v>843.5</v>
      </c>
      <c r="K255" t="s">
        <v>36</v>
      </c>
    </row>
    <row r="256" spans="1:11" x14ac:dyDescent="0.25">
      <c r="A256" s="1">
        <v>44713</v>
      </c>
      <c r="B256" t="s">
        <v>11</v>
      </c>
      <c r="C256" t="s">
        <v>12</v>
      </c>
      <c r="D256" t="s">
        <v>13</v>
      </c>
      <c r="E256" t="s">
        <v>26</v>
      </c>
      <c r="F256" t="s">
        <v>21</v>
      </c>
      <c r="G256" t="s">
        <v>34</v>
      </c>
      <c r="H256">
        <v>3</v>
      </c>
      <c r="I256">
        <v>153.82</v>
      </c>
      <c r="J256">
        <v>461.46</v>
      </c>
      <c r="K256" t="s">
        <v>23</v>
      </c>
    </row>
    <row r="257" spans="1:11" x14ac:dyDescent="0.25">
      <c r="A257" s="1">
        <v>44605</v>
      </c>
      <c r="B257" t="s">
        <v>44</v>
      </c>
      <c r="C257" t="s">
        <v>19</v>
      </c>
      <c r="D257" t="s">
        <v>20</v>
      </c>
      <c r="E257" t="s">
        <v>14</v>
      </c>
      <c r="F257" t="s">
        <v>32</v>
      </c>
      <c r="G257" t="s">
        <v>16</v>
      </c>
      <c r="H257">
        <v>4</v>
      </c>
      <c r="I257">
        <v>281</v>
      </c>
      <c r="J257">
        <v>1124</v>
      </c>
      <c r="K257" t="s">
        <v>35</v>
      </c>
    </row>
    <row r="258" spans="1:11" hidden="1" x14ac:dyDescent="0.25">
      <c r="A258" s="1">
        <v>44648</v>
      </c>
      <c r="B258" t="s">
        <v>48</v>
      </c>
      <c r="C258" t="s">
        <v>49</v>
      </c>
      <c r="D258" t="s">
        <v>50</v>
      </c>
      <c r="E258" t="s">
        <v>26</v>
      </c>
      <c r="F258" t="s">
        <v>21</v>
      </c>
      <c r="G258" t="s">
        <v>43</v>
      </c>
      <c r="H258">
        <v>5</v>
      </c>
      <c r="I258">
        <v>112.4</v>
      </c>
      <c r="J258">
        <v>562</v>
      </c>
      <c r="K258" t="s">
        <v>36</v>
      </c>
    </row>
    <row r="259" spans="1:11" x14ac:dyDescent="0.25">
      <c r="A259" s="1">
        <v>44581</v>
      </c>
      <c r="B259" t="s">
        <v>37</v>
      </c>
      <c r="C259" t="s">
        <v>29</v>
      </c>
      <c r="D259" t="s">
        <v>38</v>
      </c>
      <c r="E259" t="s">
        <v>14</v>
      </c>
      <c r="F259" t="s">
        <v>15</v>
      </c>
      <c r="G259" t="s">
        <v>39</v>
      </c>
      <c r="H259">
        <v>1</v>
      </c>
      <c r="I259">
        <v>233.16</v>
      </c>
      <c r="J259">
        <v>233.16</v>
      </c>
      <c r="K259" t="s">
        <v>23</v>
      </c>
    </row>
    <row r="260" spans="1:11" x14ac:dyDescent="0.25">
      <c r="A260" s="1">
        <v>44619</v>
      </c>
      <c r="B260" t="s">
        <v>18</v>
      </c>
      <c r="C260" t="s">
        <v>19</v>
      </c>
      <c r="D260" t="s">
        <v>20</v>
      </c>
      <c r="E260" t="s">
        <v>14</v>
      </c>
      <c r="F260" t="s">
        <v>40</v>
      </c>
      <c r="G260" t="s">
        <v>22</v>
      </c>
      <c r="H260">
        <v>5</v>
      </c>
      <c r="I260">
        <v>248.71</v>
      </c>
      <c r="J260">
        <v>1243.55</v>
      </c>
      <c r="K260" t="s">
        <v>36</v>
      </c>
    </row>
    <row r="261" spans="1:11" x14ac:dyDescent="0.25">
      <c r="A261" s="1">
        <v>44707</v>
      </c>
      <c r="B261" t="s">
        <v>28</v>
      </c>
      <c r="C261" t="s">
        <v>29</v>
      </c>
      <c r="D261" t="s">
        <v>25</v>
      </c>
      <c r="E261" t="s">
        <v>30</v>
      </c>
      <c r="F261" t="s">
        <v>32</v>
      </c>
      <c r="G261" t="s">
        <v>33</v>
      </c>
      <c r="H261">
        <v>5</v>
      </c>
      <c r="I261">
        <v>157.19999999999999</v>
      </c>
      <c r="J261">
        <v>786</v>
      </c>
      <c r="K261" t="s">
        <v>36</v>
      </c>
    </row>
    <row r="262" spans="1:11" x14ac:dyDescent="0.25">
      <c r="A262" s="1">
        <v>44590</v>
      </c>
      <c r="B262" t="s">
        <v>18</v>
      </c>
      <c r="C262" t="s">
        <v>19</v>
      </c>
      <c r="D262" t="s">
        <v>20</v>
      </c>
      <c r="E262" t="s">
        <v>30</v>
      </c>
      <c r="F262" t="s">
        <v>15</v>
      </c>
      <c r="G262" t="s">
        <v>33</v>
      </c>
      <c r="H262">
        <v>4</v>
      </c>
      <c r="I262">
        <v>113.75</v>
      </c>
      <c r="J262">
        <v>455</v>
      </c>
      <c r="K262" t="s">
        <v>36</v>
      </c>
    </row>
    <row r="263" spans="1:11" x14ac:dyDescent="0.25">
      <c r="A263" s="1">
        <v>44665</v>
      </c>
      <c r="B263" t="s">
        <v>18</v>
      </c>
      <c r="C263" t="s">
        <v>19</v>
      </c>
      <c r="D263" t="s">
        <v>20</v>
      </c>
      <c r="E263" t="s">
        <v>26</v>
      </c>
      <c r="F263" t="s">
        <v>21</v>
      </c>
      <c r="G263" t="s">
        <v>27</v>
      </c>
      <c r="H263">
        <v>1</v>
      </c>
      <c r="I263">
        <v>109.66</v>
      </c>
      <c r="J263">
        <v>109.66</v>
      </c>
      <c r="K263" t="s">
        <v>23</v>
      </c>
    </row>
    <row r="264" spans="1:11" hidden="1" x14ac:dyDescent="0.25">
      <c r="A264" s="1">
        <v>44718</v>
      </c>
      <c r="B264" t="s">
        <v>48</v>
      </c>
      <c r="C264" t="s">
        <v>49</v>
      </c>
      <c r="D264" t="s">
        <v>50</v>
      </c>
      <c r="E264" t="s">
        <v>26</v>
      </c>
      <c r="F264" t="s">
        <v>32</v>
      </c>
      <c r="G264" t="s">
        <v>43</v>
      </c>
      <c r="H264">
        <v>1</v>
      </c>
      <c r="I264">
        <v>81.569999999999993</v>
      </c>
      <c r="J264">
        <v>81.569999999999993</v>
      </c>
      <c r="K264" t="s">
        <v>35</v>
      </c>
    </row>
    <row r="265" spans="1:11" x14ac:dyDescent="0.25">
      <c r="A265" s="1">
        <v>44600</v>
      </c>
      <c r="B265" t="s">
        <v>11</v>
      </c>
      <c r="C265" t="s">
        <v>12</v>
      </c>
      <c r="D265" t="s">
        <v>13</v>
      </c>
      <c r="E265" t="s">
        <v>30</v>
      </c>
      <c r="F265" t="s">
        <v>32</v>
      </c>
      <c r="G265" t="s">
        <v>39</v>
      </c>
      <c r="H265">
        <v>2</v>
      </c>
      <c r="I265">
        <v>247.2</v>
      </c>
      <c r="J265">
        <v>494.4</v>
      </c>
      <c r="K265" t="s">
        <v>35</v>
      </c>
    </row>
    <row r="266" spans="1:11" hidden="1" x14ac:dyDescent="0.25">
      <c r="A266" s="1">
        <v>44687</v>
      </c>
      <c r="B266" t="s">
        <v>48</v>
      </c>
      <c r="C266" t="s">
        <v>49</v>
      </c>
      <c r="D266" t="s">
        <v>50</v>
      </c>
      <c r="E266" t="s">
        <v>26</v>
      </c>
      <c r="F266" t="s">
        <v>40</v>
      </c>
      <c r="G266" t="s">
        <v>16</v>
      </c>
      <c r="H266">
        <v>4</v>
      </c>
      <c r="I266">
        <v>250.26</v>
      </c>
      <c r="J266">
        <v>1001.04</v>
      </c>
      <c r="K266" t="s">
        <v>17</v>
      </c>
    </row>
    <row r="267" spans="1:11" x14ac:dyDescent="0.25">
      <c r="A267" s="1">
        <v>44567</v>
      </c>
      <c r="B267" t="s">
        <v>44</v>
      </c>
      <c r="C267" t="s">
        <v>19</v>
      </c>
      <c r="D267" t="s">
        <v>20</v>
      </c>
      <c r="E267" t="s">
        <v>14</v>
      </c>
      <c r="F267" t="s">
        <v>40</v>
      </c>
      <c r="G267" t="s">
        <v>27</v>
      </c>
      <c r="H267">
        <v>1</v>
      </c>
      <c r="I267">
        <v>137.19999999999999</v>
      </c>
      <c r="J267">
        <v>137.19999999999999</v>
      </c>
      <c r="K267" t="s">
        <v>17</v>
      </c>
    </row>
    <row r="268" spans="1:11" x14ac:dyDescent="0.25">
      <c r="A268" s="1">
        <v>44638</v>
      </c>
      <c r="B268" t="s">
        <v>44</v>
      </c>
      <c r="C268" t="s">
        <v>19</v>
      </c>
      <c r="D268" t="s">
        <v>20</v>
      </c>
      <c r="E268" t="s">
        <v>26</v>
      </c>
      <c r="F268" t="s">
        <v>21</v>
      </c>
      <c r="G268" t="s">
        <v>39</v>
      </c>
      <c r="H268">
        <v>3</v>
      </c>
      <c r="I268">
        <v>164.06</v>
      </c>
      <c r="J268">
        <v>492.18</v>
      </c>
      <c r="K268" t="s">
        <v>35</v>
      </c>
    </row>
    <row r="269" spans="1:11" x14ac:dyDescent="0.25">
      <c r="A269" s="1">
        <v>44599</v>
      </c>
      <c r="B269" t="s">
        <v>37</v>
      </c>
      <c r="C269" t="s">
        <v>29</v>
      </c>
      <c r="D269" t="s">
        <v>38</v>
      </c>
      <c r="E269" t="s">
        <v>14</v>
      </c>
      <c r="F269" t="s">
        <v>21</v>
      </c>
      <c r="G269" t="s">
        <v>22</v>
      </c>
      <c r="H269">
        <v>4</v>
      </c>
      <c r="I269">
        <v>198.45</v>
      </c>
      <c r="J269">
        <v>793.8</v>
      </c>
      <c r="K269" t="s">
        <v>36</v>
      </c>
    </row>
    <row r="270" spans="1:11" hidden="1" x14ac:dyDescent="0.25">
      <c r="A270" s="1">
        <v>44717</v>
      </c>
      <c r="B270" t="s">
        <v>48</v>
      </c>
      <c r="C270" t="s">
        <v>49</v>
      </c>
      <c r="D270" t="s">
        <v>50</v>
      </c>
      <c r="E270" t="s">
        <v>14</v>
      </c>
      <c r="F270" t="s">
        <v>15</v>
      </c>
      <c r="G270" t="s">
        <v>27</v>
      </c>
      <c r="H270">
        <v>2</v>
      </c>
      <c r="I270">
        <v>162.47999999999999</v>
      </c>
      <c r="J270">
        <v>324.95999999999998</v>
      </c>
      <c r="K270" t="s">
        <v>23</v>
      </c>
    </row>
    <row r="271" spans="1:11" x14ac:dyDescent="0.25">
      <c r="A271" s="1">
        <v>44725</v>
      </c>
      <c r="B271" t="s">
        <v>41</v>
      </c>
      <c r="C271" t="s">
        <v>29</v>
      </c>
      <c r="D271" t="s">
        <v>42</v>
      </c>
      <c r="E271" t="s">
        <v>30</v>
      </c>
      <c r="F271" t="s">
        <v>32</v>
      </c>
      <c r="G271" t="s">
        <v>34</v>
      </c>
      <c r="H271">
        <v>4</v>
      </c>
      <c r="I271">
        <v>243.48</v>
      </c>
      <c r="J271">
        <v>973.92</v>
      </c>
      <c r="K271" t="s">
        <v>36</v>
      </c>
    </row>
    <row r="272" spans="1:11" x14ac:dyDescent="0.25">
      <c r="A272" s="1">
        <v>44783</v>
      </c>
      <c r="B272" t="s">
        <v>24</v>
      </c>
      <c r="C272" t="s">
        <v>19</v>
      </c>
      <c r="D272" t="s">
        <v>25</v>
      </c>
      <c r="E272" t="s">
        <v>26</v>
      </c>
      <c r="F272" t="s">
        <v>15</v>
      </c>
      <c r="G272" t="s">
        <v>34</v>
      </c>
      <c r="H272">
        <v>4</v>
      </c>
      <c r="I272">
        <v>183.4</v>
      </c>
      <c r="J272">
        <v>733.6</v>
      </c>
      <c r="K272" t="s">
        <v>17</v>
      </c>
    </row>
    <row r="273" spans="1:11" x14ac:dyDescent="0.25">
      <c r="A273" s="1">
        <v>44686</v>
      </c>
      <c r="B273" t="s">
        <v>37</v>
      </c>
      <c r="C273" t="s">
        <v>29</v>
      </c>
      <c r="D273" t="s">
        <v>38</v>
      </c>
      <c r="E273" t="s">
        <v>30</v>
      </c>
      <c r="F273" t="s">
        <v>21</v>
      </c>
      <c r="G273" t="s">
        <v>34</v>
      </c>
      <c r="H273">
        <v>1</v>
      </c>
      <c r="I273">
        <v>271.44</v>
      </c>
      <c r="J273">
        <v>271.44</v>
      </c>
      <c r="K273" t="s">
        <v>23</v>
      </c>
    </row>
    <row r="274" spans="1:11" x14ac:dyDescent="0.25">
      <c r="A274" s="1">
        <v>44621</v>
      </c>
      <c r="B274" t="s">
        <v>37</v>
      </c>
      <c r="C274" t="s">
        <v>29</v>
      </c>
      <c r="D274" t="s">
        <v>38</v>
      </c>
      <c r="E274" t="s">
        <v>14</v>
      </c>
      <c r="F274" t="s">
        <v>15</v>
      </c>
      <c r="G274" t="s">
        <v>22</v>
      </c>
      <c r="H274">
        <v>2</v>
      </c>
      <c r="I274">
        <v>135.47999999999999</v>
      </c>
      <c r="J274">
        <v>270.95999999999998</v>
      </c>
      <c r="K274" t="s">
        <v>23</v>
      </c>
    </row>
    <row r="275" spans="1:11" x14ac:dyDescent="0.25">
      <c r="A275" s="1">
        <v>44582</v>
      </c>
      <c r="B275" t="s">
        <v>11</v>
      </c>
      <c r="C275" t="s">
        <v>12</v>
      </c>
      <c r="D275" t="s">
        <v>13</v>
      </c>
      <c r="E275" t="s">
        <v>30</v>
      </c>
      <c r="F275" t="s">
        <v>40</v>
      </c>
      <c r="G275" t="s">
        <v>16</v>
      </c>
      <c r="H275">
        <v>5</v>
      </c>
      <c r="I275">
        <v>148.46</v>
      </c>
      <c r="J275">
        <v>742.3</v>
      </c>
      <c r="K275" t="s">
        <v>17</v>
      </c>
    </row>
    <row r="276" spans="1:11" hidden="1" x14ac:dyDescent="0.25">
      <c r="A276" s="1">
        <v>44752</v>
      </c>
      <c r="B276" t="s">
        <v>45</v>
      </c>
      <c r="C276" t="s">
        <v>46</v>
      </c>
      <c r="D276" t="s">
        <v>47</v>
      </c>
      <c r="E276" t="s">
        <v>30</v>
      </c>
      <c r="F276" t="s">
        <v>32</v>
      </c>
      <c r="G276" t="s">
        <v>39</v>
      </c>
      <c r="H276">
        <v>5</v>
      </c>
      <c r="I276">
        <v>251.06</v>
      </c>
      <c r="J276">
        <v>1255.3</v>
      </c>
      <c r="K276" t="s">
        <v>35</v>
      </c>
    </row>
    <row r="277" spans="1:11" hidden="1" x14ac:dyDescent="0.25">
      <c r="A277" s="1">
        <v>44632</v>
      </c>
      <c r="B277" t="s">
        <v>45</v>
      </c>
      <c r="C277" t="s">
        <v>46</v>
      </c>
      <c r="D277" t="s">
        <v>47</v>
      </c>
      <c r="E277" t="s">
        <v>14</v>
      </c>
      <c r="F277" t="s">
        <v>21</v>
      </c>
      <c r="G277" t="s">
        <v>27</v>
      </c>
      <c r="H277">
        <v>2</v>
      </c>
      <c r="I277">
        <v>195.41</v>
      </c>
      <c r="J277">
        <v>390.82</v>
      </c>
      <c r="K277" t="s">
        <v>17</v>
      </c>
    </row>
    <row r="278" spans="1:11" x14ac:dyDescent="0.25">
      <c r="A278" s="1">
        <v>44583</v>
      </c>
      <c r="B278" t="s">
        <v>18</v>
      </c>
      <c r="C278" t="s">
        <v>19</v>
      </c>
      <c r="D278" t="s">
        <v>20</v>
      </c>
      <c r="E278" t="s">
        <v>14</v>
      </c>
      <c r="F278" t="s">
        <v>15</v>
      </c>
      <c r="G278" t="s">
        <v>43</v>
      </c>
      <c r="H278">
        <v>4</v>
      </c>
      <c r="I278">
        <v>206.29</v>
      </c>
      <c r="J278">
        <v>825.16</v>
      </c>
      <c r="K278" t="s">
        <v>36</v>
      </c>
    </row>
    <row r="279" spans="1:11" hidden="1" x14ac:dyDescent="0.25">
      <c r="A279" s="1">
        <v>44694</v>
      </c>
      <c r="B279" t="s">
        <v>45</v>
      </c>
      <c r="C279" t="s">
        <v>46</v>
      </c>
      <c r="D279" t="s">
        <v>47</v>
      </c>
      <c r="E279" t="s">
        <v>26</v>
      </c>
      <c r="F279" t="s">
        <v>21</v>
      </c>
      <c r="G279" t="s">
        <v>16</v>
      </c>
      <c r="H279">
        <v>4</v>
      </c>
      <c r="I279">
        <v>146.09</v>
      </c>
      <c r="J279">
        <v>584.36</v>
      </c>
      <c r="K279" t="s">
        <v>23</v>
      </c>
    </row>
    <row r="280" spans="1:11" x14ac:dyDescent="0.25">
      <c r="A280" s="1">
        <v>44707</v>
      </c>
      <c r="B280" t="s">
        <v>18</v>
      </c>
      <c r="C280" t="s">
        <v>19</v>
      </c>
      <c r="D280" t="s">
        <v>20</v>
      </c>
      <c r="E280" t="s">
        <v>26</v>
      </c>
      <c r="F280" t="s">
        <v>15</v>
      </c>
      <c r="G280" t="s">
        <v>22</v>
      </c>
      <c r="H280">
        <v>1</v>
      </c>
      <c r="I280">
        <v>284.3</v>
      </c>
      <c r="J280">
        <v>284.3</v>
      </c>
      <c r="K280" t="s">
        <v>17</v>
      </c>
    </row>
    <row r="281" spans="1:11" hidden="1" x14ac:dyDescent="0.25">
      <c r="A281" s="1">
        <v>44575</v>
      </c>
      <c r="B281" t="s">
        <v>48</v>
      </c>
      <c r="C281" t="s">
        <v>49</v>
      </c>
      <c r="D281" t="s">
        <v>50</v>
      </c>
      <c r="E281" t="s">
        <v>14</v>
      </c>
      <c r="F281" t="s">
        <v>15</v>
      </c>
      <c r="G281" t="s">
        <v>33</v>
      </c>
      <c r="H281">
        <v>5</v>
      </c>
      <c r="I281">
        <v>289.47000000000003</v>
      </c>
      <c r="J281">
        <v>1447.35</v>
      </c>
      <c r="K281" t="s">
        <v>17</v>
      </c>
    </row>
    <row r="282" spans="1:11" x14ac:dyDescent="0.25">
      <c r="A282" s="1">
        <v>44630</v>
      </c>
      <c r="B282" t="s">
        <v>28</v>
      </c>
      <c r="C282" t="s">
        <v>29</v>
      </c>
      <c r="D282" t="s">
        <v>25</v>
      </c>
      <c r="E282" t="s">
        <v>26</v>
      </c>
      <c r="F282" t="s">
        <v>40</v>
      </c>
      <c r="G282" t="s">
        <v>34</v>
      </c>
      <c r="H282">
        <v>2</v>
      </c>
      <c r="I282">
        <v>218.25</v>
      </c>
      <c r="J282">
        <v>436.5</v>
      </c>
      <c r="K282" t="s">
        <v>36</v>
      </c>
    </row>
    <row r="283" spans="1:11" x14ac:dyDescent="0.25">
      <c r="A283" s="1">
        <v>44750</v>
      </c>
      <c r="B283" t="s">
        <v>31</v>
      </c>
      <c r="C283" t="s">
        <v>19</v>
      </c>
      <c r="D283" t="s">
        <v>25</v>
      </c>
      <c r="E283" t="s">
        <v>30</v>
      </c>
      <c r="F283" t="s">
        <v>21</v>
      </c>
      <c r="G283" t="s">
        <v>43</v>
      </c>
      <c r="H283">
        <v>4</v>
      </c>
      <c r="I283">
        <v>204.62</v>
      </c>
      <c r="J283">
        <v>818.48</v>
      </c>
      <c r="K283" t="s">
        <v>36</v>
      </c>
    </row>
    <row r="284" spans="1:11" hidden="1" x14ac:dyDescent="0.25">
      <c r="A284" s="1">
        <v>44564</v>
      </c>
      <c r="B284" t="s">
        <v>48</v>
      </c>
      <c r="C284" t="s">
        <v>49</v>
      </c>
      <c r="D284" t="s">
        <v>50</v>
      </c>
      <c r="E284" t="s">
        <v>26</v>
      </c>
      <c r="F284" t="s">
        <v>15</v>
      </c>
      <c r="G284" t="s">
        <v>16</v>
      </c>
      <c r="H284">
        <v>2</v>
      </c>
      <c r="I284">
        <v>267.42</v>
      </c>
      <c r="J284">
        <v>534.84</v>
      </c>
      <c r="K284" t="s">
        <v>23</v>
      </c>
    </row>
    <row r="285" spans="1:11" x14ac:dyDescent="0.25">
      <c r="A285" s="1">
        <v>44653</v>
      </c>
      <c r="B285" t="s">
        <v>41</v>
      </c>
      <c r="C285" t="s">
        <v>29</v>
      </c>
      <c r="D285" t="s">
        <v>42</v>
      </c>
      <c r="E285" t="s">
        <v>30</v>
      </c>
      <c r="F285" t="s">
        <v>32</v>
      </c>
      <c r="G285" t="s">
        <v>27</v>
      </c>
      <c r="H285">
        <v>1</v>
      </c>
      <c r="I285">
        <v>144.59</v>
      </c>
      <c r="J285">
        <v>144.59</v>
      </c>
      <c r="K285" t="s">
        <v>35</v>
      </c>
    </row>
    <row r="286" spans="1:11" x14ac:dyDescent="0.25">
      <c r="A286" s="1">
        <v>44790</v>
      </c>
      <c r="B286" t="s">
        <v>18</v>
      </c>
      <c r="C286" t="s">
        <v>19</v>
      </c>
      <c r="D286" t="s">
        <v>20</v>
      </c>
      <c r="E286" t="s">
        <v>30</v>
      </c>
      <c r="F286" t="s">
        <v>40</v>
      </c>
      <c r="G286" t="s">
        <v>39</v>
      </c>
      <c r="H286">
        <v>2</v>
      </c>
      <c r="I286">
        <v>80.47</v>
      </c>
      <c r="J286">
        <v>160.94</v>
      </c>
      <c r="K286" t="s">
        <v>17</v>
      </c>
    </row>
    <row r="287" spans="1:11" x14ac:dyDescent="0.25">
      <c r="A287" s="1">
        <v>44677</v>
      </c>
      <c r="B287" t="s">
        <v>28</v>
      </c>
      <c r="C287" t="s">
        <v>29</v>
      </c>
      <c r="D287" t="s">
        <v>25</v>
      </c>
      <c r="E287" t="s">
        <v>30</v>
      </c>
      <c r="F287" t="s">
        <v>32</v>
      </c>
      <c r="G287" t="s">
        <v>39</v>
      </c>
      <c r="H287">
        <v>2</v>
      </c>
      <c r="I287">
        <v>98.17</v>
      </c>
      <c r="J287">
        <v>196.34</v>
      </c>
      <c r="K287" t="s">
        <v>17</v>
      </c>
    </row>
    <row r="288" spans="1:11" x14ac:dyDescent="0.25">
      <c r="A288" s="1">
        <v>44727</v>
      </c>
      <c r="B288" t="s">
        <v>37</v>
      </c>
      <c r="C288" t="s">
        <v>29</v>
      </c>
      <c r="D288" t="s">
        <v>38</v>
      </c>
      <c r="E288" t="s">
        <v>30</v>
      </c>
      <c r="F288" t="s">
        <v>40</v>
      </c>
      <c r="G288" t="s">
        <v>34</v>
      </c>
      <c r="H288">
        <v>2</v>
      </c>
      <c r="I288">
        <v>63.76</v>
      </c>
      <c r="J288">
        <v>127.52</v>
      </c>
      <c r="K288" t="s">
        <v>23</v>
      </c>
    </row>
    <row r="289" spans="1:11" x14ac:dyDescent="0.25">
      <c r="A289" s="1">
        <v>44657</v>
      </c>
      <c r="B289" t="s">
        <v>41</v>
      </c>
      <c r="C289" t="s">
        <v>29</v>
      </c>
      <c r="D289" t="s">
        <v>42</v>
      </c>
      <c r="E289" t="s">
        <v>30</v>
      </c>
      <c r="F289" t="s">
        <v>32</v>
      </c>
      <c r="G289" t="s">
        <v>34</v>
      </c>
      <c r="H289">
        <v>2</v>
      </c>
      <c r="I289">
        <v>157.12</v>
      </c>
      <c r="J289">
        <v>314.24</v>
      </c>
      <c r="K289" t="s">
        <v>17</v>
      </c>
    </row>
    <row r="290" spans="1:11" x14ac:dyDescent="0.25">
      <c r="A290" s="1">
        <v>44658</v>
      </c>
      <c r="B290" t="s">
        <v>41</v>
      </c>
      <c r="C290" t="s">
        <v>29</v>
      </c>
      <c r="D290" t="s">
        <v>42</v>
      </c>
      <c r="E290" t="s">
        <v>26</v>
      </c>
      <c r="F290" t="s">
        <v>32</v>
      </c>
      <c r="G290" t="s">
        <v>27</v>
      </c>
      <c r="H290">
        <v>5</v>
      </c>
      <c r="I290">
        <v>293.20999999999998</v>
      </c>
      <c r="J290">
        <v>1466.05</v>
      </c>
      <c r="K290" t="s">
        <v>23</v>
      </c>
    </row>
    <row r="291" spans="1:11" x14ac:dyDescent="0.25">
      <c r="A291" s="1">
        <v>44650</v>
      </c>
      <c r="B291" t="s">
        <v>37</v>
      </c>
      <c r="C291" t="s">
        <v>29</v>
      </c>
      <c r="D291" t="s">
        <v>38</v>
      </c>
      <c r="E291" t="s">
        <v>30</v>
      </c>
      <c r="F291" t="s">
        <v>21</v>
      </c>
      <c r="G291" t="s">
        <v>34</v>
      </c>
      <c r="H291">
        <v>2</v>
      </c>
      <c r="I291">
        <v>142.25</v>
      </c>
      <c r="J291">
        <v>284.5</v>
      </c>
      <c r="K291" t="s">
        <v>35</v>
      </c>
    </row>
    <row r="292" spans="1:11" x14ac:dyDescent="0.25">
      <c r="A292" s="1">
        <v>44744</v>
      </c>
      <c r="B292" t="s">
        <v>37</v>
      </c>
      <c r="C292" t="s">
        <v>29</v>
      </c>
      <c r="D292" t="s">
        <v>38</v>
      </c>
      <c r="E292" t="s">
        <v>30</v>
      </c>
      <c r="F292" t="s">
        <v>40</v>
      </c>
      <c r="G292" t="s">
        <v>16</v>
      </c>
      <c r="H292">
        <v>1</v>
      </c>
      <c r="I292">
        <v>86.17</v>
      </c>
      <c r="J292">
        <v>86.17</v>
      </c>
      <c r="K292" t="s">
        <v>36</v>
      </c>
    </row>
    <row r="293" spans="1:11" x14ac:dyDescent="0.25">
      <c r="A293" s="1">
        <v>44751</v>
      </c>
      <c r="B293" t="s">
        <v>28</v>
      </c>
      <c r="C293" t="s">
        <v>29</v>
      </c>
      <c r="D293" t="s">
        <v>25</v>
      </c>
      <c r="E293" t="s">
        <v>26</v>
      </c>
      <c r="F293" t="s">
        <v>15</v>
      </c>
      <c r="G293" t="s">
        <v>39</v>
      </c>
      <c r="H293">
        <v>3</v>
      </c>
      <c r="I293">
        <v>172.37</v>
      </c>
      <c r="J293">
        <v>517.11</v>
      </c>
      <c r="K293" t="s">
        <v>17</v>
      </c>
    </row>
    <row r="294" spans="1:11" x14ac:dyDescent="0.25">
      <c r="A294" s="1">
        <v>44597</v>
      </c>
      <c r="B294" t="s">
        <v>37</v>
      </c>
      <c r="C294" t="s">
        <v>29</v>
      </c>
      <c r="D294" t="s">
        <v>38</v>
      </c>
      <c r="E294" t="s">
        <v>30</v>
      </c>
      <c r="F294" t="s">
        <v>40</v>
      </c>
      <c r="G294" t="s">
        <v>43</v>
      </c>
      <c r="H294">
        <v>3</v>
      </c>
      <c r="I294">
        <v>236.05</v>
      </c>
      <c r="J294">
        <v>708.15</v>
      </c>
      <c r="K294" t="s">
        <v>35</v>
      </c>
    </row>
    <row r="295" spans="1:11" x14ac:dyDescent="0.25">
      <c r="A295" s="1">
        <v>44753</v>
      </c>
      <c r="B295" t="s">
        <v>28</v>
      </c>
      <c r="C295" t="s">
        <v>29</v>
      </c>
      <c r="D295" t="s">
        <v>25</v>
      </c>
      <c r="E295" t="s">
        <v>30</v>
      </c>
      <c r="F295" t="s">
        <v>21</v>
      </c>
      <c r="G295" t="s">
        <v>34</v>
      </c>
      <c r="H295">
        <v>3</v>
      </c>
      <c r="I295">
        <v>256.72000000000003</v>
      </c>
      <c r="J295">
        <v>770.16</v>
      </c>
      <c r="K295" t="s">
        <v>35</v>
      </c>
    </row>
    <row r="296" spans="1:11" x14ac:dyDescent="0.25">
      <c r="A296" s="1">
        <v>44714</v>
      </c>
      <c r="B296" t="s">
        <v>24</v>
      </c>
      <c r="C296" t="s">
        <v>19</v>
      </c>
      <c r="D296" t="s">
        <v>25</v>
      </c>
      <c r="E296" t="s">
        <v>30</v>
      </c>
      <c r="F296" t="s">
        <v>15</v>
      </c>
      <c r="G296" t="s">
        <v>34</v>
      </c>
      <c r="H296">
        <v>4</v>
      </c>
      <c r="I296">
        <v>205.64</v>
      </c>
      <c r="J296">
        <v>822.56</v>
      </c>
      <c r="K296" t="s">
        <v>36</v>
      </c>
    </row>
    <row r="297" spans="1:11" x14ac:dyDescent="0.25">
      <c r="A297" s="1">
        <v>44710</v>
      </c>
      <c r="B297" t="s">
        <v>37</v>
      </c>
      <c r="C297" t="s">
        <v>29</v>
      </c>
      <c r="D297" t="s">
        <v>38</v>
      </c>
      <c r="E297" t="s">
        <v>30</v>
      </c>
      <c r="F297" t="s">
        <v>21</v>
      </c>
      <c r="G297" t="s">
        <v>27</v>
      </c>
      <c r="H297">
        <v>4</v>
      </c>
      <c r="I297">
        <v>68.180000000000007</v>
      </c>
      <c r="J297">
        <v>272.72000000000003</v>
      </c>
      <c r="K297" t="s">
        <v>23</v>
      </c>
    </row>
    <row r="298" spans="1:11" hidden="1" x14ac:dyDescent="0.25">
      <c r="A298" s="1">
        <v>44641</v>
      </c>
      <c r="B298" t="s">
        <v>45</v>
      </c>
      <c r="C298" t="s">
        <v>46</v>
      </c>
      <c r="D298" t="s">
        <v>47</v>
      </c>
      <c r="E298" t="s">
        <v>30</v>
      </c>
      <c r="F298" t="s">
        <v>15</v>
      </c>
      <c r="G298" t="s">
        <v>33</v>
      </c>
      <c r="H298">
        <v>4</v>
      </c>
      <c r="I298">
        <v>68.97</v>
      </c>
      <c r="J298">
        <v>275.88</v>
      </c>
      <c r="K298" t="s">
        <v>17</v>
      </c>
    </row>
    <row r="299" spans="1:11" x14ac:dyDescent="0.25">
      <c r="A299" s="1">
        <v>44718</v>
      </c>
      <c r="B299" t="s">
        <v>28</v>
      </c>
      <c r="C299" t="s">
        <v>29</v>
      </c>
      <c r="D299" t="s">
        <v>25</v>
      </c>
      <c r="E299" t="s">
        <v>14</v>
      </c>
      <c r="F299" t="s">
        <v>15</v>
      </c>
      <c r="G299" t="s">
        <v>27</v>
      </c>
      <c r="H299">
        <v>5</v>
      </c>
      <c r="I299">
        <v>123.23</v>
      </c>
      <c r="J299">
        <v>616.15</v>
      </c>
      <c r="K299" t="s">
        <v>36</v>
      </c>
    </row>
    <row r="300" spans="1:11" x14ac:dyDescent="0.25">
      <c r="A300" s="1">
        <v>44797</v>
      </c>
      <c r="B300" t="s">
        <v>24</v>
      </c>
      <c r="C300" t="s">
        <v>19</v>
      </c>
      <c r="D300" t="s">
        <v>25</v>
      </c>
      <c r="E300" t="s">
        <v>26</v>
      </c>
      <c r="F300" t="s">
        <v>21</v>
      </c>
      <c r="G300" t="s">
        <v>33</v>
      </c>
      <c r="H300">
        <v>5</v>
      </c>
      <c r="I300">
        <v>273</v>
      </c>
      <c r="J300">
        <v>1365</v>
      </c>
      <c r="K300" t="s">
        <v>17</v>
      </c>
    </row>
    <row r="301" spans="1:11" x14ac:dyDescent="0.25">
      <c r="A301" s="1">
        <v>44602</v>
      </c>
      <c r="B301" t="s">
        <v>18</v>
      </c>
      <c r="C301" t="s">
        <v>19</v>
      </c>
      <c r="D301" t="s">
        <v>20</v>
      </c>
      <c r="E301" t="s">
        <v>26</v>
      </c>
      <c r="F301" t="s">
        <v>32</v>
      </c>
      <c r="G301" t="s">
        <v>39</v>
      </c>
      <c r="H301">
        <v>3</v>
      </c>
      <c r="I301">
        <v>225.84</v>
      </c>
      <c r="J301">
        <v>677.52</v>
      </c>
      <c r="K301" t="s">
        <v>17</v>
      </c>
    </row>
    <row r="302" spans="1:11" x14ac:dyDescent="0.25">
      <c r="A302" s="1">
        <v>44621</v>
      </c>
      <c r="B302" t="s">
        <v>31</v>
      </c>
      <c r="C302" t="s">
        <v>19</v>
      </c>
      <c r="D302" t="s">
        <v>25</v>
      </c>
      <c r="E302" t="s">
        <v>26</v>
      </c>
      <c r="F302" t="s">
        <v>40</v>
      </c>
      <c r="G302" t="s">
        <v>39</v>
      </c>
      <c r="H302">
        <v>3</v>
      </c>
      <c r="I302">
        <v>235.36</v>
      </c>
      <c r="J302">
        <v>706.08</v>
      </c>
      <c r="K302" t="s">
        <v>36</v>
      </c>
    </row>
    <row r="303" spans="1:11" x14ac:dyDescent="0.25">
      <c r="A303" s="1">
        <v>44637</v>
      </c>
      <c r="B303" t="s">
        <v>18</v>
      </c>
      <c r="C303" t="s">
        <v>19</v>
      </c>
      <c r="D303" t="s">
        <v>20</v>
      </c>
      <c r="E303" t="s">
        <v>26</v>
      </c>
      <c r="F303" t="s">
        <v>40</v>
      </c>
      <c r="G303" t="s">
        <v>43</v>
      </c>
      <c r="H303">
        <v>5</v>
      </c>
      <c r="I303">
        <v>189.94</v>
      </c>
      <c r="J303">
        <v>949.7</v>
      </c>
      <c r="K303" t="s">
        <v>23</v>
      </c>
    </row>
    <row r="304" spans="1:11" x14ac:dyDescent="0.25">
      <c r="A304" s="1">
        <v>44564</v>
      </c>
      <c r="B304" t="s">
        <v>37</v>
      </c>
      <c r="C304" t="s">
        <v>29</v>
      </c>
      <c r="D304" t="s">
        <v>38</v>
      </c>
      <c r="E304" t="s">
        <v>26</v>
      </c>
      <c r="F304" t="s">
        <v>32</v>
      </c>
      <c r="G304" t="s">
        <v>22</v>
      </c>
      <c r="H304">
        <v>3</v>
      </c>
      <c r="I304">
        <v>110.2</v>
      </c>
      <c r="J304">
        <v>330.6</v>
      </c>
      <c r="K304" t="s">
        <v>17</v>
      </c>
    </row>
    <row r="305" spans="1:11" x14ac:dyDescent="0.25">
      <c r="A305" s="1">
        <v>44741</v>
      </c>
      <c r="B305" t="s">
        <v>37</v>
      </c>
      <c r="C305" t="s">
        <v>29</v>
      </c>
      <c r="D305" t="s">
        <v>38</v>
      </c>
      <c r="E305" t="s">
        <v>14</v>
      </c>
      <c r="F305" t="s">
        <v>40</v>
      </c>
      <c r="G305" t="s">
        <v>27</v>
      </c>
      <c r="H305">
        <v>2</v>
      </c>
      <c r="I305">
        <v>54.76</v>
      </c>
      <c r="J305">
        <v>109.52</v>
      </c>
      <c r="K305" t="s">
        <v>36</v>
      </c>
    </row>
    <row r="306" spans="1:11" x14ac:dyDescent="0.25">
      <c r="A306" s="1">
        <v>44714</v>
      </c>
      <c r="B306" t="s">
        <v>41</v>
      </c>
      <c r="C306" t="s">
        <v>29</v>
      </c>
      <c r="D306" t="s">
        <v>42</v>
      </c>
      <c r="E306" t="s">
        <v>26</v>
      </c>
      <c r="F306" t="s">
        <v>40</v>
      </c>
      <c r="G306" t="s">
        <v>33</v>
      </c>
      <c r="H306">
        <v>1</v>
      </c>
      <c r="I306">
        <v>296.56</v>
      </c>
      <c r="J306">
        <v>296.56</v>
      </c>
      <c r="K306" t="s">
        <v>35</v>
      </c>
    </row>
    <row r="307" spans="1:11" x14ac:dyDescent="0.25">
      <c r="A307" s="1">
        <v>44716</v>
      </c>
      <c r="B307" t="s">
        <v>18</v>
      </c>
      <c r="C307" t="s">
        <v>19</v>
      </c>
      <c r="D307" t="s">
        <v>20</v>
      </c>
      <c r="E307" t="s">
        <v>26</v>
      </c>
      <c r="F307" t="s">
        <v>40</v>
      </c>
      <c r="G307" t="s">
        <v>33</v>
      </c>
      <c r="H307">
        <v>1</v>
      </c>
      <c r="I307">
        <v>296.51</v>
      </c>
      <c r="J307">
        <v>296.51</v>
      </c>
      <c r="K307" t="s">
        <v>36</v>
      </c>
    </row>
    <row r="308" spans="1:11" hidden="1" x14ac:dyDescent="0.25">
      <c r="A308" s="1">
        <v>44654</v>
      </c>
      <c r="B308" t="s">
        <v>48</v>
      </c>
      <c r="C308" t="s">
        <v>49</v>
      </c>
      <c r="D308" t="s">
        <v>50</v>
      </c>
      <c r="E308" t="s">
        <v>30</v>
      </c>
      <c r="F308" t="s">
        <v>32</v>
      </c>
      <c r="G308" t="s">
        <v>43</v>
      </c>
      <c r="H308">
        <v>1</v>
      </c>
      <c r="I308">
        <v>89.5</v>
      </c>
      <c r="J308">
        <v>89.5</v>
      </c>
      <c r="K308" t="s">
        <v>35</v>
      </c>
    </row>
    <row r="309" spans="1:11" x14ac:dyDescent="0.25">
      <c r="A309" s="1">
        <v>44636</v>
      </c>
      <c r="B309" t="s">
        <v>18</v>
      </c>
      <c r="C309" t="s">
        <v>19</v>
      </c>
      <c r="D309" t="s">
        <v>20</v>
      </c>
      <c r="E309" t="s">
        <v>14</v>
      </c>
      <c r="F309" t="s">
        <v>32</v>
      </c>
      <c r="G309" t="s">
        <v>34</v>
      </c>
      <c r="H309">
        <v>3</v>
      </c>
      <c r="I309">
        <v>280.64</v>
      </c>
      <c r="J309">
        <v>841.92</v>
      </c>
      <c r="K309" t="s">
        <v>17</v>
      </c>
    </row>
    <row r="310" spans="1:11" x14ac:dyDescent="0.25">
      <c r="A310" s="1">
        <v>44607</v>
      </c>
      <c r="B310" t="s">
        <v>28</v>
      </c>
      <c r="C310" t="s">
        <v>29</v>
      </c>
      <c r="D310" t="s">
        <v>25</v>
      </c>
      <c r="E310" t="s">
        <v>26</v>
      </c>
      <c r="F310" t="s">
        <v>21</v>
      </c>
      <c r="G310" t="s">
        <v>39</v>
      </c>
      <c r="H310">
        <v>5</v>
      </c>
      <c r="I310">
        <v>234.28</v>
      </c>
      <c r="J310">
        <v>1171.4000000000001</v>
      </c>
      <c r="K310" t="s">
        <v>23</v>
      </c>
    </row>
    <row r="311" spans="1:11" x14ac:dyDescent="0.25">
      <c r="A311" s="1">
        <v>44562</v>
      </c>
      <c r="B311" t="s">
        <v>24</v>
      </c>
      <c r="C311" t="s">
        <v>19</v>
      </c>
      <c r="D311" t="s">
        <v>25</v>
      </c>
      <c r="E311" t="s">
        <v>26</v>
      </c>
      <c r="F311" t="s">
        <v>21</v>
      </c>
      <c r="G311" t="s">
        <v>16</v>
      </c>
      <c r="H311">
        <v>2</v>
      </c>
      <c r="I311">
        <v>294.89</v>
      </c>
      <c r="J311">
        <v>589.78</v>
      </c>
      <c r="K311" t="s">
        <v>36</v>
      </c>
    </row>
    <row r="312" spans="1:11" x14ac:dyDescent="0.25">
      <c r="A312" s="1">
        <v>44630</v>
      </c>
      <c r="B312" t="s">
        <v>31</v>
      </c>
      <c r="C312" t="s">
        <v>19</v>
      </c>
      <c r="D312" t="s">
        <v>25</v>
      </c>
      <c r="E312" t="s">
        <v>26</v>
      </c>
      <c r="F312" t="s">
        <v>40</v>
      </c>
      <c r="G312" t="s">
        <v>22</v>
      </c>
      <c r="H312">
        <v>1</v>
      </c>
      <c r="I312">
        <v>208.24</v>
      </c>
      <c r="J312">
        <v>208.24</v>
      </c>
      <c r="K312" t="s">
        <v>23</v>
      </c>
    </row>
    <row r="313" spans="1:11" x14ac:dyDescent="0.25">
      <c r="A313" s="1">
        <v>44659</v>
      </c>
      <c r="B313" t="s">
        <v>31</v>
      </c>
      <c r="C313" t="s">
        <v>19</v>
      </c>
      <c r="D313" t="s">
        <v>25</v>
      </c>
      <c r="E313" t="s">
        <v>30</v>
      </c>
      <c r="F313" t="s">
        <v>32</v>
      </c>
      <c r="G313" t="s">
        <v>43</v>
      </c>
      <c r="H313">
        <v>5</v>
      </c>
      <c r="I313">
        <v>94.25</v>
      </c>
      <c r="J313">
        <v>471.25</v>
      </c>
      <c r="K313" t="s">
        <v>36</v>
      </c>
    </row>
    <row r="314" spans="1:11" x14ac:dyDescent="0.25">
      <c r="A314" s="1">
        <v>44776</v>
      </c>
      <c r="B314" t="s">
        <v>28</v>
      </c>
      <c r="C314" t="s">
        <v>29</v>
      </c>
      <c r="D314" t="s">
        <v>25</v>
      </c>
      <c r="E314" t="s">
        <v>26</v>
      </c>
      <c r="F314" t="s">
        <v>32</v>
      </c>
      <c r="G314" t="s">
        <v>27</v>
      </c>
      <c r="H314">
        <v>5</v>
      </c>
      <c r="I314">
        <v>259</v>
      </c>
      <c r="J314">
        <v>1295</v>
      </c>
      <c r="K314" t="s">
        <v>17</v>
      </c>
    </row>
    <row r="315" spans="1:11" hidden="1" x14ac:dyDescent="0.25">
      <c r="A315" s="1">
        <v>44686</v>
      </c>
      <c r="B315" t="s">
        <v>48</v>
      </c>
      <c r="C315" t="s">
        <v>49</v>
      </c>
      <c r="D315" t="s">
        <v>50</v>
      </c>
      <c r="E315" t="s">
        <v>26</v>
      </c>
      <c r="F315" t="s">
        <v>32</v>
      </c>
      <c r="G315" t="s">
        <v>27</v>
      </c>
      <c r="H315">
        <v>4</v>
      </c>
      <c r="I315">
        <v>299.73</v>
      </c>
      <c r="J315">
        <v>1198.92</v>
      </c>
      <c r="K315" t="s">
        <v>23</v>
      </c>
    </row>
    <row r="316" spans="1:11" x14ac:dyDescent="0.25">
      <c r="A316" s="1">
        <v>44700</v>
      </c>
      <c r="B316" t="s">
        <v>44</v>
      </c>
      <c r="C316" t="s">
        <v>19</v>
      </c>
      <c r="D316" t="s">
        <v>20</v>
      </c>
      <c r="E316" t="s">
        <v>30</v>
      </c>
      <c r="F316" t="s">
        <v>32</v>
      </c>
      <c r="G316" t="s">
        <v>39</v>
      </c>
      <c r="H316">
        <v>5</v>
      </c>
      <c r="I316">
        <v>71.260000000000005</v>
      </c>
      <c r="J316">
        <v>356.3</v>
      </c>
      <c r="K316" t="s">
        <v>23</v>
      </c>
    </row>
    <row r="317" spans="1:11" x14ac:dyDescent="0.25">
      <c r="A317" s="1">
        <v>44759</v>
      </c>
      <c r="B317" t="s">
        <v>24</v>
      </c>
      <c r="C317" t="s">
        <v>19</v>
      </c>
      <c r="D317" t="s">
        <v>25</v>
      </c>
      <c r="E317" t="s">
        <v>26</v>
      </c>
      <c r="F317" t="s">
        <v>15</v>
      </c>
      <c r="G317" t="s">
        <v>16</v>
      </c>
      <c r="H317">
        <v>5</v>
      </c>
      <c r="I317">
        <v>270.14</v>
      </c>
      <c r="J317">
        <v>1350.7</v>
      </c>
      <c r="K317" t="s">
        <v>36</v>
      </c>
    </row>
  </sheetData>
  <mergeCells count="3">
    <mergeCell ref="N2:P2"/>
    <mergeCell ref="R16:T16"/>
    <mergeCell ref="R17:T17"/>
  </mergeCells>
  <pageMargins left="0.7" right="0.7" top="0.75" bottom="0.75" header="0.3" footer="0.3"/>
  <pageSetup orientation="portrait"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95EC93-E771-456F-BE07-9A3803348997}">
  <dimension ref="A1:Q317"/>
  <sheetViews>
    <sheetView topLeftCell="G1" workbookViewId="0">
      <selection activeCell="N2" sqref="N2:Q2"/>
    </sheetView>
  </sheetViews>
  <sheetFormatPr defaultRowHeight="15" x14ac:dyDescent="0.25"/>
  <cols>
    <col min="1" max="1" width="10.42578125" bestFit="1" customWidth="1"/>
    <col min="2" max="2" width="24.42578125" bestFit="1" customWidth="1"/>
    <col min="3" max="3" width="14.85546875" bestFit="1" customWidth="1"/>
    <col min="4" max="5" width="10" bestFit="1" customWidth="1"/>
    <col min="6" max="6" width="14.5703125" bestFit="1" customWidth="1"/>
    <col min="7" max="7" width="10.140625" customWidth="1"/>
    <col min="8" max="8" width="10.85546875" customWidth="1"/>
    <col min="9" max="9" width="14.7109375" customWidth="1"/>
    <col min="10" max="10" width="13.28515625" bestFit="1" customWidth="1"/>
    <col min="11" max="11" width="17" bestFit="1" customWidth="1"/>
    <col min="13" max="13" width="13.140625" bestFit="1" customWidth="1"/>
    <col min="14" max="14" width="24.42578125" bestFit="1" customWidth="1"/>
    <col min="15" max="15" width="15.42578125" bestFit="1" customWidth="1"/>
    <col min="16" max="16" width="23" bestFit="1" customWidth="1"/>
    <col min="17" max="17" width="17.85546875" bestFit="1" customWidth="1"/>
  </cols>
  <sheetData>
    <row r="1" spans="1:17" x14ac:dyDescent="0.25">
      <c r="A1" t="s">
        <v>0</v>
      </c>
      <c r="B1" t="s">
        <v>1</v>
      </c>
      <c r="C1" t="s">
        <v>2</v>
      </c>
      <c r="D1" t="s">
        <v>3</v>
      </c>
      <c r="E1" t="s">
        <v>4</v>
      </c>
      <c r="F1" t="s">
        <v>5</v>
      </c>
      <c r="G1" t="s">
        <v>6</v>
      </c>
      <c r="H1" t="s">
        <v>7</v>
      </c>
      <c r="I1" t="s">
        <v>8</v>
      </c>
      <c r="J1" t="s">
        <v>9</v>
      </c>
      <c r="K1" t="s">
        <v>10</v>
      </c>
    </row>
    <row r="2" spans="1:17" ht="15.75" x14ac:dyDescent="0.25">
      <c r="A2" s="1">
        <v>44708</v>
      </c>
      <c r="B2" t="s">
        <v>11</v>
      </c>
      <c r="C2" t="s">
        <v>12</v>
      </c>
      <c r="D2" t="s">
        <v>13</v>
      </c>
      <c r="E2" t="s">
        <v>14</v>
      </c>
      <c r="F2" t="s">
        <v>15</v>
      </c>
      <c r="G2" t="s">
        <v>16</v>
      </c>
      <c r="H2">
        <v>5</v>
      </c>
      <c r="I2">
        <v>141.82</v>
      </c>
      <c r="J2">
        <v>709.1</v>
      </c>
      <c r="K2" t="s">
        <v>17</v>
      </c>
      <c r="M2" s="2" t="s">
        <v>131</v>
      </c>
      <c r="N2" s="31" t="s">
        <v>130</v>
      </c>
      <c r="O2" s="31"/>
      <c r="P2" s="31"/>
      <c r="Q2" s="31"/>
    </row>
    <row r="3" spans="1:17" x14ac:dyDescent="0.25">
      <c r="A3" s="1">
        <v>44679</v>
      </c>
      <c r="B3" t="s">
        <v>18</v>
      </c>
      <c r="C3" t="s">
        <v>19</v>
      </c>
      <c r="D3" t="s">
        <v>20</v>
      </c>
      <c r="E3" t="s">
        <v>14</v>
      </c>
      <c r="F3" t="s">
        <v>40</v>
      </c>
      <c r="G3" t="s">
        <v>33</v>
      </c>
      <c r="H3">
        <v>1</v>
      </c>
      <c r="I3">
        <v>70.69</v>
      </c>
      <c r="J3">
        <v>70.69</v>
      </c>
      <c r="K3" t="s">
        <v>35</v>
      </c>
    </row>
    <row r="4" spans="1:17" x14ac:dyDescent="0.25">
      <c r="A4" s="1">
        <v>44633</v>
      </c>
      <c r="B4" t="s">
        <v>37</v>
      </c>
      <c r="C4" t="s">
        <v>29</v>
      </c>
      <c r="D4" t="s">
        <v>38</v>
      </c>
      <c r="E4" t="s">
        <v>26</v>
      </c>
      <c r="F4" t="s">
        <v>32</v>
      </c>
      <c r="G4" t="s">
        <v>34</v>
      </c>
      <c r="H4">
        <v>1</v>
      </c>
      <c r="I4">
        <v>89.14</v>
      </c>
      <c r="J4">
        <v>89.14</v>
      </c>
      <c r="K4" t="s">
        <v>23</v>
      </c>
      <c r="N4" s="3" t="s">
        <v>54</v>
      </c>
      <c r="O4" t="s">
        <v>58</v>
      </c>
      <c r="P4" t="s">
        <v>128</v>
      </c>
    </row>
    <row r="5" spans="1:17" hidden="1" x14ac:dyDescent="0.25">
      <c r="A5" s="1">
        <v>44766</v>
      </c>
      <c r="B5" t="s">
        <v>45</v>
      </c>
      <c r="C5" t="s">
        <v>46</v>
      </c>
      <c r="D5" t="s">
        <v>47</v>
      </c>
      <c r="E5" t="s">
        <v>14</v>
      </c>
      <c r="F5" t="s">
        <v>15</v>
      </c>
      <c r="G5" t="s">
        <v>43</v>
      </c>
      <c r="H5">
        <v>4</v>
      </c>
      <c r="I5">
        <v>135.07</v>
      </c>
      <c r="J5">
        <v>540.28</v>
      </c>
      <c r="K5" t="s">
        <v>23</v>
      </c>
      <c r="N5" s="4" t="s">
        <v>44</v>
      </c>
      <c r="O5" s="6">
        <v>86</v>
      </c>
      <c r="P5" s="6">
        <v>173.69076923076926</v>
      </c>
    </row>
    <row r="6" spans="1:17" x14ac:dyDescent="0.25">
      <c r="A6" s="1">
        <v>44723</v>
      </c>
      <c r="B6" t="s">
        <v>44</v>
      </c>
      <c r="C6" t="s">
        <v>19</v>
      </c>
      <c r="D6" t="s">
        <v>20</v>
      </c>
      <c r="E6" t="s">
        <v>30</v>
      </c>
      <c r="F6" t="s">
        <v>21</v>
      </c>
      <c r="G6" t="s">
        <v>27</v>
      </c>
      <c r="H6">
        <v>2</v>
      </c>
      <c r="I6">
        <v>223</v>
      </c>
      <c r="J6">
        <v>446</v>
      </c>
      <c r="K6" t="s">
        <v>23</v>
      </c>
      <c r="N6" s="19" t="s">
        <v>11</v>
      </c>
      <c r="O6" s="20">
        <v>76</v>
      </c>
      <c r="P6" s="20">
        <v>168.90041666666664</v>
      </c>
    </row>
    <row r="7" spans="1:17" x14ac:dyDescent="0.25">
      <c r="A7" s="1">
        <v>44740</v>
      </c>
      <c r="B7" t="s">
        <v>11</v>
      </c>
      <c r="C7" t="s">
        <v>12</v>
      </c>
      <c r="D7" t="s">
        <v>13</v>
      </c>
      <c r="E7" t="s">
        <v>14</v>
      </c>
      <c r="F7" t="s">
        <v>15</v>
      </c>
      <c r="G7" t="s">
        <v>34</v>
      </c>
      <c r="H7">
        <v>4</v>
      </c>
      <c r="I7">
        <v>238.52</v>
      </c>
      <c r="J7">
        <v>954.08</v>
      </c>
      <c r="K7" t="s">
        <v>23</v>
      </c>
      <c r="N7" s="4" t="s">
        <v>31</v>
      </c>
      <c r="O7" s="6">
        <v>100</v>
      </c>
      <c r="P7" s="6">
        <v>173.65999999999997</v>
      </c>
    </row>
    <row r="8" spans="1:17" x14ac:dyDescent="0.25">
      <c r="A8" s="1">
        <v>44754</v>
      </c>
      <c r="B8" t="s">
        <v>28</v>
      </c>
      <c r="C8" t="s">
        <v>29</v>
      </c>
      <c r="D8" t="s">
        <v>25</v>
      </c>
      <c r="E8" t="s">
        <v>26</v>
      </c>
      <c r="F8" t="s">
        <v>32</v>
      </c>
      <c r="G8" t="s">
        <v>33</v>
      </c>
      <c r="H8">
        <v>5</v>
      </c>
      <c r="I8">
        <v>120.55</v>
      </c>
      <c r="J8">
        <v>602.75</v>
      </c>
      <c r="K8" t="s">
        <v>35</v>
      </c>
      <c r="N8" s="19" t="s">
        <v>45</v>
      </c>
      <c r="O8" s="20">
        <v>76</v>
      </c>
      <c r="P8" s="20">
        <v>162.45959999999999</v>
      </c>
    </row>
    <row r="9" spans="1:17" hidden="1" x14ac:dyDescent="0.25">
      <c r="A9" s="1">
        <v>44605</v>
      </c>
      <c r="B9" t="s">
        <v>45</v>
      </c>
      <c r="C9" t="s">
        <v>46</v>
      </c>
      <c r="D9" t="s">
        <v>47</v>
      </c>
      <c r="E9" t="s">
        <v>26</v>
      </c>
      <c r="F9" t="s">
        <v>21</v>
      </c>
      <c r="G9" t="s">
        <v>27</v>
      </c>
      <c r="H9">
        <v>4</v>
      </c>
      <c r="I9">
        <v>212.66</v>
      </c>
      <c r="J9">
        <v>850.64</v>
      </c>
      <c r="K9" t="s">
        <v>36</v>
      </c>
      <c r="N9" s="4" t="s">
        <v>24</v>
      </c>
      <c r="O9" s="6">
        <v>97</v>
      </c>
      <c r="P9" s="6">
        <v>203.62821428571428</v>
      </c>
    </row>
    <row r="10" spans="1:17" x14ac:dyDescent="0.25">
      <c r="A10" s="1">
        <v>44752</v>
      </c>
      <c r="B10" t="s">
        <v>37</v>
      </c>
      <c r="C10" t="s">
        <v>29</v>
      </c>
      <c r="D10" t="s">
        <v>38</v>
      </c>
      <c r="E10" t="s">
        <v>26</v>
      </c>
      <c r="F10" t="s">
        <v>21</v>
      </c>
      <c r="G10" t="s">
        <v>39</v>
      </c>
      <c r="H10">
        <v>5</v>
      </c>
      <c r="I10">
        <v>256.22000000000003</v>
      </c>
      <c r="J10">
        <v>1281.0999999999999</v>
      </c>
      <c r="K10" t="s">
        <v>36</v>
      </c>
      <c r="N10" s="4" t="s">
        <v>28</v>
      </c>
      <c r="O10" s="6">
        <v>124</v>
      </c>
      <c r="P10" s="6">
        <v>169.45513513513509</v>
      </c>
    </row>
    <row r="11" spans="1:17" x14ac:dyDescent="0.25">
      <c r="A11" s="1">
        <v>44583</v>
      </c>
      <c r="B11" t="s">
        <v>31</v>
      </c>
      <c r="C11" t="s">
        <v>19</v>
      </c>
      <c r="D11" t="s">
        <v>25</v>
      </c>
      <c r="E11" t="s">
        <v>14</v>
      </c>
      <c r="F11" t="s">
        <v>32</v>
      </c>
      <c r="G11" t="s">
        <v>39</v>
      </c>
      <c r="H11">
        <v>4</v>
      </c>
      <c r="I11">
        <v>124.4</v>
      </c>
      <c r="J11">
        <v>497.6</v>
      </c>
      <c r="K11" t="s">
        <v>36</v>
      </c>
      <c r="N11" s="4" t="s">
        <v>37</v>
      </c>
      <c r="O11" s="6">
        <v>125</v>
      </c>
      <c r="P11" s="6">
        <v>161.47697674418606</v>
      </c>
    </row>
    <row r="12" spans="1:17" x14ac:dyDescent="0.25">
      <c r="A12" s="1">
        <v>44730</v>
      </c>
      <c r="B12" t="s">
        <v>31</v>
      </c>
      <c r="C12" t="s">
        <v>19</v>
      </c>
      <c r="D12" t="s">
        <v>25</v>
      </c>
      <c r="E12" t="s">
        <v>26</v>
      </c>
      <c r="F12" t="s">
        <v>32</v>
      </c>
      <c r="G12" t="s">
        <v>27</v>
      </c>
      <c r="H12">
        <v>2</v>
      </c>
      <c r="I12">
        <v>80.33</v>
      </c>
      <c r="J12">
        <v>160.66</v>
      </c>
      <c r="K12" t="s">
        <v>17</v>
      </c>
      <c r="N12" s="4" t="s">
        <v>48</v>
      </c>
      <c r="O12" s="6">
        <v>105</v>
      </c>
      <c r="P12" s="6">
        <v>187.44052631578947</v>
      </c>
    </row>
    <row r="13" spans="1:17" x14ac:dyDescent="0.25">
      <c r="A13" s="1">
        <v>44638</v>
      </c>
      <c r="B13" t="s">
        <v>41</v>
      </c>
      <c r="C13" t="s">
        <v>29</v>
      </c>
      <c r="D13" t="s">
        <v>42</v>
      </c>
      <c r="E13" t="s">
        <v>14</v>
      </c>
      <c r="F13" t="s">
        <v>40</v>
      </c>
      <c r="G13" t="s">
        <v>39</v>
      </c>
      <c r="H13">
        <v>5</v>
      </c>
      <c r="I13">
        <v>58.65</v>
      </c>
      <c r="J13">
        <v>293.25</v>
      </c>
      <c r="K13" t="s">
        <v>35</v>
      </c>
      <c r="N13" s="4" t="s">
        <v>41</v>
      </c>
      <c r="O13" s="6">
        <v>88</v>
      </c>
      <c r="P13" s="6">
        <v>160.75464285714287</v>
      </c>
    </row>
    <row r="14" spans="1:17" x14ac:dyDescent="0.25">
      <c r="A14" s="1">
        <v>44794</v>
      </c>
      <c r="B14" t="s">
        <v>24</v>
      </c>
      <c r="C14" t="s">
        <v>19</v>
      </c>
      <c r="D14" t="s">
        <v>25</v>
      </c>
      <c r="E14" t="s">
        <v>26</v>
      </c>
      <c r="F14" t="s">
        <v>21</v>
      </c>
      <c r="G14" t="s">
        <v>22</v>
      </c>
      <c r="H14">
        <v>5</v>
      </c>
      <c r="I14">
        <v>183.55</v>
      </c>
      <c r="J14">
        <v>917.75</v>
      </c>
      <c r="K14" t="s">
        <v>23</v>
      </c>
      <c r="N14" s="4" t="s">
        <v>18</v>
      </c>
      <c r="O14" s="6">
        <v>112</v>
      </c>
      <c r="P14">
        <v>178.3842105263158</v>
      </c>
    </row>
    <row r="15" spans="1:17" hidden="1" x14ac:dyDescent="0.25">
      <c r="A15" s="1">
        <v>44749</v>
      </c>
      <c r="B15" t="s">
        <v>48</v>
      </c>
      <c r="C15" t="s">
        <v>49</v>
      </c>
      <c r="D15" t="s">
        <v>50</v>
      </c>
      <c r="E15" t="s">
        <v>14</v>
      </c>
      <c r="F15" t="s">
        <v>21</v>
      </c>
      <c r="G15" t="s">
        <v>39</v>
      </c>
      <c r="H15">
        <v>2</v>
      </c>
      <c r="I15">
        <v>210.77</v>
      </c>
      <c r="J15">
        <v>421.54</v>
      </c>
      <c r="K15" t="s">
        <v>17</v>
      </c>
      <c r="N15" s="4" t="s">
        <v>55</v>
      </c>
      <c r="O15" s="6">
        <v>989</v>
      </c>
      <c r="P15" s="6">
        <v>174.00193037974694</v>
      </c>
    </row>
    <row r="16" spans="1:17" x14ac:dyDescent="0.25">
      <c r="A16" s="1">
        <v>44692</v>
      </c>
      <c r="B16" t="s">
        <v>18</v>
      </c>
      <c r="C16" t="s">
        <v>19</v>
      </c>
      <c r="D16" t="s">
        <v>20</v>
      </c>
      <c r="E16" t="s">
        <v>14</v>
      </c>
      <c r="F16" t="s">
        <v>32</v>
      </c>
      <c r="G16" t="s">
        <v>27</v>
      </c>
      <c r="H16">
        <v>4</v>
      </c>
      <c r="I16">
        <v>218.82</v>
      </c>
      <c r="J16">
        <v>875.28</v>
      </c>
      <c r="K16" t="s">
        <v>36</v>
      </c>
    </row>
    <row r="17" spans="1:16" x14ac:dyDescent="0.25">
      <c r="A17" s="1">
        <v>44729</v>
      </c>
      <c r="B17" t="s">
        <v>11</v>
      </c>
      <c r="C17" t="s">
        <v>12</v>
      </c>
      <c r="D17" t="s">
        <v>13</v>
      </c>
      <c r="E17" t="s">
        <v>26</v>
      </c>
      <c r="F17" t="s">
        <v>40</v>
      </c>
      <c r="G17" t="s">
        <v>34</v>
      </c>
      <c r="H17">
        <v>5</v>
      </c>
      <c r="I17">
        <v>133.74</v>
      </c>
      <c r="J17">
        <v>668.7</v>
      </c>
      <c r="K17" t="s">
        <v>17</v>
      </c>
    </row>
    <row r="18" spans="1:16" x14ac:dyDescent="0.25">
      <c r="A18" s="1">
        <v>44705</v>
      </c>
      <c r="B18" t="s">
        <v>44</v>
      </c>
      <c r="C18" t="s">
        <v>19</v>
      </c>
      <c r="D18" t="s">
        <v>20</v>
      </c>
      <c r="E18" t="s">
        <v>26</v>
      </c>
      <c r="F18" t="s">
        <v>32</v>
      </c>
      <c r="G18" t="s">
        <v>34</v>
      </c>
      <c r="H18">
        <v>1</v>
      </c>
      <c r="I18">
        <v>208.47</v>
      </c>
      <c r="J18">
        <v>208.47</v>
      </c>
      <c r="K18" t="s">
        <v>23</v>
      </c>
      <c r="O18" s="23" t="s">
        <v>133</v>
      </c>
      <c r="P18" s="23" t="s">
        <v>132</v>
      </c>
    </row>
    <row r="19" spans="1:16" x14ac:dyDescent="0.25">
      <c r="A19" s="1">
        <v>44709</v>
      </c>
      <c r="B19" t="s">
        <v>37</v>
      </c>
      <c r="C19" t="s">
        <v>29</v>
      </c>
      <c r="D19" t="s">
        <v>38</v>
      </c>
      <c r="E19" t="s">
        <v>14</v>
      </c>
      <c r="F19" t="s">
        <v>15</v>
      </c>
      <c r="G19" t="s">
        <v>39</v>
      </c>
      <c r="H19">
        <v>1</v>
      </c>
      <c r="I19">
        <v>180.42</v>
      </c>
      <c r="J19">
        <v>180.42</v>
      </c>
      <c r="K19" t="s">
        <v>23</v>
      </c>
      <c r="N19" s="22" t="s">
        <v>129</v>
      </c>
      <c r="O19" s="22">
        <f>_xlfn.PERCENTILE.INC(O6:O14,0.1)</f>
        <v>76</v>
      </c>
      <c r="P19" s="22">
        <f>_xlfn.PERCENTILE.INC(P6:P14,0.25)</f>
        <v>162.45959999999999</v>
      </c>
    </row>
    <row r="20" spans="1:16" hidden="1" x14ac:dyDescent="0.25">
      <c r="A20" s="1">
        <v>44741</v>
      </c>
      <c r="B20" t="s">
        <v>48</v>
      </c>
      <c r="C20" t="s">
        <v>49</v>
      </c>
      <c r="D20" t="s">
        <v>50</v>
      </c>
      <c r="E20" t="s">
        <v>30</v>
      </c>
      <c r="F20" t="s">
        <v>32</v>
      </c>
      <c r="G20" t="s">
        <v>16</v>
      </c>
      <c r="H20">
        <v>3</v>
      </c>
      <c r="I20">
        <v>127.36</v>
      </c>
      <c r="J20">
        <v>382.08</v>
      </c>
      <c r="K20" t="s">
        <v>17</v>
      </c>
    </row>
    <row r="21" spans="1:16" x14ac:dyDescent="0.25">
      <c r="A21" s="1">
        <v>44706</v>
      </c>
      <c r="B21" t="s">
        <v>41</v>
      </c>
      <c r="C21" t="s">
        <v>29</v>
      </c>
      <c r="D21" t="s">
        <v>42</v>
      </c>
      <c r="E21" t="s">
        <v>30</v>
      </c>
      <c r="F21" t="s">
        <v>21</v>
      </c>
      <c r="G21" t="s">
        <v>16</v>
      </c>
      <c r="H21">
        <v>3</v>
      </c>
      <c r="I21">
        <v>149.51</v>
      </c>
      <c r="J21">
        <v>448.53</v>
      </c>
      <c r="K21" t="s">
        <v>23</v>
      </c>
    </row>
    <row r="22" spans="1:16" hidden="1" x14ac:dyDescent="0.25">
      <c r="A22" s="1">
        <v>44629</v>
      </c>
      <c r="B22" t="s">
        <v>45</v>
      </c>
      <c r="C22" t="s">
        <v>46</v>
      </c>
      <c r="D22" t="s">
        <v>47</v>
      </c>
      <c r="E22" t="s">
        <v>30</v>
      </c>
      <c r="F22" t="s">
        <v>32</v>
      </c>
      <c r="G22" t="s">
        <v>43</v>
      </c>
      <c r="H22">
        <v>3</v>
      </c>
      <c r="I22">
        <v>136.36000000000001</v>
      </c>
      <c r="J22">
        <v>409.08</v>
      </c>
      <c r="K22" t="s">
        <v>17</v>
      </c>
    </row>
    <row r="23" spans="1:16" x14ac:dyDescent="0.25">
      <c r="A23" s="1">
        <v>44794</v>
      </c>
      <c r="B23" t="s">
        <v>28</v>
      </c>
      <c r="C23" t="s">
        <v>29</v>
      </c>
      <c r="D23" t="s">
        <v>25</v>
      </c>
      <c r="E23" t="s">
        <v>14</v>
      </c>
      <c r="F23" t="s">
        <v>32</v>
      </c>
      <c r="G23" t="s">
        <v>34</v>
      </c>
      <c r="H23">
        <v>5</v>
      </c>
      <c r="I23">
        <v>162.38</v>
      </c>
      <c r="J23">
        <v>811.9</v>
      </c>
      <c r="K23" t="s">
        <v>17</v>
      </c>
    </row>
    <row r="24" spans="1:16" hidden="1" x14ac:dyDescent="0.25">
      <c r="A24" s="1">
        <v>44708</v>
      </c>
      <c r="B24" t="s">
        <v>48</v>
      </c>
      <c r="C24" t="s">
        <v>49</v>
      </c>
      <c r="D24" t="s">
        <v>50</v>
      </c>
      <c r="E24" t="s">
        <v>26</v>
      </c>
      <c r="F24" t="s">
        <v>40</v>
      </c>
      <c r="G24" t="s">
        <v>33</v>
      </c>
      <c r="H24">
        <v>2</v>
      </c>
      <c r="I24">
        <v>259.66000000000003</v>
      </c>
      <c r="J24">
        <v>519.32000000000005</v>
      </c>
      <c r="K24" t="s">
        <v>36</v>
      </c>
    </row>
    <row r="25" spans="1:16" x14ac:dyDescent="0.25">
      <c r="A25" s="1">
        <v>44703</v>
      </c>
      <c r="B25" t="s">
        <v>37</v>
      </c>
      <c r="C25" t="s">
        <v>29</v>
      </c>
      <c r="D25" t="s">
        <v>38</v>
      </c>
      <c r="E25" t="s">
        <v>30</v>
      </c>
      <c r="F25" t="s">
        <v>21</v>
      </c>
      <c r="G25" t="s">
        <v>39</v>
      </c>
      <c r="H25">
        <v>1</v>
      </c>
      <c r="I25">
        <v>180.39</v>
      </c>
      <c r="J25">
        <v>180.39</v>
      </c>
      <c r="K25" t="s">
        <v>17</v>
      </c>
    </row>
    <row r="26" spans="1:16" x14ac:dyDescent="0.25">
      <c r="A26" s="1">
        <v>44714</v>
      </c>
      <c r="B26" t="s">
        <v>37</v>
      </c>
      <c r="C26" t="s">
        <v>29</v>
      </c>
      <c r="D26" t="s">
        <v>38</v>
      </c>
      <c r="E26" t="s">
        <v>30</v>
      </c>
      <c r="F26" t="s">
        <v>15</v>
      </c>
      <c r="G26" t="s">
        <v>39</v>
      </c>
      <c r="H26">
        <v>3</v>
      </c>
      <c r="I26">
        <v>80.349999999999994</v>
      </c>
      <c r="J26">
        <v>241.05</v>
      </c>
      <c r="K26" t="s">
        <v>17</v>
      </c>
    </row>
    <row r="27" spans="1:16" x14ac:dyDescent="0.25">
      <c r="A27" s="1">
        <v>44626</v>
      </c>
      <c r="B27" t="s">
        <v>11</v>
      </c>
      <c r="C27" t="s">
        <v>12</v>
      </c>
      <c r="D27" t="s">
        <v>13</v>
      </c>
      <c r="E27" t="s">
        <v>30</v>
      </c>
      <c r="F27" t="s">
        <v>21</v>
      </c>
      <c r="G27" t="s">
        <v>16</v>
      </c>
      <c r="H27">
        <v>2</v>
      </c>
      <c r="I27">
        <v>222.08</v>
      </c>
      <c r="J27">
        <v>444.16</v>
      </c>
      <c r="K27" t="s">
        <v>35</v>
      </c>
    </row>
    <row r="28" spans="1:16" hidden="1" x14ac:dyDescent="0.25">
      <c r="A28" s="1">
        <v>44641</v>
      </c>
      <c r="B28" t="s">
        <v>48</v>
      </c>
      <c r="C28" t="s">
        <v>49</v>
      </c>
      <c r="D28" t="s">
        <v>50</v>
      </c>
      <c r="E28" t="s">
        <v>26</v>
      </c>
      <c r="F28" t="s">
        <v>40</v>
      </c>
      <c r="G28" t="s">
        <v>27</v>
      </c>
      <c r="H28">
        <v>1</v>
      </c>
      <c r="I28">
        <v>287.44</v>
      </c>
      <c r="J28">
        <v>287.44</v>
      </c>
      <c r="K28" t="s">
        <v>35</v>
      </c>
    </row>
    <row r="29" spans="1:16" x14ac:dyDescent="0.25">
      <c r="A29" s="1">
        <v>44758</v>
      </c>
      <c r="B29" t="s">
        <v>11</v>
      </c>
      <c r="C29" t="s">
        <v>12</v>
      </c>
      <c r="D29" t="s">
        <v>13</v>
      </c>
      <c r="E29" t="s">
        <v>14</v>
      </c>
      <c r="F29" t="s">
        <v>15</v>
      </c>
      <c r="G29" t="s">
        <v>34</v>
      </c>
      <c r="H29">
        <v>5</v>
      </c>
      <c r="I29">
        <v>137.9</v>
      </c>
      <c r="J29">
        <v>689.5</v>
      </c>
      <c r="K29" t="s">
        <v>35</v>
      </c>
    </row>
    <row r="30" spans="1:16" x14ac:dyDescent="0.25">
      <c r="A30" s="1">
        <v>44639</v>
      </c>
      <c r="B30" t="s">
        <v>37</v>
      </c>
      <c r="C30" t="s">
        <v>29</v>
      </c>
      <c r="D30" t="s">
        <v>38</v>
      </c>
      <c r="E30" t="s">
        <v>14</v>
      </c>
      <c r="F30" t="s">
        <v>21</v>
      </c>
      <c r="G30" t="s">
        <v>39</v>
      </c>
      <c r="H30">
        <v>3</v>
      </c>
      <c r="I30">
        <v>214.68</v>
      </c>
      <c r="J30">
        <v>644.04</v>
      </c>
      <c r="K30" t="s">
        <v>35</v>
      </c>
    </row>
    <row r="31" spans="1:16" x14ac:dyDescent="0.25">
      <c r="A31" s="1">
        <v>44777</v>
      </c>
      <c r="B31" t="s">
        <v>28</v>
      </c>
      <c r="C31" t="s">
        <v>29</v>
      </c>
      <c r="D31" t="s">
        <v>25</v>
      </c>
      <c r="E31" t="s">
        <v>26</v>
      </c>
      <c r="F31" t="s">
        <v>15</v>
      </c>
      <c r="G31" t="s">
        <v>22</v>
      </c>
      <c r="H31">
        <v>2</v>
      </c>
      <c r="I31">
        <v>269.88</v>
      </c>
      <c r="J31">
        <v>539.76</v>
      </c>
      <c r="K31" t="s">
        <v>23</v>
      </c>
    </row>
    <row r="32" spans="1:16" x14ac:dyDescent="0.25">
      <c r="A32" s="1">
        <v>44684</v>
      </c>
      <c r="B32" t="s">
        <v>31</v>
      </c>
      <c r="C32" t="s">
        <v>19</v>
      </c>
      <c r="D32" t="s">
        <v>25</v>
      </c>
      <c r="E32" t="s">
        <v>14</v>
      </c>
      <c r="F32" t="s">
        <v>40</v>
      </c>
      <c r="G32" t="s">
        <v>43</v>
      </c>
      <c r="H32">
        <v>1</v>
      </c>
      <c r="I32">
        <v>96.97</v>
      </c>
      <c r="J32">
        <v>96.97</v>
      </c>
      <c r="K32" t="s">
        <v>36</v>
      </c>
    </row>
    <row r="33" spans="1:11" hidden="1" x14ac:dyDescent="0.25">
      <c r="A33" s="1">
        <v>44743</v>
      </c>
      <c r="B33" t="s">
        <v>45</v>
      </c>
      <c r="C33" t="s">
        <v>46</v>
      </c>
      <c r="D33" t="s">
        <v>47</v>
      </c>
      <c r="E33" t="s">
        <v>26</v>
      </c>
      <c r="F33" t="s">
        <v>15</v>
      </c>
      <c r="G33" t="s">
        <v>33</v>
      </c>
      <c r="H33">
        <v>4</v>
      </c>
      <c r="I33">
        <v>270.55</v>
      </c>
      <c r="J33">
        <v>1082.2</v>
      </c>
      <c r="K33" t="s">
        <v>23</v>
      </c>
    </row>
    <row r="34" spans="1:11" x14ac:dyDescent="0.25">
      <c r="A34" s="1">
        <v>44728</v>
      </c>
      <c r="B34" t="s">
        <v>44</v>
      </c>
      <c r="C34" t="s">
        <v>19</v>
      </c>
      <c r="D34" t="s">
        <v>20</v>
      </c>
      <c r="E34" t="s">
        <v>14</v>
      </c>
      <c r="F34" t="s">
        <v>40</v>
      </c>
      <c r="G34" t="s">
        <v>33</v>
      </c>
      <c r="H34">
        <v>3</v>
      </c>
      <c r="I34">
        <v>261.31</v>
      </c>
      <c r="J34">
        <v>783.93</v>
      </c>
      <c r="K34" t="s">
        <v>17</v>
      </c>
    </row>
    <row r="35" spans="1:11" hidden="1" x14ac:dyDescent="0.25">
      <c r="A35" s="1">
        <v>44571</v>
      </c>
      <c r="B35" t="s">
        <v>45</v>
      </c>
      <c r="C35" t="s">
        <v>46</v>
      </c>
      <c r="D35" t="s">
        <v>47</v>
      </c>
      <c r="E35" t="s">
        <v>14</v>
      </c>
      <c r="F35" t="s">
        <v>40</v>
      </c>
      <c r="G35" t="s">
        <v>22</v>
      </c>
      <c r="H35">
        <v>4</v>
      </c>
      <c r="I35">
        <v>56.4</v>
      </c>
      <c r="J35">
        <v>225.6</v>
      </c>
      <c r="K35" t="s">
        <v>17</v>
      </c>
    </row>
    <row r="36" spans="1:11" x14ac:dyDescent="0.25">
      <c r="A36" s="1">
        <v>44750</v>
      </c>
      <c r="B36" t="s">
        <v>18</v>
      </c>
      <c r="C36" t="s">
        <v>19</v>
      </c>
      <c r="D36" t="s">
        <v>20</v>
      </c>
      <c r="E36" t="s">
        <v>30</v>
      </c>
      <c r="F36" t="s">
        <v>40</v>
      </c>
      <c r="G36" t="s">
        <v>27</v>
      </c>
      <c r="H36">
        <v>3</v>
      </c>
      <c r="I36">
        <v>239.55</v>
      </c>
      <c r="J36">
        <v>718.65</v>
      </c>
      <c r="K36" t="s">
        <v>17</v>
      </c>
    </row>
    <row r="37" spans="1:11" x14ac:dyDescent="0.25">
      <c r="A37" s="1">
        <v>44793</v>
      </c>
      <c r="B37" t="s">
        <v>31</v>
      </c>
      <c r="C37" t="s">
        <v>19</v>
      </c>
      <c r="D37" t="s">
        <v>25</v>
      </c>
      <c r="E37" t="s">
        <v>14</v>
      </c>
      <c r="F37" t="s">
        <v>15</v>
      </c>
      <c r="G37" t="s">
        <v>27</v>
      </c>
      <c r="H37">
        <v>2</v>
      </c>
      <c r="I37">
        <v>94.62</v>
      </c>
      <c r="J37">
        <v>189.24</v>
      </c>
      <c r="K37" t="s">
        <v>23</v>
      </c>
    </row>
    <row r="38" spans="1:11" x14ac:dyDescent="0.25">
      <c r="A38" s="1">
        <v>44766</v>
      </c>
      <c r="B38" t="s">
        <v>11</v>
      </c>
      <c r="C38" t="s">
        <v>12</v>
      </c>
      <c r="D38" t="s">
        <v>13</v>
      </c>
      <c r="E38" t="s">
        <v>14</v>
      </c>
      <c r="F38" t="s">
        <v>15</v>
      </c>
      <c r="G38" t="s">
        <v>27</v>
      </c>
      <c r="H38">
        <v>4</v>
      </c>
      <c r="I38">
        <v>57.22</v>
      </c>
      <c r="J38">
        <v>228.88</v>
      </c>
      <c r="K38" t="s">
        <v>23</v>
      </c>
    </row>
    <row r="39" spans="1:11" x14ac:dyDescent="0.25">
      <c r="A39" s="1">
        <v>44756</v>
      </c>
      <c r="B39" t="s">
        <v>24</v>
      </c>
      <c r="C39" t="s">
        <v>19</v>
      </c>
      <c r="D39" t="s">
        <v>25</v>
      </c>
      <c r="E39" t="s">
        <v>30</v>
      </c>
      <c r="F39" t="s">
        <v>15</v>
      </c>
      <c r="G39" t="s">
        <v>27</v>
      </c>
      <c r="H39">
        <v>1</v>
      </c>
      <c r="I39">
        <v>170.86</v>
      </c>
      <c r="J39">
        <v>170.86</v>
      </c>
      <c r="K39" t="s">
        <v>36</v>
      </c>
    </row>
    <row r="40" spans="1:11" x14ac:dyDescent="0.25">
      <c r="A40" s="1">
        <v>44603</v>
      </c>
      <c r="B40" t="s">
        <v>44</v>
      </c>
      <c r="C40" t="s">
        <v>19</v>
      </c>
      <c r="D40" t="s">
        <v>20</v>
      </c>
      <c r="E40" t="s">
        <v>30</v>
      </c>
      <c r="F40" t="s">
        <v>21</v>
      </c>
      <c r="G40" t="s">
        <v>33</v>
      </c>
      <c r="H40">
        <v>3</v>
      </c>
      <c r="I40">
        <v>105.79</v>
      </c>
      <c r="J40">
        <v>317.37</v>
      </c>
      <c r="K40" t="s">
        <v>36</v>
      </c>
    </row>
    <row r="41" spans="1:11" x14ac:dyDescent="0.25">
      <c r="A41" s="1">
        <v>44707</v>
      </c>
      <c r="B41" t="s">
        <v>44</v>
      </c>
      <c r="C41" t="s">
        <v>19</v>
      </c>
      <c r="D41" t="s">
        <v>20</v>
      </c>
      <c r="E41" t="s">
        <v>30</v>
      </c>
      <c r="F41" t="s">
        <v>21</v>
      </c>
      <c r="G41" t="s">
        <v>33</v>
      </c>
      <c r="H41">
        <v>5</v>
      </c>
      <c r="I41">
        <v>112.95</v>
      </c>
      <c r="J41">
        <v>564.75</v>
      </c>
      <c r="K41" t="s">
        <v>17</v>
      </c>
    </row>
    <row r="42" spans="1:11" x14ac:dyDescent="0.25">
      <c r="A42" s="1">
        <v>44793</v>
      </c>
      <c r="B42" t="s">
        <v>37</v>
      </c>
      <c r="C42" t="s">
        <v>29</v>
      </c>
      <c r="D42" t="s">
        <v>38</v>
      </c>
      <c r="E42" t="s">
        <v>14</v>
      </c>
      <c r="F42" t="s">
        <v>15</v>
      </c>
      <c r="G42" t="s">
        <v>22</v>
      </c>
      <c r="H42">
        <v>5</v>
      </c>
      <c r="I42">
        <v>55.8</v>
      </c>
      <c r="J42">
        <v>279</v>
      </c>
      <c r="K42" t="s">
        <v>17</v>
      </c>
    </row>
    <row r="43" spans="1:11" x14ac:dyDescent="0.25">
      <c r="A43" s="1">
        <v>44686</v>
      </c>
      <c r="B43" t="s">
        <v>41</v>
      </c>
      <c r="C43" t="s">
        <v>29</v>
      </c>
      <c r="D43" t="s">
        <v>42</v>
      </c>
      <c r="E43" t="s">
        <v>30</v>
      </c>
      <c r="F43" t="s">
        <v>40</v>
      </c>
      <c r="G43" t="s">
        <v>43</v>
      </c>
      <c r="H43">
        <v>1</v>
      </c>
      <c r="I43">
        <v>50.1</v>
      </c>
      <c r="J43">
        <v>50.1</v>
      </c>
      <c r="K43" t="s">
        <v>17</v>
      </c>
    </row>
    <row r="44" spans="1:11" x14ac:dyDescent="0.25">
      <c r="A44" s="1">
        <v>44804</v>
      </c>
      <c r="B44" t="s">
        <v>18</v>
      </c>
      <c r="C44" t="s">
        <v>19</v>
      </c>
      <c r="D44" t="s">
        <v>20</v>
      </c>
      <c r="E44" t="s">
        <v>30</v>
      </c>
      <c r="F44" t="s">
        <v>15</v>
      </c>
      <c r="G44" t="s">
        <v>22</v>
      </c>
      <c r="H44">
        <v>1</v>
      </c>
      <c r="I44">
        <v>56.49</v>
      </c>
      <c r="J44">
        <v>56.49</v>
      </c>
      <c r="K44" t="s">
        <v>35</v>
      </c>
    </row>
    <row r="45" spans="1:11" x14ac:dyDescent="0.25">
      <c r="A45" s="1">
        <v>44672</v>
      </c>
      <c r="B45" t="s">
        <v>37</v>
      </c>
      <c r="C45" t="s">
        <v>29</v>
      </c>
      <c r="D45" t="s">
        <v>38</v>
      </c>
      <c r="E45" t="s">
        <v>30</v>
      </c>
      <c r="F45" t="s">
        <v>40</v>
      </c>
      <c r="G45" t="s">
        <v>33</v>
      </c>
      <c r="H45">
        <v>5</v>
      </c>
      <c r="I45">
        <v>100.65</v>
      </c>
      <c r="J45">
        <v>503.25</v>
      </c>
      <c r="K45" t="s">
        <v>36</v>
      </c>
    </row>
    <row r="46" spans="1:11" x14ac:dyDescent="0.25">
      <c r="A46" s="1">
        <v>44794</v>
      </c>
      <c r="B46" t="s">
        <v>44</v>
      </c>
      <c r="C46" t="s">
        <v>19</v>
      </c>
      <c r="D46" t="s">
        <v>20</v>
      </c>
      <c r="E46" t="s">
        <v>30</v>
      </c>
      <c r="F46" t="s">
        <v>32</v>
      </c>
      <c r="G46" t="s">
        <v>16</v>
      </c>
      <c r="H46">
        <v>2</v>
      </c>
      <c r="I46">
        <v>160.44</v>
      </c>
      <c r="J46">
        <v>320.88</v>
      </c>
      <c r="K46" t="s">
        <v>35</v>
      </c>
    </row>
    <row r="47" spans="1:11" hidden="1" x14ac:dyDescent="0.25">
      <c r="A47" s="1">
        <v>44666</v>
      </c>
      <c r="B47" t="s">
        <v>48</v>
      </c>
      <c r="C47" t="s">
        <v>49</v>
      </c>
      <c r="D47" t="s">
        <v>50</v>
      </c>
      <c r="E47" t="s">
        <v>26</v>
      </c>
      <c r="F47" t="s">
        <v>21</v>
      </c>
      <c r="G47" t="s">
        <v>16</v>
      </c>
      <c r="H47">
        <v>4</v>
      </c>
      <c r="I47">
        <v>242.44</v>
      </c>
      <c r="J47">
        <v>969.76</v>
      </c>
      <c r="K47" t="s">
        <v>23</v>
      </c>
    </row>
    <row r="48" spans="1:11" x14ac:dyDescent="0.25">
      <c r="A48" s="1">
        <v>44688</v>
      </c>
      <c r="B48" t="s">
        <v>18</v>
      </c>
      <c r="C48" t="s">
        <v>19</v>
      </c>
      <c r="D48" t="s">
        <v>20</v>
      </c>
      <c r="E48" t="s">
        <v>14</v>
      </c>
      <c r="F48" t="s">
        <v>21</v>
      </c>
      <c r="G48" t="s">
        <v>33</v>
      </c>
      <c r="H48">
        <v>2</v>
      </c>
      <c r="I48">
        <v>209.81</v>
      </c>
      <c r="J48">
        <v>419.62</v>
      </c>
      <c r="K48" t="s">
        <v>17</v>
      </c>
    </row>
    <row r="49" spans="1:11" x14ac:dyDescent="0.25">
      <c r="A49" s="1">
        <v>44634</v>
      </c>
      <c r="B49" t="s">
        <v>44</v>
      </c>
      <c r="C49" t="s">
        <v>19</v>
      </c>
      <c r="D49" t="s">
        <v>20</v>
      </c>
      <c r="E49" t="s">
        <v>30</v>
      </c>
      <c r="F49" t="s">
        <v>32</v>
      </c>
      <c r="G49" t="s">
        <v>43</v>
      </c>
      <c r="H49">
        <v>4</v>
      </c>
      <c r="I49">
        <v>261.95999999999998</v>
      </c>
      <c r="J49">
        <v>1047.8399999999999</v>
      </c>
      <c r="K49" t="s">
        <v>23</v>
      </c>
    </row>
    <row r="50" spans="1:11" x14ac:dyDescent="0.25">
      <c r="A50" s="1">
        <v>44803</v>
      </c>
      <c r="B50" t="s">
        <v>41</v>
      </c>
      <c r="C50" t="s">
        <v>29</v>
      </c>
      <c r="D50" t="s">
        <v>42</v>
      </c>
      <c r="E50" t="s">
        <v>30</v>
      </c>
      <c r="F50" t="s">
        <v>32</v>
      </c>
      <c r="G50" t="s">
        <v>22</v>
      </c>
      <c r="H50">
        <v>3</v>
      </c>
      <c r="I50">
        <v>242.71</v>
      </c>
      <c r="J50">
        <v>728.13</v>
      </c>
      <c r="K50" t="s">
        <v>23</v>
      </c>
    </row>
    <row r="51" spans="1:11" x14ac:dyDescent="0.25">
      <c r="A51" s="1">
        <v>44718</v>
      </c>
      <c r="B51" t="s">
        <v>31</v>
      </c>
      <c r="C51" t="s">
        <v>19</v>
      </c>
      <c r="D51" t="s">
        <v>25</v>
      </c>
      <c r="E51" t="s">
        <v>26</v>
      </c>
      <c r="F51" t="s">
        <v>15</v>
      </c>
      <c r="G51" t="s">
        <v>22</v>
      </c>
      <c r="H51">
        <v>5</v>
      </c>
      <c r="I51">
        <v>299.3</v>
      </c>
      <c r="J51">
        <v>1496.5</v>
      </c>
      <c r="K51" t="s">
        <v>17</v>
      </c>
    </row>
    <row r="52" spans="1:11" x14ac:dyDescent="0.25">
      <c r="A52" s="1">
        <v>44802</v>
      </c>
      <c r="B52" t="s">
        <v>18</v>
      </c>
      <c r="C52" t="s">
        <v>19</v>
      </c>
      <c r="D52" t="s">
        <v>20</v>
      </c>
      <c r="E52" t="s">
        <v>14</v>
      </c>
      <c r="F52" t="s">
        <v>21</v>
      </c>
      <c r="G52" t="s">
        <v>22</v>
      </c>
      <c r="H52">
        <v>4</v>
      </c>
      <c r="I52">
        <v>162.85</v>
      </c>
      <c r="J52">
        <v>651.4</v>
      </c>
      <c r="K52" t="s">
        <v>35</v>
      </c>
    </row>
    <row r="53" spans="1:11" hidden="1" x14ac:dyDescent="0.25">
      <c r="A53" s="1">
        <v>44775</v>
      </c>
      <c r="B53" t="s">
        <v>48</v>
      </c>
      <c r="C53" t="s">
        <v>49</v>
      </c>
      <c r="D53" t="s">
        <v>50</v>
      </c>
      <c r="E53" t="s">
        <v>14</v>
      </c>
      <c r="F53" t="s">
        <v>21</v>
      </c>
      <c r="G53" t="s">
        <v>16</v>
      </c>
      <c r="H53">
        <v>5</v>
      </c>
      <c r="I53">
        <v>215.63</v>
      </c>
      <c r="J53">
        <v>1078.1500000000001</v>
      </c>
      <c r="K53" t="s">
        <v>17</v>
      </c>
    </row>
    <row r="54" spans="1:11" x14ac:dyDescent="0.25">
      <c r="A54" s="1">
        <v>44712</v>
      </c>
      <c r="B54" t="s">
        <v>31</v>
      </c>
      <c r="C54" t="s">
        <v>19</v>
      </c>
      <c r="D54" t="s">
        <v>25</v>
      </c>
      <c r="E54" t="s">
        <v>26</v>
      </c>
      <c r="F54" t="s">
        <v>15</v>
      </c>
      <c r="G54" t="s">
        <v>27</v>
      </c>
      <c r="H54">
        <v>1</v>
      </c>
      <c r="I54">
        <v>54.99</v>
      </c>
      <c r="J54">
        <v>54.99</v>
      </c>
      <c r="K54" t="s">
        <v>23</v>
      </c>
    </row>
    <row r="55" spans="1:11" x14ac:dyDescent="0.25">
      <c r="A55" s="1">
        <v>44593</v>
      </c>
      <c r="B55" t="s">
        <v>18</v>
      </c>
      <c r="C55" t="s">
        <v>19</v>
      </c>
      <c r="D55" t="s">
        <v>20</v>
      </c>
      <c r="E55" t="s">
        <v>30</v>
      </c>
      <c r="F55" t="s">
        <v>40</v>
      </c>
      <c r="G55" t="s">
        <v>34</v>
      </c>
      <c r="H55">
        <v>4</v>
      </c>
      <c r="I55">
        <v>185.7</v>
      </c>
      <c r="J55">
        <v>742.8</v>
      </c>
      <c r="K55" t="s">
        <v>36</v>
      </c>
    </row>
    <row r="56" spans="1:11" x14ac:dyDescent="0.25">
      <c r="A56" s="1">
        <v>44660</v>
      </c>
      <c r="B56" t="s">
        <v>28</v>
      </c>
      <c r="C56" t="s">
        <v>29</v>
      </c>
      <c r="D56" t="s">
        <v>25</v>
      </c>
      <c r="E56" t="s">
        <v>14</v>
      </c>
      <c r="F56" t="s">
        <v>21</v>
      </c>
      <c r="G56" t="s">
        <v>39</v>
      </c>
      <c r="H56">
        <v>2</v>
      </c>
      <c r="I56">
        <v>153.75</v>
      </c>
      <c r="J56">
        <v>307.5</v>
      </c>
      <c r="K56" t="s">
        <v>23</v>
      </c>
    </row>
    <row r="57" spans="1:11" x14ac:dyDescent="0.25">
      <c r="A57" s="1">
        <v>44641</v>
      </c>
      <c r="B57" t="s">
        <v>41</v>
      </c>
      <c r="C57" t="s">
        <v>29</v>
      </c>
      <c r="D57" t="s">
        <v>42</v>
      </c>
      <c r="E57" t="s">
        <v>30</v>
      </c>
      <c r="F57" t="s">
        <v>15</v>
      </c>
      <c r="G57" t="s">
        <v>33</v>
      </c>
      <c r="H57">
        <v>5</v>
      </c>
      <c r="I57">
        <v>235.5</v>
      </c>
      <c r="J57">
        <v>1177.5</v>
      </c>
      <c r="K57" t="s">
        <v>36</v>
      </c>
    </row>
    <row r="58" spans="1:11" x14ac:dyDescent="0.25">
      <c r="A58" s="1">
        <v>44765</v>
      </c>
      <c r="B58" t="s">
        <v>41</v>
      </c>
      <c r="C58" t="s">
        <v>29</v>
      </c>
      <c r="D58" t="s">
        <v>42</v>
      </c>
      <c r="E58" t="s">
        <v>26</v>
      </c>
      <c r="F58" t="s">
        <v>32</v>
      </c>
      <c r="G58" t="s">
        <v>39</v>
      </c>
      <c r="H58">
        <v>3</v>
      </c>
      <c r="I58">
        <v>239.76</v>
      </c>
      <c r="J58">
        <v>719.28</v>
      </c>
      <c r="K58" t="s">
        <v>17</v>
      </c>
    </row>
    <row r="59" spans="1:11" x14ac:dyDescent="0.25">
      <c r="A59" s="1">
        <v>44599</v>
      </c>
      <c r="B59" t="s">
        <v>37</v>
      </c>
      <c r="C59" t="s">
        <v>29</v>
      </c>
      <c r="D59" t="s">
        <v>38</v>
      </c>
      <c r="E59" t="s">
        <v>30</v>
      </c>
      <c r="F59" t="s">
        <v>32</v>
      </c>
      <c r="G59" t="s">
        <v>22</v>
      </c>
      <c r="H59">
        <v>4</v>
      </c>
      <c r="I59">
        <v>213.82</v>
      </c>
      <c r="J59">
        <v>855.28</v>
      </c>
      <c r="K59" t="s">
        <v>17</v>
      </c>
    </row>
    <row r="60" spans="1:11" x14ac:dyDescent="0.25">
      <c r="A60" s="1">
        <v>44678</v>
      </c>
      <c r="B60" t="s">
        <v>18</v>
      </c>
      <c r="C60" t="s">
        <v>19</v>
      </c>
      <c r="D60" t="s">
        <v>20</v>
      </c>
      <c r="E60" t="s">
        <v>26</v>
      </c>
      <c r="F60" t="s">
        <v>32</v>
      </c>
      <c r="G60" t="s">
        <v>16</v>
      </c>
      <c r="H60">
        <v>1</v>
      </c>
      <c r="I60">
        <v>67.2</v>
      </c>
      <c r="J60">
        <v>67.2</v>
      </c>
      <c r="K60" t="s">
        <v>36</v>
      </c>
    </row>
    <row r="61" spans="1:11" hidden="1" x14ac:dyDescent="0.25">
      <c r="A61" s="1">
        <v>44627</v>
      </c>
      <c r="B61" t="s">
        <v>45</v>
      </c>
      <c r="C61" t="s">
        <v>46</v>
      </c>
      <c r="D61" t="s">
        <v>47</v>
      </c>
      <c r="E61" t="s">
        <v>30</v>
      </c>
      <c r="F61" t="s">
        <v>40</v>
      </c>
      <c r="G61" t="s">
        <v>16</v>
      </c>
      <c r="H61">
        <v>4</v>
      </c>
      <c r="I61">
        <v>207.05</v>
      </c>
      <c r="J61">
        <v>828.2</v>
      </c>
      <c r="K61" t="s">
        <v>35</v>
      </c>
    </row>
    <row r="62" spans="1:11" x14ac:dyDescent="0.25">
      <c r="A62" s="1">
        <v>44686</v>
      </c>
      <c r="B62" t="s">
        <v>28</v>
      </c>
      <c r="C62" t="s">
        <v>29</v>
      </c>
      <c r="D62" t="s">
        <v>25</v>
      </c>
      <c r="E62" t="s">
        <v>14</v>
      </c>
      <c r="F62" t="s">
        <v>40</v>
      </c>
      <c r="G62" t="s">
        <v>16</v>
      </c>
      <c r="H62">
        <v>3</v>
      </c>
      <c r="I62">
        <v>257.92</v>
      </c>
      <c r="J62">
        <v>773.76</v>
      </c>
      <c r="K62" t="s">
        <v>36</v>
      </c>
    </row>
    <row r="63" spans="1:11" x14ac:dyDescent="0.25">
      <c r="A63" s="1">
        <v>44730</v>
      </c>
      <c r="B63" t="s">
        <v>18</v>
      </c>
      <c r="C63" t="s">
        <v>19</v>
      </c>
      <c r="D63" t="s">
        <v>20</v>
      </c>
      <c r="E63" t="s">
        <v>26</v>
      </c>
      <c r="F63" t="s">
        <v>15</v>
      </c>
      <c r="G63" t="s">
        <v>39</v>
      </c>
      <c r="H63">
        <v>1</v>
      </c>
      <c r="I63">
        <v>122.32</v>
      </c>
      <c r="J63">
        <v>122.32</v>
      </c>
      <c r="K63" t="s">
        <v>23</v>
      </c>
    </row>
    <row r="64" spans="1:11" x14ac:dyDescent="0.25">
      <c r="A64" s="1">
        <v>44707</v>
      </c>
      <c r="B64" t="s">
        <v>11</v>
      </c>
      <c r="C64" t="s">
        <v>12</v>
      </c>
      <c r="D64" t="s">
        <v>13</v>
      </c>
      <c r="E64" t="s">
        <v>14</v>
      </c>
      <c r="F64" t="s">
        <v>32</v>
      </c>
      <c r="G64" t="s">
        <v>22</v>
      </c>
      <c r="H64">
        <v>1</v>
      </c>
      <c r="I64">
        <v>203.63</v>
      </c>
      <c r="J64">
        <v>203.63</v>
      </c>
      <c r="K64" t="s">
        <v>23</v>
      </c>
    </row>
    <row r="65" spans="1:11" x14ac:dyDescent="0.25">
      <c r="A65" s="1">
        <v>44709</v>
      </c>
      <c r="B65" t="s">
        <v>31</v>
      </c>
      <c r="C65" t="s">
        <v>19</v>
      </c>
      <c r="D65" t="s">
        <v>25</v>
      </c>
      <c r="E65" t="s">
        <v>30</v>
      </c>
      <c r="F65" t="s">
        <v>40</v>
      </c>
      <c r="G65" t="s">
        <v>39</v>
      </c>
      <c r="H65">
        <v>3</v>
      </c>
      <c r="I65">
        <v>278.14999999999998</v>
      </c>
      <c r="J65">
        <v>834.45</v>
      </c>
      <c r="K65" t="s">
        <v>36</v>
      </c>
    </row>
    <row r="66" spans="1:11" x14ac:dyDescent="0.25">
      <c r="A66" s="1">
        <v>44745</v>
      </c>
      <c r="B66" t="s">
        <v>28</v>
      </c>
      <c r="C66" t="s">
        <v>29</v>
      </c>
      <c r="D66" t="s">
        <v>25</v>
      </c>
      <c r="E66" t="s">
        <v>30</v>
      </c>
      <c r="F66" t="s">
        <v>40</v>
      </c>
      <c r="G66" t="s">
        <v>27</v>
      </c>
      <c r="H66">
        <v>3</v>
      </c>
      <c r="I66">
        <v>129.78</v>
      </c>
      <c r="J66">
        <v>389.34</v>
      </c>
      <c r="K66" t="s">
        <v>17</v>
      </c>
    </row>
    <row r="67" spans="1:11" x14ac:dyDescent="0.25">
      <c r="A67" s="1">
        <v>44717</v>
      </c>
      <c r="B67" t="s">
        <v>31</v>
      </c>
      <c r="C67" t="s">
        <v>19</v>
      </c>
      <c r="D67" t="s">
        <v>25</v>
      </c>
      <c r="E67" t="s">
        <v>30</v>
      </c>
      <c r="F67" t="s">
        <v>32</v>
      </c>
      <c r="G67" t="s">
        <v>33</v>
      </c>
      <c r="H67">
        <v>5</v>
      </c>
      <c r="I67">
        <v>199.42</v>
      </c>
      <c r="J67">
        <v>997.1</v>
      </c>
      <c r="K67" t="s">
        <v>23</v>
      </c>
    </row>
    <row r="68" spans="1:11" x14ac:dyDescent="0.25">
      <c r="A68" s="1">
        <v>44738</v>
      </c>
      <c r="B68" t="s">
        <v>44</v>
      </c>
      <c r="C68" t="s">
        <v>19</v>
      </c>
      <c r="D68" t="s">
        <v>20</v>
      </c>
      <c r="E68" t="s">
        <v>30</v>
      </c>
      <c r="F68" t="s">
        <v>15</v>
      </c>
      <c r="G68" t="s">
        <v>16</v>
      </c>
      <c r="H68">
        <v>5</v>
      </c>
      <c r="I68">
        <v>98.23</v>
      </c>
      <c r="J68">
        <v>491.15</v>
      </c>
      <c r="K68" t="s">
        <v>23</v>
      </c>
    </row>
    <row r="69" spans="1:11" x14ac:dyDescent="0.25">
      <c r="A69" s="1">
        <v>44688</v>
      </c>
      <c r="B69" t="s">
        <v>24</v>
      </c>
      <c r="C69" t="s">
        <v>19</v>
      </c>
      <c r="D69" t="s">
        <v>25</v>
      </c>
      <c r="E69" t="s">
        <v>14</v>
      </c>
      <c r="F69" t="s">
        <v>21</v>
      </c>
      <c r="G69" t="s">
        <v>33</v>
      </c>
      <c r="H69">
        <v>1</v>
      </c>
      <c r="I69">
        <v>114.47</v>
      </c>
      <c r="J69">
        <v>114.47</v>
      </c>
      <c r="K69" t="s">
        <v>36</v>
      </c>
    </row>
    <row r="70" spans="1:11" hidden="1" x14ac:dyDescent="0.25">
      <c r="A70" s="1">
        <v>44624</v>
      </c>
      <c r="B70" t="s">
        <v>48</v>
      </c>
      <c r="C70" t="s">
        <v>49</v>
      </c>
      <c r="D70" t="s">
        <v>50</v>
      </c>
      <c r="E70" t="s">
        <v>26</v>
      </c>
      <c r="F70" t="s">
        <v>21</v>
      </c>
      <c r="G70" t="s">
        <v>16</v>
      </c>
      <c r="H70">
        <v>5</v>
      </c>
      <c r="I70">
        <v>224.71</v>
      </c>
      <c r="J70">
        <v>1123.55</v>
      </c>
      <c r="K70" t="s">
        <v>35</v>
      </c>
    </row>
    <row r="71" spans="1:11" x14ac:dyDescent="0.25">
      <c r="A71" s="1">
        <v>44590</v>
      </c>
      <c r="B71" t="s">
        <v>31</v>
      </c>
      <c r="C71" t="s">
        <v>19</v>
      </c>
      <c r="D71" t="s">
        <v>25</v>
      </c>
      <c r="E71" t="s">
        <v>14</v>
      </c>
      <c r="F71" t="s">
        <v>15</v>
      </c>
      <c r="G71" t="s">
        <v>43</v>
      </c>
      <c r="H71">
        <v>3</v>
      </c>
      <c r="I71">
        <v>104.04</v>
      </c>
      <c r="J71">
        <v>312.12</v>
      </c>
      <c r="K71" t="s">
        <v>23</v>
      </c>
    </row>
    <row r="72" spans="1:11" hidden="1" x14ac:dyDescent="0.25">
      <c r="A72" s="1">
        <v>44622</v>
      </c>
      <c r="B72" t="s">
        <v>48</v>
      </c>
      <c r="C72" t="s">
        <v>49</v>
      </c>
      <c r="D72" t="s">
        <v>50</v>
      </c>
      <c r="E72" t="s">
        <v>30</v>
      </c>
      <c r="F72" t="s">
        <v>40</v>
      </c>
      <c r="G72" t="s">
        <v>34</v>
      </c>
      <c r="H72">
        <v>5</v>
      </c>
      <c r="I72">
        <v>140.26</v>
      </c>
      <c r="J72">
        <v>701.3</v>
      </c>
      <c r="K72" t="s">
        <v>17</v>
      </c>
    </row>
    <row r="73" spans="1:11" x14ac:dyDescent="0.25">
      <c r="A73" s="1">
        <v>44713</v>
      </c>
      <c r="B73" t="s">
        <v>44</v>
      </c>
      <c r="C73" t="s">
        <v>19</v>
      </c>
      <c r="D73" t="s">
        <v>20</v>
      </c>
      <c r="E73" t="s">
        <v>30</v>
      </c>
      <c r="F73" t="s">
        <v>21</v>
      </c>
      <c r="G73" t="s">
        <v>34</v>
      </c>
      <c r="H73">
        <v>5</v>
      </c>
      <c r="I73">
        <v>215.38</v>
      </c>
      <c r="J73">
        <v>1076.9000000000001</v>
      </c>
      <c r="K73" t="s">
        <v>17</v>
      </c>
    </row>
    <row r="74" spans="1:11" x14ac:dyDescent="0.25">
      <c r="A74" s="1">
        <v>44696</v>
      </c>
      <c r="B74" t="s">
        <v>18</v>
      </c>
      <c r="C74" t="s">
        <v>19</v>
      </c>
      <c r="D74" t="s">
        <v>20</v>
      </c>
      <c r="E74" t="s">
        <v>26</v>
      </c>
      <c r="F74" t="s">
        <v>15</v>
      </c>
      <c r="G74" t="s">
        <v>33</v>
      </c>
      <c r="H74">
        <v>4</v>
      </c>
      <c r="I74">
        <v>127.55</v>
      </c>
      <c r="J74">
        <v>510.2</v>
      </c>
      <c r="K74" t="s">
        <v>23</v>
      </c>
    </row>
    <row r="75" spans="1:11" x14ac:dyDescent="0.25">
      <c r="A75" s="1">
        <v>44803</v>
      </c>
      <c r="B75" t="s">
        <v>31</v>
      </c>
      <c r="C75" t="s">
        <v>19</v>
      </c>
      <c r="D75" t="s">
        <v>25</v>
      </c>
      <c r="E75" t="s">
        <v>26</v>
      </c>
      <c r="F75" t="s">
        <v>15</v>
      </c>
      <c r="G75" t="s">
        <v>34</v>
      </c>
      <c r="H75">
        <v>3</v>
      </c>
      <c r="I75">
        <v>182.2</v>
      </c>
      <c r="J75">
        <v>546.6</v>
      </c>
      <c r="K75" t="s">
        <v>17</v>
      </c>
    </row>
    <row r="76" spans="1:11" x14ac:dyDescent="0.25">
      <c r="A76" s="1">
        <v>44655</v>
      </c>
      <c r="B76" t="s">
        <v>28</v>
      </c>
      <c r="C76" t="s">
        <v>29</v>
      </c>
      <c r="D76" t="s">
        <v>25</v>
      </c>
      <c r="E76" t="s">
        <v>30</v>
      </c>
      <c r="F76" t="s">
        <v>32</v>
      </c>
      <c r="G76" t="s">
        <v>27</v>
      </c>
      <c r="H76">
        <v>4</v>
      </c>
      <c r="I76">
        <v>246.66</v>
      </c>
      <c r="J76">
        <v>986.64</v>
      </c>
      <c r="K76" t="s">
        <v>23</v>
      </c>
    </row>
    <row r="77" spans="1:11" x14ac:dyDescent="0.25">
      <c r="A77" s="1">
        <v>44728</v>
      </c>
      <c r="B77" t="s">
        <v>18</v>
      </c>
      <c r="C77" t="s">
        <v>19</v>
      </c>
      <c r="D77" t="s">
        <v>20</v>
      </c>
      <c r="E77" t="s">
        <v>26</v>
      </c>
      <c r="F77" t="s">
        <v>32</v>
      </c>
      <c r="G77" t="s">
        <v>16</v>
      </c>
      <c r="H77">
        <v>5</v>
      </c>
      <c r="I77">
        <v>262.68</v>
      </c>
      <c r="J77">
        <v>1313.4</v>
      </c>
      <c r="K77" t="s">
        <v>36</v>
      </c>
    </row>
    <row r="78" spans="1:11" x14ac:dyDescent="0.25">
      <c r="A78" s="1">
        <v>44585</v>
      </c>
      <c r="B78" t="s">
        <v>44</v>
      </c>
      <c r="C78" t="s">
        <v>19</v>
      </c>
      <c r="D78" t="s">
        <v>20</v>
      </c>
      <c r="E78" t="s">
        <v>30</v>
      </c>
      <c r="F78" t="s">
        <v>15</v>
      </c>
      <c r="G78" t="s">
        <v>22</v>
      </c>
      <c r="H78">
        <v>3</v>
      </c>
      <c r="I78">
        <v>101.39</v>
      </c>
      <c r="J78">
        <v>304.17</v>
      </c>
      <c r="K78" t="s">
        <v>23</v>
      </c>
    </row>
    <row r="79" spans="1:11" x14ac:dyDescent="0.25">
      <c r="A79" s="1">
        <v>44606</v>
      </c>
      <c r="B79" t="s">
        <v>37</v>
      </c>
      <c r="C79" t="s">
        <v>29</v>
      </c>
      <c r="D79" t="s">
        <v>38</v>
      </c>
      <c r="E79" t="s">
        <v>26</v>
      </c>
      <c r="F79" t="s">
        <v>32</v>
      </c>
      <c r="G79" t="s">
        <v>16</v>
      </c>
      <c r="H79">
        <v>1</v>
      </c>
      <c r="I79">
        <v>59.05</v>
      </c>
      <c r="J79">
        <v>59.05</v>
      </c>
      <c r="K79" t="s">
        <v>23</v>
      </c>
    </row>
    <row r="80" spans="1:11" x14ac:dyDescent="0.25">
      <c r="A80" s="1">
        <v>44629</v>
      </c>
      <c r="B80" t="s">
        <v>37</v>
      </c>
      <c r="C80" t="s">
        <v>29</v>
      </c>
      <c r="D80" t="s">
        <v>38</v>
      </c>
      <c r="E80" t="s">
        <v>14</v>
      </c>
      <c r="F80" t="s">
        <v>21</v>
      </c>
      <c r="G80" t="s">
        <v>39</v>
      </c>
      <c r="H80">
        <v>1</v>
      </c>
      <c r="I80">
        <v>101.32</v>
      </c>
      <c r="J80">
        <v>101.32</v>
      </c>
      <c r="K80" t="s">
        <v>35</v>
      </c>
    </row>
    <row r="81" spans="1:11" x14ac:dyDescent="0.25">
      <c r="A81" s="1">
        <v>44758</v>
      </c>
      <c r="B81" t="s">
        <v>24</v>
      </c>
      <c r="C81" t="s">
        <v>19</v>
      </c>
      <c r="D81" t="s">
        <v>25</v>
      </c>
      <c r="E81" t="s">
        <v>30</v>
      </c>
      <c r="F81" t="s">
        <v>40</v>
      </c>
      <c r="G81" t="s">
        <v>33</v>
      </c>
      <c r="H81">
        <v>4</v>
      </c>
      <c r="I81">
        <v>228.88</v>
      </c>
      <c r="J81">
        <v>915.52</v>
      </c>
      <c r="K81" t="s">
        <v>17</v>
      </c>
    </row>
    <row r="82" spans="1:11" x14ac:dyDescent="0.25">
      <c r="A82" s="1">
        <v>44727</v>
      </c>
      <c r="B82" t="s">
        <v>24</v>
      </c>
      <c r="C82" t="s">
        <v>19</v>
      </c>
      <c r="D82" t="s">
        <v>25</v>
      </c>
      <c r="E82" t="s">
        <v>26</v>
      </c>
      <c r="F82" t="s">
        <v>15</v>
      </c>
      <c r="G82" t="s">
        <v>16</v>
      </c>
      <c r="H82">
        <v>4</v>
      </c>
      <c r="I82">
        <v>258.60000000000002</v>
      </c>
      <c r="J82">
        <v>1034.4000000000001</v>
      </c>
      <c r="K82" t="s">
        <v>17</v>
      </c>
    </row>
    <row r="83" spans="1:11" x14ac:dyDescent="0.25">
      <c r="A83" s="1">
        <v>44611</v>
      </c>
      <c r="B83" t="s">
        <v>44</v>
      </c>
      <c r="C83" t="s">
        <v>19</v>
      </c>
      <c r="D83" t="s">
        <v>20</v>
      </c>
      <c r="E83" t="s">
        <v>14</v>
      </c>
      <c r="F83" t="s">
        <v>21</v>
      </c>
      <c r="G83" t="s">
        <v>33</v>
      </c>
      <c r="H83">
        <v>4</v>
      </c>
      <c r="I83">
        <v>129.94999999999999</v>
      </c>
      <c r="J83">
        <v>519.79999999999995</v>
      </c>
      <c r="K83" t="s">
        <v>23</v>
      </c>
    </row>
    <row r="84" spans="1:11" x14ac:dyDescent="0.25">
      <c r="A84" s="1">
        <v>44748</v>
      </c>
      <c r="B84" t="s">
        <v>44</v>
      </c>
      <c r="C84" t="s">
        <v>19</v>
      </c>
      <c r="D84" t="s">
        <v>20</v>
      </c>
      <c r="E84" t="s">
        <v>26</v>
      </c>
      <c r="F84" t="s">
        <v>32</v>
      </c>
      <c r="G84" t="s">
        <v>27</v>
      </c>
      <c r="H84">
        <v>5</v>
      </c>
      <c r="I84">
        <v>190.03</v>
      </c>
      <c r="J84">
        <v>950.15</v>
      </c>
      <c r="K84" t="s">
        <v>23</v>
      </c>
    </row>
    <row r="85" spans="1:11" hidden="1" x14ac:dyDescent="0.25">
      <c r="A85" s="1">
        <v>44593</v>
      </c>
      <c r="B85" t="s">
        <v>45</v>
      </c>
      <c r="C85" t="s">
        <v>46</v>
      </c>
      <c r="D85" t="s">
        <v>47</v>
      </c>
      <c r="E85" t="s">
        <v>14</v>
      </c>
      <c r="F85" t="s">
        <v>32</v>
      </c>
      <c r="G85" t="s">
        <v>39</v>
      </c>
      <c r="H85">
        <v>1</v>
      </c>
      <c r="I85">
        <v>239.21</v>
      </c>
      <c r="J85">
        <v>239.21</v>
      </c>
      <c r="K85" t="s">
        <v>36</v>
      </c>
    </row>
    <row r="86" spans="1:11" x14ac:dyDescent="0.25">
      <c r="A86" s="1">
        <v>44645</v>
      </c>
      <c r="B86" t="s">
        <v>11</v>
      </c>
      <c r="C86" t="s">
        <v>12</v>
      </c>
      <c r="D86" t="s">
        <v>13</v>
      </c>
      <c r="E86" t="s">
        <v>14</v>
      </c>
      <c r="F86" t="s">
        <v>21</v>
      </c>
      <c r="G86" t="s">
        <v>33</v>
      </c>
      <c r="H86">
        <v>1</v>
      </c>
      <c r="I86">
        <v>271.18</v>
      </c>
      <c r="J86">
        <v>271.18</v>
      </c>
      <c r="K86" t="s">
        <v>23</v>
      </c>
    </row>
    <row r="87" spans="1:11" hidden="1" x14ac:dyDescent="0.25">
      <c r="A87" s="1">
        <v>44595</v>
      </c>
      <c r="B87" t="s">
        <v>48</v>
      </c>
      <c r="C87" t="s">
        <v>49</v>
      </c>
      <c r="D87" t="s">
        <v>50</v>
      </c>
      <c r="E87" t="s">
        <v>26</v>
      </c>
      <c r="F87" t="s">
        <v>21</v>
      </c>
      <c r="G87" t="s">
        <v>16</v>
      </c>
      <c r="H87">
        <v>5</v>
      </c>
      <c r="I87">
        <v>140.65</v>
      </c>
      <c r="J87">
        <v>703.25</v>
      </c>
      <c r="K87" t="s">
        <v>36</v>
      </c>
    </row>
    <row r="88" spans="1:11" x14ac:dyDescent="0.25">
      <c r="A88" s="1">
        <v>44742</v>
      </c>
      <c r="B88" t="s">
        <v>11</v>
      </c>
      <c r="C88" t="s">
        <v>12</v>
      </c>
      <c r="D88" t="s">
        <v>13</v>
      </c>
      <c r="E88" t="s">
        <v>14</v>
      </c>
      <c r="F88" t="s">
        <v>21</v>
      </c>
      <c r="G88" t="s">
        <v>34</v>
      </c>
      <c r="H88">
        <v>3</v>
      </c>
      <c r="I88">
        <v>97.21</v>
      </c>
      <c r="J88">
        <v>291.63</v>
      </c>
      <c r="K88" t="s">
        <v>23</v>
      </c>
    </row>
    <row r="89" spans="1:11" x14ac:dyDescent="0.25">
      <c r="A89" s="1">
        <v>44604</v>
      </c>
      <c r="B89" t="s">
        <v>41</v>
      </c>
      <c r="C89" t="s">
        <v>29</v>
      </c>
      <c r="D89" t="s">
        <v>42</v>
      </c>
      <c r="E89" t="s">
        <v>30</v>
      </c>
      <c r="F89" t="s">
        <v>40</v>
      </c>
      <c r="G89" t="s">
        <v>34</v>
      </c>
      <c r="H89">
        <v>5</v>
      </c>
      <c r="I89">
        <v>110.05</v>
      </c>
      <c r="J89">
        <v>550.25</v>
      </c>
      <c r="K89" t="s">
        <v>17</v>
      </c>
    </row>
    <row r="90" spans="1:11" x14ac:dyDescent="0.25">
      <c r="A90" s="1">
        <v>44757</v>
      </c>
      <c r="B90" t="s">
        <v>44</v>
      </c>
      <c r="C90" t="s">
        <v>19</v>
      </c>
      <c r="D90" t="s">
        <v>20</v>
      </c>
      <c r="E90" t="s">
        <v>14</v>
      </c>
      <c r="F90" t="s">
        <v>32</v>
      </c>
      <c r="G90" t="s">
        <v>27</v>
      </c>
      <c r="H90">
        <v>1</v>
      </c>
      <c r="I90">
        <v>209.13</v>
      </c>
      <c r="J90">
        <v>209.13</v>
      </c>
      <c r="K90" t="s">
        <v>23</v>
      </c>
    </row>
    <row r="91" spans="1:11" x14ac:dyDescent="0.25">
      <c r="A91" s="1">
        <v>44598</v>
      </c>
      <c r="B91" t="s">
        <v>24</v>
      </c>
      <c r="C91" t="s">
        <v>19</v>
      </c>
      <c r="D91" t="s">
        <v>25</v>
      </c>
      <c r="E91" t="s">
        <v>26</v>
      </c>
      <c r="F91" t="s">
        <v>40</v>
      </c>
      <c r="G91" t="s">
        <v>33</v>
      </c>
      <c r="H91">
        <v>1</v>
      </c>
      <c r="I91">
        <v>256.81</v>
      </c>
      <c r="J91">
        <v>256.81</v>
      </c>
      <c r="K91" t="s">
        <v>17</v>
      </c>
    </row>
    <row r="92" spans="1:11" x14ac:dyDescent="0.25">
      <c r="A92" s="1">
        <v>44581</v>
      </c>
      <c r="B92" t="s">
        <v>41</v>
      </c>
      <c r="C92" t="s">
        <v>29</v>
      </c>
      <c r="D92" t="s">
        <v>42</v>
      </c>
      <c r="E92" t="s">
        <v>26</v>
      </c>
      <c r="F92" t="s">
        <v>15</v>
      </c>
      <c r="G92" t="s">
        <v>27</v>
      </c>
      <c r="H92">
        <v>2</v>
      </c>
      <c r="I92">
        <v>53.05</v>
      </c>
      <c r="J92">
        <v>106.1</v>
      </c>
      <c r="K92" t="s">
        <v>23</v>
      </c>
    </row>
    <row r="93" spans="1:11" x14ac:dyDescent="0.25">
      <c r="A93" s="1">
        <v>44654</v>
      </c>
      <c r="B93" t="s">
        <v>18</v>
      </c>
      <c r="C93" t="s">
        <v>19</v>
      </c>
      <c r="D93" t="s">
        <v>20</v>
      </c>
      <c r="E93" t="s">
        <v>30</v>
      </c>
      <c r="F93" t="s">
        <v>40</v>
      </c>
      <c r="G93" t="s">
        <v>34</v>
      </c>
      <c r="H93">
        <v>4</v>
      </c>
      <c r="I93">
        <v>127.11</v>
      </c>
      <c r="J93">
        <v>508.44</v>
      </c>
      <c r="K93" t="s">
        <v>23</v>
      </c>
    </row>
    <row r="94" spans="1:11" x14ac:dyDescent="0.25">
      <c r="A94" s="1">
        <v>44744</v>
      </c>
      <c r="B94" t="s">
        <v>28</v>
      </c>
      <c r="C94" t="s">
        <v>29</v>
      </c>
      <c r="D94" t="s">
        <v>25</v>
      </c>
      <c r="E94" t="s">
        <v>26</v>
      </c>
      <c r="F94" t="s">
        <v>40</v>
      </c>
      <c r="G94" t="s">
        <v>16</v>
      </c>
      <c r="H94">
        <v>2</v>
      </c>
      <c r="I94">
        <v>259.45999999999998</v>
      </c>
      <c r="J94">
        <v>518.91999999999996</v>
      </c>
      <c r="K94" t="s">
        <v>36</v>
      </c>
    </row>
    <row r="95" spans="1:11" x14ac:dyDescent="0.25">
      <c r="A95" s="1">
        <v>44632</v>
      </c>
      <c r="B95" t="s">
        <v>37</v>
      </c>
      <c r="C95" t="s">
        <v>29</v>
      </c>
      <c r="D95" t="s">
        <v>38</v>
      </c>
      <c r="E95" t="s">
        <v>14</v>
      </c>
      <c r="F95" t="s">
        <v>32</v>
      </c>
      <c r="G95" t="s">
        <v>34</v>
      </c>
      <c r="H95">
        <v>2</v>
      </c>
      <c r="I95">
        <v>183.29</v>
      </c>
      <c r="J95">
        <v>366.58</v>
      </c>
      <c r="K95" t="s">
        <v>36</v>
      </c>
    </row>
    <row r="96" spans="1:11" x14ac:dyDescent="0.25">
      <c r="A96" s="1">
        <v>44577</v>
      </c>
      <c r="B96" t="s">
        <v>37</v>
      </c>
      <c r="C96" t="s">
        <v>29</v>
      </c>
      <c r="D96" t="s">
        <v>38</v>
      </c>
      <c r="E96" t="s">
        <v>26</v>
      </c>
      <c r="F96" t="s">
        <v>40</v>
      </c>
      <c r="G96" t="s">
        <v>39</v>
      </c>
      <c r="H96">
        <v>2</v>
      </c>
      <c r="I96">
        <v>130.4</v>
      </c>
      <c r="J96">
        <v>260.8</v>
      </c>
      <c r="K96" t="s">
        <v>23</v>
      </c>
    </row>
    <row r="97" spans="1:11" x14ac:dyDescent="0.25">
      <c r="A97" s="1">
        <v>44621</v>
      </c>
      <c r="B97" t="s">
        <v>18</v>
      </c>
      <c r="C97" t="s">
        <v>19</v>
      </c>
      <c r="D97" t="s">
        <v>20</v>
      </c>
      <c r="E97" t="s">
        <v>30</v>
      </c>
      <c r="F97" t="s">
        <v>21</v>
      </c>
      <c r="G97" t="s">
        <v>39</v>
      </c>
      <c r="H97">
        <v>5</v>
      </c>
      <c r="I97">
        <v>112.04</v>
      </c>
      <c r="J97">
        <v>560.20000000000005</v>
      </c>
      <c r="K97" t="s">
        <v>36</v>
      </c>
    </row>
    <row r="98" spans="1:11" hidden="1" x14ac:dyDescent="0.25">
      <c r="A98" s="1">
        <v>44619</v>
      </c>
      <c r="B98" t="s">
        <v>48</v>
      </c>
      <c r="C98" t="s">
        <v>49</v>
      </c>
      <c r="D98" t="s">
        <v>50</v>
      </c>
      <c r="E98" t="s">
        <v>26</v>
      </c>
      <c r="F98" t="s">
        <v>32</v>
      </c>
      <c r="G98" t="s">
        <v>16</v>
      </c>
      <c r="H98">
        <v>5</v>
      </c>
      <c r="I98">
        <v>85.1</v>
      </c>
      <c r="J98">
        <v>425.5</v>
      </c>
      <c r="K98" t="s">
        <v>23</v>
      </c>
    </row>
    <row r="99" spans="1:11" hidden="1" x14ac:dyDescent="0.25">
      <c r="A99" s="1">
        <v>44744</v>
      </c>
      <c r="B99" t="s">
        <v>48</v>
      </c>
      <c r="C99" t="s">
        <v>49</v>
      </c>
      <c r="D99" t="s">
        <v>50</v>
      </c>
      <c r="E99" t="s">
        <v>14</v>
      </c>
      <c r="F99" t="s">
        <v>21</v>
      </c>
      <c r="G99" t="s">
        <v>33</v>
      </c>
      <c r="H99">
        <v>1</v>
      </c>
      <c r="I99">
        <v>180.65</v>
      </c>
      <c r="J99">
        <v>180.65</v>
      </c>
      <c r="K99" t="s">
        <v>23</v>
      </c>
    </row>
    <row r="100" spans="1:11" hidden="1" x14ac:dyDescent="0.25">
      <c r="A100" s="1">
        <v>44600</v>
      </c>
      <c r="B100" t="s">
        <v>45</v>
      </c>
      <c r="C100" t="s">
        <v>46</v>
      </c>
      <c r="D100" t="s">
        <v>47</v>
      </c>
      <c r="E100" t="s">
        <v>26</v>
      </c>
      <c r="F100" t="s">
        <v>32</v>
      </c>
      <c r="G100" t="s">
        <v>34</v>
      </c>
      <c r="H100">
        <v>5</v>
      </c>
      <c r="I100">
        <v>147.13</v>
      </c>
      <c r="J100">
        <v>735.65</v>
      </c>
      <c r="K100" t="s">
        <v>36</v>
      </c>
    </row>
    <row r="101" spans="1:11" hidden="1" x14ac:dyDescent="0.25">
      <c r="A101" s="1">
        <v>44583</v>
      </c>
      <c r="B101" t="s">
        <v>48</v>
      </c>
      <c r="C101" t="s">
        <v>49</v>
      </c>
      <c r="D101" t="s">
        <v>50</v>
      </c>
      <c r="E101" t="s">
        <v>26</v>
      </c>
      <c r="F101" t="s">
        <v>15</v>
      </c>
      <c r="G101" t="s">
        <v>33</v>
      </c>
      <c r="H101">
        <v>3</v>
      </c>
      <c r="I101">
        <v>110.78</v>
      </c>
      <c r="J101">
        <v>332.34</v>
      </c>
      <c r="K101" t="s">
        <v>23</v>
      </c>
    </row>
    <row r="102" spans="1:11" x14ac:dyDescent="0.25">
      <c r="A102" s="1">
        <v>44736</v>
      </c>
      <c r="B102" t="s">
        <v>28</v>
      </c>
      <c r="C102" t="s">
        <v>29</v>
      </c>
      <c r="D102" t="s">
        <v>25</v>
      </c>
      <c r="E102" t="s">
        <v>26</v>
      </c>
      <c r="F102" t="s">
        <v>21</v>
      </c>
      <c r="G102" t="s">
        <v>43</v>
      </c>
      <c r="H102">
        <v>5</v>
      </c>
      <c r="I102">
        <v>58.37</v>
      </c>
      <c r="J102">
        <v>291.85000000000002</v>
      </c>
      <c r="K102" t="s">
        <v>35</v>
      </c>
    </row>
    <row r="103" spans="1:11" x14ac:dyDescent="0.25">
      <c r="A103" s="1">
        <v>44765</v>
      </c>
      <c r="B103" t="s">
        <v>41</v>
      </c>
      <c r="C103" t="s">
        <v>29</v>
      </c>
      <c r="D103" t="s">
        <v>42</v>
      </c>
      <c r="E103" t="s">
        <v>26</v>
      </c>
      <c r="F103" t="s">
        <v>32</v>
      </c>
      <c r="G103" t="s">
        <v>27</v>
      </c>
      <c r="H103">
        <v>5</v>
      </c>
      <c r="I103">
        <v>241.67</v>
      </c>
      <c r="J103">
        <v>1208.3499999999999</v>
      </c>
      <c r="K103" t="s">
        <v>17</v>
      </c>
    </row>
    <row r="104" spans="1:11" x14ac:dyDescent="0.25">
      <c r="A104" s="1">
        <v>44767</v>
      </c>
      <c r="B104" t="s">
        <v>37</v>
      </c>
      <c r="C104" t="s">
        <v>29</v>
      </c>
      <c r="D104" t="s">
        <v>38</v>
      </c>
      <c r="E104" t="s">
        <v>26</v>
      </c>
      <c r="F104" t="s">
        <v>15</v>
      </c>
      <c r="G104" t="s">
        <v>22</v>
      </c>
      <c r="H104">
        <v>2</v>
      </c>
      <c r="I104">
        <v>89.67</v>
      </c>
      <c r="J104">
        <v>179.34</v>
      </c>
      <c r="K104" t="s">
        <v>35</v>
      </c>
    </row>
    <row r="105" spans="1:11" x14ac:dyDescent="0.25">
      <c r="A105" s="1">
        <v>44710</v>
      </c>
      <c r="B105" t="s">
        <v>24</v>
      </c>
      <c r="C105" t="s">
        <v>19</v>
      </c>
      <c r="D105" t="s">
        <v>25</v>
      </c>
      <c r="E105" t="s">
        <v>26</v>
      </c>
      <c r="F105" t="s">
        <v>21</v>
      </c>
      <c r="G105" t="s">
        <v>39</v>
      </c>
      <c r="H105">
        <v>1</v>
      </c>
      <c r="I105">
        <v>132.09</v>
      </c>
      <c r="J105">
        <v>132.09</v>
      </c>
      <c r="K105" t="s">
        <v>35</v>
      </c>
    </row>
    <row r="106" spans="1:11" hidden="1" x14ac:dyDescent="0.25">
      <c r="A106" s="1">
        <v>44777</v>
      </c>
      <c r="B106" t="s">
        <v>45</v>
      </c>
      <c r="C106" t="s">
        <v>46</v>
      </c>
      <c r="D106" t="s">
        <v>47</v>
      </c>
      <c r="E106" t="s">
        <v>26</v>
      </c>
      <c r="F106" t="s">
        <v>32</v>
      </c>
      <c r="G106" t="s">
        <v>16</v>
      </c>
      <c r="H106">
        <v>2</v>
      </c>
      <c r="I106">
        <v>202.18</v>
      </c>
      <c r="J106">
        <v>404.36</v>
      </c>
      <c r="K106" t="s">
        <v>35</v>
      </c>
    </row>
    <row r="107" spans="1:11" x14ac:dyDescent="0.25">
      <c r="A107" s="1">
        <v>44604</v>
      </c>
      <c r="B107" t="s">
        <v>18</v>
      </c>
      <c r="C107" t="s">
        <v>19</v>
      </c>
      <c r="D107" t="s">
        <v>20</v>
      </c>
      <c r="E107" t="s">
        <v>30</v>
      </c>
      <c r="F107" t="s">
        <v>32</v>
      </c>
      <c r="G107" t="s">
        <v>34</v>
      </c>
      <c r="H107">
        <v>3</v>
      </c>
      <c r="I107">
        <v>90.19</v>
      </c>
      <c r="J107">
        <v>270.57</v>
      </c>
      <c r="K107" t="s">
        <v>23</v>
      </c>
    </row>
    <row r="108" spans="1:11" x14ac:dyDescent="0.25">
      <c r="A108" s="1">
        <v>44621</v>
      </c>
      <c r="B108" t="s">
        <v>28</v>
      </c>
      <c r="C108" t="s">
        <v>29</v>
      </c>
      <c r="D108" t="s">
        <v>25</v>
      </c>
      <c r="E108" t="s">
        <v>14</v>
      </c>
      <c r="F108" t="s">
        <v>21</v>
      </c>
      <c r="G108" t="s">
        <v>22</v>
      </c>
      <c r="H108">
        <v>2</v>
      </c>
      <c r="I108">
        <v>179.28</v>
      </c>
      <c r="J108">
        <v>358.56</v>
      </c>
      <c r="K108" t="s">
        <v>23</v>
      </c>
    </row>
    <row r="109" spans="1:11" x14ac:dyDescent="0.25">
      <c r="A109" s="1">
        <v>44643</v>
      </c>
      <c r="B109" t="s">
        <v>28</v>
      </c>
      <c r="C109" t="s">
        <v>29</v>
      </c>
      <c r="D109" t="s">
        <v>25</v>
      </c>
      <c r="E109" t="s">
        <v>30</v>
      </c>
      <c r="F109" t="s">
        <v>40</v>
      </c>
      <c r="G109" t="s">
        <v>22</v>
      </c>
      <c r="H109">
        <v>5</v>
      </c>
      <c r="I109">
        <v>188.61</v>
      </c>
      <c r="J109">
        <v>943.05</v>
      </c>
      <c r="K109" t="s">
        <v>36</v>
      </c>
    </row>
    <row r="110" spans="1:11" x14ac:dyDescent="0.25">
      <c r="A110" s="1">
        <v>44803</v>
      </c>
      <c r="B110" t="s">
        <v>11</v>
      </c>
      <c r="C110" t="s">
        <v>12</v>
      </c>
      <c r="D110" t="s">
        <v>13</v>
      </c>
      <c r="E110" t="s">
        <v>30</v>
      </c>
      <c r="F110" t="s">
        <v>40</v>
      </c>
      <c r="G110" t="s">
        <v>34</v>
      </c>
      <c r="H110">
        <v>2</v>
      </c>
      <c r="I110">
        <v>111.36</v>
      </c>
      <c r="J110">
        <v>222.72</v>
      </c>
      <c r="K110" t="s">
        <v>17</v>
      </c>
    </row>
    <row r="111" spans="1:11" hidden="1" x14ac:dyDescent="0.25">
      <c r="A111" s="1">
        <v>44610</v>
      </c>
      <c r="B111" t="s">
        <v>45</v>
      </c>
      <c r="C111" t="s">
        <v>46</v>
      </c>
      <c r="D111" t="s">
        <v>47</v>
      </c>
      <c r="E111" t="s">
        <v>26</v>
      </c>
      <c r="F111" t="s">
        <v>40</v>
      </c>
      <c r="G111" t="s">
        <v>34</v>
      </c>
      <c r="H111">
        <v>3</v>
      </c>
      <c r="I111">
        <v>53.98</v>
      </c>
      <c r="J111">
        <v>161.94</v>
      </c>
      <c r="K111" t="s">
        <v>23</v>
      </c>
    </row>
    <row r="112" spans="1:11" x14ac:dyDescent="0.25">
      <c r="A112" s="1">
        <v>44709</v>
      </c>
      <c r="B112" t="s">
        <v>37</v>
      </c>
      <c r="C112" t="s">
        <v>29</v>
      </c>
      <c r="D112" t="s">
        <v>38</v>
      </c>
      <c r="E112" t="s">
        <v>14</v>
      </c>
      <c r="F112" t="s">
        <v>21</v>
      </c>
      <c r="G112" t="s">
        <v>39</v>
      </c>
      <c r="H112">
        <v>4</v>
      </c>
      <c r="I112">
        <v>240.64</v>
      </c>
      <c r="J112">
        <v>962.56</v>
      </c>
      <c r="K112" t="s">
        <v>23</v>
      </c>
    </row>
    <row r="113" spans="1:11" x14ac:dyDescent="0.25">
      <c r="A113" s="1">
        <v>44620</v>
      </c>
      <c r="B113" t="s">
        <v>37</v>
      </c>
      <c r="C113" t="s">
        <v>29</v>
      </c>
      <c r="D113" t="s">
        <v>38</v>
      </c>
      <c r="E113" t="s">
        <v>26</v>
      </c>
      <c r="F113" t="s">
        <v>32</v>
      </c>
      <c r="G113" t="s">
        <v>22</v>
      </c>
      <c r="H113">
        <v>5</v>
      </c>
      <c r="I113">
        <v>195.57</v>
      </c>
      <c r="J113">
        <v>977.85</v>
      </c>
      <c r="K113" t="s">
        <v>23</v>
      </c>
    </row>
    <row r="114" spans="1:11" x14ac:dyDescent="0.25">
      <c r="A114" s="1">
        <v>44629</v>
      </c>
      <c r="B114" t="s">
        <v>28</v>
      </c>
      <c r="C114" t="s">
        <v>29</v>
      </c>
      <c r="D114" t="s">
        <v>25</v>
      </c>
      <c r="E114" t="s">
        <v>14</v>
      </c>
      <c r="F114" t="s">
        <v>21</v>
      </c>
      <c r="G114" t="s">
        <v>39</v>
      </c>
      <c r="H114">
        <v>3</v>
      </c>
      <c r="I114">
        <v>224.66</v>
      </c>
      <c r="J114">
        <v>673.98</v>
      </c>
      <c r="K114" t="s">
        <v>23</v>
      </c>
    </row>
    <row r="115" spans="1:11" hidden="1" x14ac:dyDescent="0.25">
      <c r="A115" s="1">
        <v>44679</v>
      </c>
      <c r="B115" t="s">
        <v>48</v>
      </c>
      <c r="C115" t="s">
        <v>49</v>
      </c>
      <c r="D115" t="s">
        <v>50</v>
      </c>
      <c r="E115" t="s">
        <v>26</v>
      </c>
      <c r="F115" t="s">
        <v>40</v>
      </c>
      <c r="G115" t="s">
        <v>39</v>
      </c>
      <c r="H115">
        <v>3</v>
      </c>
      <c r="I115">
        <v>65.2</v>
      </c>
      <c r="J115">
        <v>195.6</v>
      </c>
      <c r="K115" t="s">
        <v>36</v>
      </c>
    </row>
    <row r="116" spans="1:11" x14ac:dyDescent="0.25">
      <c r="A116" s="1">
        <v>44755</v>
      </c>
      <c r="B116" t="s">
        <v>44</v>
      </c>
      <c r="C116" t="s">
        <v>19</v>
      </c>
      <c r="D116" t="s">
        <v>20</v>
      </c>
      <c r="E116" t="s">
        <v>26</v>
      </c>
      <c r="F116" t="s">
        <v>15</v>
      </c>
      <c r="G116" t="s">
        <v>39</v>
      </c>
      <c r="H116">
        <v>4</v>
      </c>
      <c r="I116">
        <v>117.78</v>
      </c>
      <c r="J116">
        <v>471.12</v>
      </c>
      <c r="K116" t="s">
        <v>35</v>
      </c>
    </row>
    <row r="117" spans="1:11" x14ac:dyDescent="0.25">
      <c r="A117" s="1">
        <v>44601</v>
      </c>
      <c r="B117" t="s">
        <v>31</v>
      </c>
      <c r="C117" t="s">
        <v>19</v>
      </c>
      <c r="D117" t="s">
        <v>25</v>
      </c>
      <c r="E117" t="s">
        <v>26</v>
      </c>
      <c r="F117" t="s">
        <v>21</v>
      </c>
      <c r="G117" t="s">
        <v>43</v>
      </c>
      <c r="H117">
        <v>4</v>
      </c>
      <c r="I117">
        <v>214.93</v>
      </c>
      <c r="J117">
        <v>859.72</v>
      </c>
      <c r="K117" t="s">
        <v>17</v>
      </c>
    </row>
    <row r="118" spans="1:11" hidden="1" x14ac:dyDescent="0.25">
      <c r="A118" s="1">
        <v>44789</v>
      </c>
      <c r="B118" t="s">
        <v>48</v>
      </c>
      <c r="C118" t="s">
        <v>49</v>
      </c>
      <c r="D118" t="s">
        <v>50</v>
      </c>
      <c r="E118" t="s">
        <v>14</v>
      </c>
      <c r="F118" t="s">
        <v>15</v>
      </c>
      <c r="G118" t="s">
        <v>16</v>
      </c>
      <c r="H118">
        <v>2</v>
      </c>
      <c r="I118">
        <v>249.49</v>
      </c>
      <c r="J118">
        <v>498.98</v>
      </c>
      <c r="K118" t="s">
        <v>23</v>
      </c>
    </row>
    <row r="119" spans="1:11" x14ac:dyDescent="0.25">
      <c r="A119" s="1">
        <v>44725</v>
      </c>
      <c r="B119" t="s">
        <v>18</v>
      </c>
      <c r="C119" t="s">
        <v>19</v>
      </c>
      <c r="D119" t="s">
        <v>20</v>
      </c>
      <c r="E119" t="s">
        <v>30</v>
      </c>
      <c r="F119" t="s">
        <v>32</v>
      </c>
      <c r="G119" t="s">
        <v>43</v>
      </c>
      <c r="H119">
        <v>4</v>
      </c>
      <c r="I119">
        <v>141.35</v>
      </c>
      <c r="J119">
        <v>565.4</v>
      </c>
      <c r="K119" t="s">
        <v>35</v>
      </c>
    </row>
    <row r="120" spans="1:11" hidden="1" x14ac:dyDescent="0.25">
      <c r="A120" s="1">
        <v>44623</v>
      </c>
      <c r="B120" t="s">
        <v>48</v>
      </c>
      <c r="C120" t="s">
        <v>49</v>
      </c>
      <c r="D120" t="s">
        <v>50</v>
      </c>
      <c r="E120" t="s">
        <v>14</v>
      </c>
      <c r="F120" t="s">
        <v>15</v>
      </c>
      <c r="G120" t="s">
        <v>16</v>
      </c>
      <c r="H120">
        <v>3</v>
      </c>
      <c r="I120">
        <v>264.14</v>
      </c>
      <c r="J120">
        <v>792.42</v>
      </c>
      <c r="K120" t="s">
        <v>17</v>
      </c>
    </row>
    <row r="121" spans="1:11" x14ac:dyDescent="0.25">
      <c r="A121" s="1">
        <v>44564</v>
      </c>
      <c r="B121" t="s">
        <v>11</v>
      </c>
      <c r="C121" t="s">
        <v>12</v>
      </c>
      <c r="D121" t="s">
        <v>13</v>
      </c>
      <c r="E121" t="s">
        <v>14</v>
      </c>
      <c r="F121" t="s">
        <v>32</v>
      </c>
      <c r="G121" t="s">
        <v>34</v>
      </c>
      <c r="H121">
        <v>5</v>
      </c>
      <c r="I121">
        <v>73.58</v>
      </c>
      <c r="J121">
        <v>367.9</v>
      </c>
      <c r="K121" t="s">
        <v>35</v>
      </c>
    </row>
    <row r="122" spans="1:11" x14ac:dyDescent="0.25">
      <c r="A122" s="1">
        <v>44768</v>
      </c>
      <c r="B122" t="s">
        <v>11</v>
      </c>
      <c r="C122" t="s">
        <v>12</v>
      </c>
      <c r="D122" t="s">
        <v>13</v>
      </c>
      <c r="E122" t="s">
        <v>14</v>
      </c>
      <c r="F122" t="s">
        <v>21</v>
      </c>
      <c r="G122" t="s">
        <v>22</v>
      </c>
      <c r="H122">
        <v>1</v>
      </c>
      <c r="I122">
        <v>106.59</v>
      </c>
      <c r="J122">
        <v>106.59</v>
      </c>
      <c r="K122" t="s">
        <v>17</v>
      </c>
    </row>
    <row r="123" spans="1:11" x14ac:dyDescent="0.25">
      <c r="A123" s="1">
        <v>44604</v>
      </c>
      <c r="B123" t="s">
        <v>28</v>
      </c>
      <c r="C123" t="s">
        <v>29</v>
      </c>
      <c r="D123" t="s">
        <v>25</v>
      </c>
      <c r="E123" t="s">
        <v>30</v>
      </c>
      <c r="F123" t="s">
        <v>21</v>
      </c>
      <c r="G123" t="s">
        <v>39</v>
      </c>
      <c r="H123">
        <v>3</v>
      </c>
      <c r="I123">
        <v>59.98</v>
      </c>
      <c r="J123">
        <v>179.94</v>
      </c>
      <c r="K123" t="s">
        <v>35</v>
      </c>
    </row>
    <row r="124" spans="1:11" hidden="1" x14ac:dyDescent="0.25">
      <c r="A124" s="1">
        <v>44622</v>
      </c>
      <c r="B124" t="s">
        <v>48</v>
      </c>
      <c r="C124" t="s">
        <v>49</v>
      </c>
      <c r="D124" t="s">
        <v>50</v>
      </c>
      <c r="E124" t="s">
        <v>26</v>
      </c>
      <c r="F124" t="s">
        <v>32</v>
      </c>
      <c r="G124" t="s">
        <v>16</v>
      </c>
      <c r="H124">
        <v>3</v>
      </c>
      <c r="I124">
        <v>87.81</v>
      </c>
      <c r="J124">
        <v>263.43</v>
      </c>
      <c r="K124" t="s">
        <v>17</v>
      </c>
    </row>
    <row r="125" spans="1:11" x14ac:dyDescent="0.25">
      <c r="A125" s="1">
        <v>44657</v>
      </c>
      <c r="B125" t="s">
        <v>28</v>
      </c>
      <c r="C125" t="s">
        <v>29</v>
      </c>
      <c r="D125" t="s">
        <v>25</v>
      </c>
      <c r="E125" t="s">
        <v>30</v>
      </c>
      <c r="F125" t="s">
        <v>40</v>
      </c>
      <c r="G125" t="s">
        <v>16</v>
      </c>
      <c r="H125">
        <v>2</v>
      </c>
      <c r="I125">
        <v>283.60000000000002</v>
      </c>
      <c r="J125">
        <v>567.20000000000005</v>
      </c>
      <c r="K125" t="s">
        <v>35</v>
      </c>
    </row>
    <row r="126" spans="1:11" hidden="1" x14ac:dyDescent="0.25">
      <c r="A126" s="1">
        <v>44784</v>
      </c>
      <c r="B126" t="s">
        <v>48</v>
      </c>
      <c r="C126" t="s">
        <v>49</v>
      </c>
      <c r="D126" t="s">
        <v>50</v>
      </c>
      <c r="E126" t="s">
        <v>30</v>
      </c>
      <c r="F126" t="s">
        <v>15</v>
      </c>
      <c r="G126" t="s">
        <v>16</v>
      </c>
      <c r="H126">
        <v>2</v>
      </c>
      <c r="I126">
        <v>194.31</v>
      </c>
      <c r="J126">
        <v>388.62</v>
      </c>
      <c r="K126" t="s">
        <v>35</v>
      </c>
    </row>
    <row r="127" spans="1:11" x14ac:dyDescent="0.25">
      <c r="A127" s="1">
        <v>44735</v>
      </c>
      <c r="B127" t="s">
        <v>41</v>
      </c>
      <c r="C127" t="s">
        <v>29</v>
      </c>
      <c r="D127" t="s">
        <v>42</v>
      </c>
      <c r="E127" t="s">
        <v>14</v>
      </c>
      <c r="F127" t="s">
        <v>15</v>
      </c>
      <c r="G127" t="s">
        <v>16</v>
      </c>
      <c r="H127">
        <v>4</v>
      </c>
      <c r="I127">
        <v>199.68</v>
      </c>
      <c r="J127">
        <v>798.72</v>
      </c>
      <c r="K127" t="s">
        <v>36</v>
      </c>
    </row>
    <row r="128" spans="1:11" x14ac:dyDescent="0.25">
      <c r="A128" s="1">
        <v>44659</v>
      </c>
      <c r="B128" t="s">
        <v>11</v>
      </c>
      <c r="C128" t="s">
        <v>12</v>
      </c>
      <c r="D128" t="s">
        <v>13</v>
      </c>
      <c r="E128" t="s">
        <v>26</v>
      </c>
      <c r="F128" t="s">
        <v>40</v>
      </c>
      <c r="G128" t="s">
        <v>16</v>
      </c>
      <c r="H128">
        <v>5</v>
      </c>
      <c r="I128">
        <v>145.47</v>
      </c>
      <c r="J128">
        <v>727.35</v>
      </c>
      <c r="K128" t="s">
        <v>17</v>
      </c>
    </row>
    <row r="129" spans="1:11" x14ac:dyDescent="0.25">
      <c r="A129" s="1">
        <v>44592</v>
      </c>
      <c r="B129" t="s">
        <v>41</v>
      </c>
      <c r="C129" t="s">
        <v>29</v>
      </c>
      <c r="D129" t="s">
        <v>42</v>
      </c>
      <c r="E129" t="s">
        <v>26</v>
      </c>
      <c r="F129" t="s">
        <v>15</v>
      </c>
      <c r="G129" t="s">
        <v>33</v>
      </c>
      <c r="H129">
        <v>1</v>
      </c>
      <c r="I129">
        <v>141.11000000000001</v>
      </c>
      <c r="J129">
        <v>141.11000000000001</v>
      </c>
      <c r="K129" t="s">
        <v>35</v>
      </c>
    </row>
    <row r="130" spans="1:11" x14ac:dyDescent="0.25">
      <c r="A130" s="1">
        <v>44667</v>
      </c>
      <c r="B130" t="s">
        <v>31</v>
      </c>
      <c r="C130" t="s">
        <v>19</v>
      </c>
      <c r="D130" t="s">
        <v>25</v>
      </c>
      <c r="E130" t="s">
        <v>26</v>
      </c>
      <c r="F130" t="s">
        <v>32</v>
      </c>
      <c r="G130" t="s">
        <v>34</v>
      </c>
      <c r="H130">
        <v>2</v>
      </c>
      <c r="I130">
        <v>188.4</v>
      </c>
      <c r="J130">
        <v>376.8</v>
      </c>
      <c r="K130" t="s">
        <v>17</v>
      </c>
    </row>
    <row r="131" spans="1:11" x14ac:dyDescent="0.25">
      <c r="A131" s="1">
        <v>44650</v>
      </c>
      <c r="B131" t="s">
        <v>41</v>
      </c>
      <c r="C131" t="s">
        <v>29</v>
      </c>
      <c r="D131" t="s">
        <v>42</v>
      </c>
      <c r="E131" t="s">
        <v>30</v>
      </c>
      <c r="F131" t="s">
        <v>15</v>
      </c>
      <c r="G131" t="s">
        <v>27</v>
      </c>
      <c r="H131">
        <v>4</v>
      </c>
      <c r="I131">
        <v>145.28</v>
      </c>
      <c r="J131">
        <v>581.12</v>
      </c>
      <c r="K131" t="s">
        <v>17</v>
      </c>
    </row>
    <row r="132" spans="1:11" x14ac:dyDescent="0.25">
      <c r="A132" s="1">
        <v>44757</v>
      </c>
      <c r="B132" t="s">
        <v>44</v>
      </c>
      <c r="C132" t="s">
        <v>19</v>
      </c>
      <c r="D132" t="s">
        <v>20</v>
      </c>
      <c r="E132" t="s">
        <v>30</v>
      </c>
      <c r="F132" t="s">
        <v>21</v>
      </c>
      <c r="G132" t="s">
        <v>33</v>
      </c>
      <c r="H132">
        <v>2</v>
      </c>
      <c r="I132">
        <v>277.48</v>
      </c>
      <c r="J132">
        <v>554.96</v>
      </c>
      <c r="K132" t="s">
        <v>17</v>
      </c>
    </row>
    <row r="133" spans="1:11" x14ac:dyDescent="0.25">
      <c r="A133" s="1">
        <v>44789</v>
      </c>
      <c r="B133" t="s">
        <v>28</v>
      </c>
      <c r="C133" t="s">
        <v>29</v>
      </c>
      <c r="D133" t="s">
        <v>25</v>
      </c>
      <c r="E133" t="s">
        <v>26</v>
      </c>
      <c r="F133" t="s">
        <v>15</v>
      </c>
      <c r="G133" t="s">
        <v>16</v>
      </c>
      <c r="H133">
        <v>4</v>
      </c>
      <c r="I133">
        <v>153.56</v>
      </c>
      <c r="J133">
        <v>614.24</v>
      </c>
      <c r="K133" t="s">
        <v>36</v>
      </c>
    </row>
    <row r="134" spans="1:11" x14ac:dyDescent="0.25">
      <c r="A134" s="1">
        <v>44635</v>
      </c>
      <c r="B134" t="s">
        <v>11</v>
      </c>
      <c r="C134" t="s">
        <v>12</v>
      </c>
      <c r="D134" t="s">
        <v>13</v>
      </c>
      <c r="E134" t="s">
        <v>30</v>
      </c>
      <c r="F134" t="s">
        <v>32</v>
      </c>
      <c r="G134" t="s">
        <v>16</v>
      </c>
      <c r="H134">
        <v>2</v>
      </c>
      <c r="I134">
        <v>74.83</v>
      </c>
      <c r="J134">
        <v>149.66</v>
      </c>
      <c r="K134" t="s">
        <v>17</v>
      </c>
    </row>
    <row r="135" spans="1:11" x14ac:dyDescent="0.25">
      <c r="A135" s="1">
        <v>44748</v>
      </c>
      <c r="B135" t="s">
        <v>41</v>
      </c>
      <c r="C135" t="s">
        <v>29</v>
      </c>
      <c r="D135" t="s">
        <v>42</v>
      </c>
      <c r="E135" t="s">
        <v>26</v>
      </c>
      <c r="F135" t="s">
        <v>15</v>
      </c>
      <c r="G135" t="s">
        <v>27</v>
      </c>
      <c r="H135">
        <v>1</v>
      </c>
      <c r="I135">
        <v>136.80000000000001</v>
      </c>
      <c r="J135">
        <v>136.80000000000001</v>
      </c>
      <c r="K135" t="s">
        <v>35</v>
      </c>
    </row>
    <row r="136" spans="1:11" x14ac:dyDescent="0.25">
      <c r="A136" s="1">
        <v>44738</v>
      </c>
      <c r="B136" t="s">
        <v>18</v>
      </c>
      <c r="C136" t="s">
        <v>19</v>
      </c>
      <c r="D136" t="s">
        <v>20</v>
      </c>
      <c r="E136" t="s">
        <v>14</v>
      </c>
      <c r="F136" t="s">
        <v>32</v>
      </c>
      <c r="G136" t="s">
        <v>22</v>
      </c>
      <c r="H136">
        <v>3</v>
      </c>
      <c r="I136">
        <v>209.69</v>
      </c>
      <c r="J136">
        <v>629.07000000000005</v>
      </c>
      <c r="K136" t="s">
        <v>36</v>
      </c>
    </row>
    <row r="137" spans="1:11" x14ac:dyDescent="0.25">
      <c r="A137" s="1">
        <v>44638</v>
      </c>
      <c r="B137" t="s">
        <v>41</v>
      </c>
      <c r="C137" t="s">
        <v>29</v>
      </c>
      <c r="D137" t="s">
        <v>42</v>
      </c>
      <c r="E137" t="s">
        <v>30</v>
      </c>
      <c r="F137" t="s">
        <v>32</v>
      </c>
      <c r="G137" t="s">
        <v>43</v>
      </c>
      <c r="H137">
        <v>3</v>
      </c>
      <c r="I137">
        <v>200.87</v>
      </c>
      <c r="J137">
        <v>602.61</v>
      </c>
      <c r="K137" t="s">
        <v>23</v>
      </c>
    </row>
    <row r="138" spans="1:11" hidden="1" x14ac:dyDescent="0.25">
      <c r="A138" s="1">
        <v>44596</v>
      </c>
      <c r="B138" t="s">
        <v>48</v>
      </c>
      <c r="C138" t="s">
        <v>49</v>
      </c>
      <c r="D138" t="s">
        <v>50</v>
      </c>
      <c r="E138" t="s">
        <v>30</v>
      </c>
      <c r="F138" t="s">
        <v>21</v>
      </c>
      <c r="G138" t="s">
        <v>16</v>
      </c>
      <c r="H138">
        <v>1</v>
      </c>
      <c r="I138">
        <v>221.26</v>
      </c>
      <c r="J138">
        <v>221.26</v>
      </c>
      <c r="K138" t="s">
        <v>17</v>
      </c>
    </row>
    <row r="139" spans="1:11" x14ac:dyDescent="0.25">
      <c r="A139" s="1">
        <v>44564</v>
      </c>
      <c r="B139" t="s">
        <v>24</v>
      </c>
      <c r="C139" t="s">
        <v>19</v>
      </c>
      <c r="D139" t="s">
        <v>25</v>
      </c>
      <c r="E139" t="s">
        <v>26</v>
      </c>
      <c r="F139" t="s">
        <v>21</v>
      </c>
      <c r="G139" t="s">
        <v>22</v>
      </c>
      <c r="H139">
        <v>5</v>
      </c>
      <c r="I139">
        <v>176.98</v>
      </c>
      <c r="J139">
        <v>884.9</v>
      </c>
      <c r="K139" t="s">
        <v>17</v>
      </c>
    </row>
    <row r="140" spans="1:11" hidden="1" x14ac:dyDescent="0.25">
      <c r="A140" s="1">
        <v>44779</v>
      </c>
      <c r="B140" t="s">
        <v>45</v>
      </c>
      <c r="C140" t="s">
        <v>46</v>
      </c>
      <c r="D140" t="s">
        <v>47</v>
      </c>
      <c r="E140" t="s">
        <v>30</v>
      </c>
      <c r="F140" t="s">
        <v>32</v>
      </c>
      <c r="G140" t="s">
        <v>34</v>
      </c>
      <c r="H140">
        <v>5</v>
      </c>
      <c r="I140">
        <v>77.08</v>
      </c>
      <c r="J140">
        <v>385.4</v>
      </c>
      <c r="K140" t="s">
        <v>36</v>
      </c>
    </row>
    <row r="141" spans="1:11" x14ac:dyDescent="0.25">
      <c r="A141" s="1">
        <v>44626</v>
      </c>
      <c r="B141" t="s">
        <v>31</v>
      </c>
      <c r="C141" t="s">
        <v>19</v>
      </c>
      <c r="D141" t="s">
        <v>25</v>
      </c>
      <c r="E141" t="s">
        <v>30</v>
      </c>
      <c r="F141" t="s">
        <v>32</v>
      </c>
      <c r="G141" t="s">
        <v>39</v>
      </c>
      <c r="H141">
        <v>4</v>
      </c>
      <c r="I141">
        <v>239.54</v>
      </c>
      <c r="J141">
        <v>958.16</v>
      </c>
      <c r="K141" t="s">
        <v>36</v>
      </c>
    </row>
    <row r="142" spans="1:11" x14ac:dyDescent="0.25">
      <c r="A142" s="1">
        <v>44639</v>
      </c>
      <c r="B142" t="s">
        <v>41</v>
      </c>
      <c r="C142" t="s">
        <v>29</v>
      </c>
      <c r="D142" t="s">
        <v>42</v>
      </c>
      <c r="E142" t="s">
        <v>30</v>
      </c>
      <c r="F142" t="s">
        <v>21</v>
      </c>
      <c r="G142" t="s">
        <v>43</v>
      </c>
      <c r="H142">
        <v>5</v>
      </c>
      <c r="I142">
        <v>179.54</v>
      </c>
      <c r="J142">
        <v>897.7</v>
      </c>
      <c r="K142" t="s">
        <v>35</v>
      </c>
    </row>
    <row r="143" spans="1:11" x14ac:dyDescent="0.25">
      <c r="A143" s="1">
        <v>44656</v>
      </c>
      <c r="B143" t="s">
        <v>37</v>
      </c>
      <c r="C143" t="s">
        <v>29</v>
      </c>
      <c r="D143" t="s">
        <v>38</v>
      </c>
      <c r="E143" t="s">
        <v>26</v>
      </c>
      <c r="F143" t="s">
        <v>21</v>
      </c>
      <c r="G143" t="s">
        <v>39</v>
      </c>
      <c r="H143">
        <v>3</v>
      </c>
      <c r="I143">
        <v>274.23</v>
      </c>
      <c r="J143">
        <v>822.69</v>
      </c>
      <c r="K143" t="s">
        <v>23</v>
      </c>
    </row>
    <row r="144" spans="1:11" x14ac:dyDescent="0.25">
      <c r="A144" s="1">
        <v>44631</v>
      </c>
      <c r="B144" t="s">
        <v>28</v>
      </c>
      <c r="C144" t="s">
        <v>29</v>
      </c>
      <c r="D144" t="s">
        <v>25</v>
      </c>
      <c r="E144" t="s">
        <v>26</v>
      </c>
      <c r="F144" t="s">
        <v>15</v>
      </c>
      <c r="G144" t="s">
        <v>43</v>
      </c>
      <c r="H144">
        <v>5</v>
      </c>
      <c r="I144">
        <v>99.89</v>
      </c>
      <c r="J144">
        <v>499.45</v>
      </c>
      <c r="K144" t="s">
        <v>23</v>
      </c>
    </row>
    <row r="145" spans="1:11" x14ac:dyDescent="0.25">
      <c r="A145" s="1">
        <v>44654</v>
      </c>
      <c r="B145" t="s">
        <v>18</v>
      </c>
      <c r="C145" t="s">
        <v>19</v>
      </c>
      <c r="D145" t="s">
        <v>20</v>
      </c>
      <c r="E145" t="s">
        <v>26</v>
      </c>
      <c r="F145" t="s">
        <v>40</v>
      </c>
      <c r="G145" t="s">
        <v>34</v>
      </c>
      <c r="H145">
        <v>4</v>
      </c>
      <c r="I145">
        <v>148.11000000000001</v>
      </c>
      <c r="J145">
        <v>592.44000000000005</v>
      </c>
      <c r="K145" t="s">
        <v>23</v>
      </c>
    </row>
    <row r="146" spans="1:11" x14ac:dyDescent="0.25">
      <c r="A146" s="1">
        <v>44742</v>
      </c>
      <c r="B146" t="s">
        <v>31</v>
      </c>
      <c r="C146" t="s">
        <v>19</v>
      </c>
      <c r="D146" t="s">
        <v>25</v>
      </c>
      <c r="E146" t="s">
        <v>14</v>
      </c>
      <c r="F146" t="s">
        <v>40</v>
      </c>
      <c r="G146" t="s">
        <v>43</v>
      </c>
      <c r="H146">
        <v>5</v>
      </c>
      <c r="I146">
        <v>81.97</v>
      </c>
      <c r="J146">
        <v>409.85</v>
      </c>
      <c r="K146" t="s">
        <v>23</v>
      </c>
    </row>
    <row r="147" spans="1:11" x14ac:dyDescent="0.25">
      <c r="A147" s="1">
        <v>44570</v>
      </c>
      <c r="B147" t="s">
        <v>18</v>
      </c>
      <c r="C147" t="s">
        <v>19</v>
      </c>
      <c r="D147" t="s">
        <v>20</v>
      </c>
      <c r="E147" t="s">
        <v>26</v>
      </c>
      <c r="F147" t="s">
        <v>15</v>
      </c>
      <c r="G147" t="s">
        <v>43</v>
      </c>
      <c r="H147">
        <v>3</v>
      </c>
      <c r="I147">
        <v>291.29000000000002</v>
      </c>
      <c r="J147">
        <v>873.87</v>
      </c>
      <c r="K147" t="s">
        <v>36</v>
      </c>
    </row>
    <row r="148" spans="1:11" x14ac:dyDescent="0.25">
      <c r="A148" s="1">
        <v>44683</v>
      </c>
      <c r="B148" t="s">
        <v>44</v>
      </c>
      <c r="C148" t="s">
        <v>19</v>
      </c>
      <c r="D148" t="s">
        <v>20</v>
      </c>
      <c r="E148" t="s">
        <v>30</v>
      </c>
      <c r="F148" t="s">
        <v>21</v>
      </c>
      <c r="G148" t="s">
        <v>39</v>
      </c>
      <c r="H148">
        <v>5</v>
      </c>
      <c r="I148">
        <v>138.94999999999999</v>
      </c>
      <c r="J148">
        <v>694.75</v>
      </c>
      <c r="K148" t="s">
        <v>35</v>
      </c>
    </row>
    <row r="149" spans="1:11" x14ac:dyDescent="0.25">
      <c r="A149" s="1">
        <v>44588</v>
      </c>
      <c r="B149" t="s">
        <v>44</v>
      </c>
      <c r="C149" t="s">
        <v>19</v>
      </c>
      <c r="D149" t="s">
        <v>20</v>
      </c>
      <c r="E149" t="s">
        <v>30</v>
      </c>
      <c r="F149" t="s">
        <v>21</v>
      </c>
      <c r="G149" t="s">
        <v>16</v>
      </c>
      <c r="H149">
        <v>4</v>
      </c>
      <c r="I149">
        <v>208.19</v>
      </c>
      <c r="J149">
        <v>832.76</v>
      </c>
      <c r="K149" t="s">
        <v>36</v>
      </c>
    </row>
    <row r="150" spans="1:11" x14ac:dyDescent="0.25">
      <c r="A150" s="1">
        <v>44769</v>
      </c>
      <c r="B150" t="s">
        <v>31</v>
      </c>
      <c r="C150" t="s">
        <v>19</v>
      </c>
      <c r="D150" t="s">
        <v>25</v>
      </c>
      <c r="E150" t="s">
        <v>30</v>
      </c>
      <c r="F150" t="s">
        <v>15</v>
      </c>
      <c r="G150" t="s">
        <v>43</v>
      </c>
      <c r="H150">
        <v>5</v>
      </c>
      <c r="I150">
        <v>291.7</v>
      </c>
      <c r="J150">
        <v>1458.5</v>
      </c>
      <c r="K150" t="s">
        <v>36</v>
      </c>
    </row>
    <row r="151" spans="1:11" x14ac:dyDescent="0.25">
      <c r="A151" s="1">
        <v>44722</v>
      </c>
      <c r="B151" t="s">
        <v>11</v>
      </c>
      <c r="C151" t="s">
        <v>12</v>
      </c>
      <c r="D151" t="s">
        <v>13</v>
      </c>
      <c r="E151" t="s">
        <v>26</v>
      </c>
      <c r="F151" t="s">
        <v>40</v>
      </c>
      <c r="G151" t="s">
        <v>33</v>
      </c>
      <c r="H151">
        <v>3</v>
      </c>
      <c r="I151">
        <v>209.89</v>
      </c>
      <c r="J151">
        <v>629.66999999999996</v>
      </c>
      <c r="K151" t="s">
        <v>35</v>
      </c>
    </row>
    <row r="152" spans="1:11" x14ac:dyDescent="0.25">
      <c r="A152" s="1">
        <v>44685</v>
      </c>
      <c r="B152" t="s">
        <v>31</v>
      </c>
      <c r="C152" t="s">
        <v>19</v>
      </c>
      <c r="D152" t="s">
        <v>25</v>
      </c>
      <c r="E152" t="s">
        <v>14</v>
      </c>
      <c r="F152" t="s">
        <v>32</v>
      </c>
      <c r="G152" t="s">
        <v>16</v>
      </c>
      <c r="H152">
        <v>4</v>
      </c>
      <c r="I152">
        <v>171.49</v>
      </c>
      <c r="J152">
        <v>685.96</v>
      </c>
      <c r="K152" t="s">
        <v>23</v>
      </c>
    </row>
    <row r="153" spans="1:11" x14ac:dyDescent="0.25">
      <c r="A153" s="1">
        <v>44578</v>
      </c>
      <c r="B153" t="s">
        <v>28</v>
      </c>
      <c r="C153" t="s">
        <v>29</v>
      </c>
      <c r="D153" t="s">
        <v>25</v>
      </c>
      <c r="E153" t="s">
        <v>30</v>
      </c>
      <c r="F153" t="s">
        <v>32</v>
      </c>
      <c r="G153" t="s">
        <v>27</v>
      </c>
      <c r="H153">
        <v>3</v>
      </c>
      <c r="I153">
        <v>156.22</v>
      </c>
      <c r="J153">
        <v>468.66</v>
      </c>
      <c r="K153" t="s">
        <v>36</v>
      </c>
    </row>
    <row r="154" spans="1:11" x14ac:dyDescent="0.25">
      <c r="A154" s="1">
        <v>44719</v>
      </c>
      <c r="B154" t="s">
        <v>18</v>
      </c>
      <c r="C154" t="s">
        <v>19</v>
      </c>
      <c r="D154" t="s">
        <v>20</v>
      </c>
      <c r="E154" t="s">
        <v>30</v>
      </c>
      <c r="F154" t="s">
        <v>21</v>
      </c>
      <c r="G154" t="s">
        <v>16</v>
      </c>
      <c r="H154">
        <v>4</v>
      </c>
      <c r="I154">
        <v>158.82</v>
      </c>
      <c r="J154">
        <v>635.28</v>
      </c>
      <c r="K154" t="s">
        <v>35</v>
      </c>
    </row>
    <row r="155" spans="1:11" x14ac:dyDescent="0.25">
      <c r="A155" s="1">
        <v>44754</v>
      </c>
      <c r="B155" t="s">
        <v>37</v>
      </c>
      <c r="C155" t="s">
        <v>29</v>
      </c>
      <c r="D155" t="s">
        <v>38</v>
      </c>
      <c r="E155" t="s">
        <v>30</v>
      </c>
      <c r="F155" t="s">
        <v>40</v>
      </c>
      <c r="G155" t="s">
        <v>34</v>
      </c>
      <c r="H155">
        <v>3</v>
      </c>
      <c r="I155">
        <v>218.91</v>
      </c>
      <c r="J155">
        <v>656.73</v>
      </c>
      <c r="K155" t="s">
        <v>36</v>
      </c>
    </row>
    <row r="156" spans="1:11" x14ac:dyDescent="0.25">
      <c r="A156" s="1">
        <v>44769</v>
      </c>
      <c r="B156" t="s">
        <v>41</v>
      </c>
      <c r="C156" t="s">
        <v>29</v>
      </c>
      <c r="D156" t="s">
        <v>42</v>
      </c>
      <c r="E156" t="s">
        <v>26</v>
      </c>
      <c r="F156" t="s">
        <v>15</v>
      </c>
      <c r="G156" t="s">
        <v>33</v>
      </c>
      <c r="H156">
        <v>5</v>
      </c>
      <c r="I156">
        <v>54.88</v>
      </c>
      <c r="J156">
        <v>274.39999999999998</v>
      </c>
      <c r="K156" t="s">
        <v>36</v>
      </c>
    </row>
    <row r="157" spans="1:11" hidden="1" x14ac:dyDescent="0.25">
      <c r="A157" s="1">
        <v>44689</v>
      </c>
      <c r="B157" t="s">
        <v>45</v>
      </c>
      <c r="C157" t="s">
        <v>46</v>
      </c>
      <c r="D157" t="s">
        <v>47</v>
      </c>
      <c r="E157" t="s">
        <v>26</v>
      </c>
      <c r="F157" t="s">
        <v>40</v>
      </c>
      <c r="G157" t="s">
        <v>39</v>
      </c>
      <c r="H157">
        <v>1</v>
      </c>
      <c r="I157">
        <v>75.27</v>
      </c>
      <c r="J157">
        <v>75.27</v>
      </c>
      <c r="K157" t="s">
        <v>17</v>
      </c>
    </row>
    <row r="158" spans="1:11" hidden="1" x14ac:dyDescent="0.25">
      <c r="A158" s="1">
        <v>44724</v>
      </c>
      <c r="B158" t="s">
        <v>48</v>
      </c>
      <c r="C158" t="s">
        <v>49</v>
      </c>
      <c r="D158" t="s">
        <v>50</v>
      </c>
      <c r="E158" t="s">
        <v>30</v>
      </c>
      <c r="F158" t="s">
        <v>15</v>
      </c>
      <c r="G158" t="s">
        <v>43</v>
      </c>
      <c r="H158">
        <v>1</v>
      </c>
      <c r="I158">
        <v>144.04</v>
      </c>
      <c r="J158">
        <v>144.04</v>
      </c>
      <c r="K158" t="s">
        <v>23</v>
      </c>
    </row>
    <row r="159" spans="1:11" x14ac:dyDescent="0.25">
      <c r="A159" s="1">
        <v>44768</v>
      </c>
      <c r="B159" t="s">
        <v>31</v>
      </c>
      <c r="C159" t="s">
        <v>19</v>
      </c>
      <c r="D159" t="s">
        <v>25</v>
      </c>
      <c r="E159" t="s">
        <v>30</v>
      </c>
      <c r="F159" t="s">
        <v>21</v>
      </c>
      <c r="G159" t="s">
        <v>27</v>
      </c>
      <c r="H159">
        <v>4</v>
      </c>
      <c r="I159">
        <v>196.45</v>
      </c>
      <c r="J159">
        <v>785.8</v>
      </c>
      <c r="K159" t="s">
        <v>35</v>
      </c>
    </row>
    <row r="160" spans="1:11" x14ac:dyDescent="0.25">
      <c r="A160" s="1">
        <v>44578</v>
      </c>
      <c r="B160" t="s">
        <v>24</v>
      </c>
      <c r="C160" t="s">
        <v>19</v>
      </c>
      <c r="D160" t="s">
        <v>25</v>
      </c>
      <c r="E160" t="s">
        <v>30</v>
      </c>
      <c r="F160" t="s">
        <v>15</v>
      </c>
      <c r="G160" t="s">
        <v>22</v>
      </c>
      <c r="H160">
        <v>3</v>
      </c>
      <c r="I160">
        <v>213.66</v>
      </c>
      <c r="J160">
        <v>640.98</v>
      </c>
      <c r="K160" t="s">
        <v>17</v>
      </c>
    </row>
    <row r="161" spans="1:11" x14ac:dyDescent="0.25">
      <c r="A161" s="1">
        <v>44789</v>
      </c>
      <c r="B161" t="s">
        <v>18</v>
      </c>
      <c r="C161" t="s">
        <v>19</v>
      </c>
      <c r="D161" t="s">
        <v>20</v>
      </c>
      <c r="E161" t="s">
        <v>30</v>
      </c>
      <c r="F161" t="s">
        <v>21</v>
      </c>
      <c r="G161" t="s">
        <v>34</v>
      </c>
      <c r="H161">
        <v>1</v>
      </c>
      <c r="I161">
        <v>164.57</v>
      </c>
      <c r="J161">
        <v>164.57</v>
      </c>
      <c r="K161" t="s">
        <v>23</v>
      </c>
    </row>
    <row r="162" spans="1:11" x14ac:dyDescent="0.25">
      <c r="A162" s="1">
        <v>44664</v>
      </c>
      <c r="B162" t="s">
        <v>31</v>
      </c>
      <c r="C162" t="s">
        <v>19</v>
      </c>
      <c r="D162" t="s">
        <v>25</v>
      </c>
      <c r="E162" t="s">
        <v>30</v>
      </c>
      <c r="F162" t="s">
        <v>32</v>
      </c>
      <c r="G162" t="s">
        <v>39</v>
      </c>
      <c r="H162">
        <v>4</v>
      </c>
      <c r="I162">
        <v>203.25</v>
      </c>
      <c r="J162">
        <v>813</v>
      </c>
      <c r="K162" t="s">
        <v>36</v>
      </c>
    </row>
    <row r="163" spans="1:11" x14ac:dyDescent="0.25">
      <c r="A163" s="1">
        <v>44694</v>
      </c>
      <c r="B163" t="s">
        <v>37</v>
      </c>
      <c r="C163" t="s">
        <v>29</v>
      </c>
      <c r="D163" t="s">
        <v>38</v>
      </c>
      <c r="E163" t="s">
        <v>26</v>
      </c>
      <c r="F163" t="s">
        <v>40</v>
      </c>
      <c r="G163" t="s">
        <v>34</v>
      </c>
      <c r="H163">
        <v>5</v>
      </c>
      <c r="I163">
        <v>91.11</v>
      </c>
      <c r="J163">
        <v>455.55</v>
      </c>
      <c r="K163" t="s">
        <v>23</v>
      </c>
    </row>
    <row r="164" spans="1:11" x14ac:dyDescent="0.25">
      <c r="A164" s="1">
        <v>44609</v>
      </c>
      <c r="B164" t="s">
        <v>37</v>
      </c>
      <c r="C164" t="s">
        <v>29</v>
      </c>
      <c r="D164" t="s">
        <v>38</v>
      </c>
      <c r="E164" t="s">
        <v>14</v>
      </c>
      <c r="F164" t="s">
        <v>21</v>
      </c>
      <c r="G164" t="s">
        <v>22</v>
      </c>
      <c r="H164">
        <v>3</v>
      </c>
      <c r="I164">
        <v>57.92</v>
      </c>
      <c r="J164">
        <v>173.76</v>
      </c>
      <c r="K164" t="s">
        <v>23</v>
      </c>
    </row>
    <row r="165" spans="1:11" x14ac:dyDescent="0.25">
      <c r="A165" s="1">
        <v>44773</v>
      </c>
      <c r="B165" t="s">
        <v>31</v>
      </c>
      <c r="C165" t="s">
        <v>19</v>
      </c>
      <c r="D165" t="s">
        <v>25</v>
      </c>
      <c r="E165" t="s">
        <v>26</v>
      </c>
      <c r="F165" t="s">
        <v>15</v>
      </c>
      <c r="G165" t="s">
        <v>16</v>
      </c>
      <c r="H165">
        <v>3</v>
      </c>
      <c r="I165">
        <v>209.3</v>
      </c>
      <c r="J165">
        <v>627.9</v>
      </c>
      <c r="K165" t="s">
        <v>36</v>
      </c>
    </row>
    <row r="166" spans="1:11" x14ac:dyDescent="0.25">
      <c r="A166" s="1">
        <v>44798</v>
      </c>
      <c r="B166" t="s">
        <v>44</v>
      </c>
      <c r="C166" t="s">
        <v>19</v>
      </c>
      <c r="D166" t="s">
        <v>20</v>
      </c>
      <c r="E166" t="s">
        <v>14</v>
      </c>
      <c r="F166" t="s">
        <v>32</v>
      </c>
      <c r="G166" t="s">
        <v>27</v>
      </c>
      <c r="H166">
        <v>1</v>
      </c>
      <c r="I166">
        <v>112.26</v>
      </c>
      <c r="J166">
        <v>112.26</v>
      </c>
      <c r="K166" t="s">
        <v>35</v>
      </c>
    </row>
    <row r="167" spans="1:11" x14ac:dyDescent="0.25">
      <c r="A167" s="1">
        <v>44803</v>
      </c>
      <c r="B167" t="s">
        <v>24</v>
      </c>
      <c r="C167" t="s">
        <v>19</v>
      </c>
      <c r="D167" t="s">
        <v>25</v>
      </c>
      <c r="E167" t="s">
        <v>26</v>
      </c>
      <c r="F167" t="s">
        <v>15</v>
      </c>
      <c r="G167" t="s">
        <v>39</v>
      </c>
      <c r="H167">
        <v>2</v>
      </c>
      <c r="I167">
        <v>216.83</v>
      </c>
      <c r="J167">
        <v>433.66</v>
      </c>
      <c r="K167" t="s">
        <v>35</v>
      </c>
    </row>
    <row r="168" spans="1:11" hidden="1" x14ac:dyDescent="0.25">
      <c r="A168" s="1">
        <v>44763</v>
      </c>
      <c r="B168" t="s">
        <v>48</v>
      </c>
      <c r="C168" t="s">
        <v>49</v>
      </c>
      <c r="D168" t="s">
        <v>50</v>
      </c>
      <c r="E168" t="s">
        <v>14</v>
      </c>
      <c r="F168" t="s">
        <v>15</v>
      </c>
      <c r="G168" t="s">
        <v>39</v>
      </c>
      <c r="H168">
        <v>5</v>
      </c>
      <c r="I168">
        <v>68.52</v>
      </c>
      <c r="J168">
        <v>342.6</v>
      </c>
      <c r="K168" t="s">
        <v>35</v>
      </c>
    </row>
    <row r="169" spans="1:11" x14ac:dyDescent="0.25">
      <c r="A169" s="1">
        <v>44775</v>
      </c>
      <c r="B169" t="s">
        <v>41</v>
      </c>
      <c r="C169" t="s">
        <v>29</v>
      </c>
      <c r="D169" t="s">
        <v>42</v>
      </c>
      <c r="E169" t="s">
        <v>30</v>
      </c>
      <c r="F169" t="s">
        <v>32</v>
      </c>
      <c r="G169" t="s">
        <v>39</v>
      </c>
      <c r="H169">
        <v>1</v>
      </c>
      <c r="I169">
        <v>98.04</v>
      </c>
      <c r="J169">
        <v>98.04</v>
      </c>
      <c r="K169" t="s">
        <v>23</v>
      </c>
    </row>
    <row r="170" spans="1:11" x14ac:dyDescent="0.25">
      <c r="A170" s="1">
        <v>44742</v>
      </c>
      <c r="B170" t="s">
        <v>11</v>
      </c>
      <c r="C170" t="s">
        <v>12</v>
      </c>
      <c r="D170" t="s">
        <v>13</v>
      </c>
      <c r="E170" t="s">
        <v>30</v>
      </c>
      <c r="F170" t="s">
        <v>32</v>
      </c>
      <c r="G170" t="s">
        <v>43</v>
      </c>
      <c r="H170">
        <v>5</v>
      </c>
      <c r="I170">
        <v>204.35</v>
      </c>
      <c r="J170">
        <v>1021.75</v>
      </c>
      <c r="K170" t="s">
        <v>36</v>
      </c>
    </row>
    <row r="171" spans="1:11" x14ac:dyDescent="0.25">
      <c r="A171" s="1">
        <v>44661</v>
      </c>
      <c r="B171" t="s">
        <v>24</v>
      </c>
      <c r="C171" t="s">
        <v>19</v>
      </c>
      <c r="D171" t="s">
        <v>25</v>
      </c>
      <c r="E171" t="s">
        <v>26</v>
      </c>
      <c r="F171" t="s">
        <v>21</v>
      </c>
      <c r="G171" t="s">
        <v>27</v>
      </c>
      <c r="H171">
        <v>4</v>
      </c>
      <c r="I171">
        <v>283.7</v>
      </c>
      <c r="J171">
        <v>1134.8</v>
      </c>
      <c r="K171" t="s">
        <v>17</v>
      </c>
    </row>
    <row r="172" spans="1:11" x14ac:dyDescent="0.25">
      <c r="A172" s="1">
        <v>44745</v>
      </c>
      <c r="B172" t="s">
        <v>37</v>
      </c>
      <c r="C172" t="s">
        <v>29</v>
      </c>
      <c r="D172" t="s">
        <v>38</v>
      </c>
      <c r="E172" t="s">
        <v>26</v>
      </c>
      <c r="F172" t="s">
        <v>15</v>
      </c>
      <c r="G172" t="s">
        <v>43</v>
      </c>
      <c r="H172">
        <v>4</v>
      </c>
      <c r="I172">
        <v>172.52</v>
      </c>
      <c r="J172">
        <v>690.08</v>
      </c>
      <c r="K172" t="s">
        <v>35</v>
      </c>
    </row>
    <row r="173" spans="1:11" x14ac:dyDescent="0.25">
      <c r="A173" s="1">
        <v>44618</v>
      </c>
      <c r="B173" t="s">
        <v>31</v>
      </c>
      <c r="C173" t="s">
        <v>19</v>
      </c>
      <c r="D173" t="s">
        <v>25</v>
      </c>
      <c r="E173" t="s">
        <v>30</v>
      </c>
      <c r="F173" t="s">
        <v>15</v>
      </c>
      <c r="G173" t="s">
        <v>22</v>
      </c>
      <c r="H173">
        <v>3</v>
      </c>
      <c r="I173">
        <v>51.81</v>
      </c>
      <c r="J173">
        <v>155.43</v>
      </c>
      <c r="K173" t="s">
        <v>36</v>
      </c>
    </row>
    <row r="174" spans="1:11" x14ac:dyDescent="0.25">
      <c r="A174" s="1">
        <v>44680</v>
      </c>
      <c r="B174" t="s">
        <v>28</v>
      </c>
      <c r="C174" t="s">
        <v>29</v>
      </c>
      <c r="D174" t="s">
        <v>25</v>
      </c>
      <c r="E174" t="s">
        <v>30</v>
      </c>
      <c r="F174" t="s">
        <v>40</v>
      </c>
      <c r="G174" t="s">
        <v>16</v>
      </c>
      <c r="H174">
        <v>5</v>
      </c>
      <c r="I174">
        <v>71.28</v>
      </c>
      <c r="J174">
        <v>356.4</v>
      </c>
      <c r="K174" t="s">
        <v>23</v>
      </c>
    </row>
    <row r="175" spans="1:11" x14ac:dyDescent="0.25">
      <c r="A175" s="1">
        <v>44616</v>
      </c>
      <c r="B175" t="s">
        <v>18</v>
      </c>
      <c r="C175" t="s">
        <v>19</v>
      </c>
      <c r="D175" t="s">
        <v>20</v>
      </c>
      <c r="E175" t="s">
        <v>14</v>
      </c>
      <c r="F175" t="s">
        <v>40</v>
      </c>
      <c r="G175" t="s">
        <v>39</v>
      </c>
      <c r="H175">
        <v>2</v>
      </c>
      <c r="I175">
        <v>248.44</v>
      </c>
      <c r="J175">
        <v>496.88</v>
      </c>
      <c r="K175" t="s">
        <v>23</v>
      </c>
    </row>
    <row r="176" spans="1:11" x14ac:dyDescent="0.25">
      <c r="A176" s="1">
        <v>44745</v>
      </c>
      <c r="B176" t="s">
        <v>18</v>
      </c>
      <c r="C176" t="s">
        <v>19</v>
      </c>
      <c r="D176" t="s">
        <v>20</v>
      </c>
      <c r="E176" t="s">
        <v>26</v>
      </c>
      <c r="F176" t="s">
        <v>40</v>
      </c>
      <c r="G176" t="s">
        <v>43</v>
      </c>
      <c r="H176">
        <v>2</v>
      </c>
      <c r="I176">
        <v>107.04</v>
      </c>
      <c r="J176">
        <v>214.08</v>
      </c>
      <c r="K176" t="s">
        <v>17</v>
      </c>
    </row>
    <row r="177" spans="1:11" hidden="1" x14ac:dyDescent="0.25">
      <c r="A177" s="1">
        <v>44803</v>
      </c>
      <c r="B177" t="s">
        <v>48</v>
      </c>
      <c r="C177" t="s">
        <v>49</v>
      </c>
      <c r="D177" t="s">
        <v>50</v>
      </c>
      <c r="E177" t="s">
        <v>26</v>
      </c>
      <c r="F177" t="s">
        <v>40</v>
      </c>
      <c r="G177" t="s">
        <v>33</v>
      </c>
      <c r="H177">
        <v>1</v>
      </c>
      <c r="I177">
        <v>132.07</v>
      </c>
      <c r="J177">
        <v>132.07</v>
      </c>
      <c r="K177" t="s">
        <v>36</v>
      </c>
    </row>
    <row r="178" spans="1:11" x14ac:dyDescent="0.25">
      <c r="A178" s="1">
        <v>44751</v>
      </c>
      <c r="B178" t="s">
        <v>24</v>
      </c>
      <c r="C178" t="s">
        <v>19</v>
      </c>
      <c r="D178" t="s">
        <v>25</v>
      </c>
      <c r="E178" t="s">
        <v>30</v>
      </c>
      <c r="F178" t="s">
        <v>32</v>
      </c>
      <c r="G178" t="s">
        <v>16</v>
      </c>
      <c r="H178">
        <v>3</v>
      </c>
      <c r="I178">
        <v>118.37</v>
      </c>
      <c r="J178">
        <v>355.11</v>
      </c>
      <c r="K178" t="s">
        <v>17</v>
      </c>
    </row>
    <row r="179" spans="1:11" x14ac:dyDescent="0.25">
      <c r="A179" s="1">
        <v>44669</v>
      </c>
      <c r="B179" t="s">
        <v>28</v>
      </c>
      <c r="C179" t="s">
        <v>29</v>
      </c>
      <c r="D179" t="s">
        <v>25</v>
      </c>
      <c r="E179" t="s">
        <v>26</v>
      </c>
      <c r="F179" t="s">
        <v>21</v>
      </c>
      <c r="G179" t="s">
        <v>27</v>
      </c>
      <c r="H179">
        <v>5</v>
      </c>
      <c r="I179">
        <v>243.74</v>
      </c>
      <c r="J179">
        <v>1218.7</v>
      </c>
      <c r="K179" t="s">
        <v>36</v>
      </c>
    </row>
    <row r="180" spans="1:11" x14ac:dyDescent="0.25">
      <c r="A180" s="1">
        <v>44577</v>
      </c>
      <c r="B180" t="s">
        <v>24</v>
      </c>
      <c r="C180" t="s">
        <v>19</v>
      </c>
      <c r="D180" t="s">
        <v>25</v>
      </c>
      <c r="E180" t="s">
        <v>14</v>
      </c>
      <c r="F180" t="s">
        <v>15</v>
      </c>
      <c r="G180" t="s">
        <v>16</v>
      </c>
      <c r="H180">
        <v>5</v>
      </c>
      <c r="I180">
        <v>150.02000000000001</v>
      </c>
      <c r="J180">
        <v>750.1</v>
      </c>
      <c r="K180" t="s">
        <v>23</v>
      </c>
    </row>
    <row r="181" spans="1:11" x14ac:dyDescent="0.25">
      <c r="A181" s="1">
        <v>44653</v>
      </c>
      <c r="B181" t="s">
        <v>28</v>
      </c>
      <c r="C181" t="s">
        <v>29</v>
      </c>
      <c r="D181" t="s">
        <v>25</v>
      </c>
      <c r="E181" t="s">
        <v>26</v>
      </c>
      <c r="F181" t="s">
        <v>21</v>
      </c>
      <c r="G181" t="s">
        <v>33</v>
      </c>
      <c r="H181">
        <v>3</v>
      </c>
      <c r="I181">
        <v>73.31</v>
      </c>
      <c r="J181">
        <v>219.93</v>
      </c>
      <c r="K181" t="s">
        <v>36</v>
      </c>
    </row>
    <row r="182" spans="1:11" hidden="1" x14ac:dyDescent="0.25">
      <c r="A182" s="1">
        <v>44798</v>
      </c>
      <c r="B182" t="s">
        <v>48</v>
      </c>
      <c r="C182" t="s">
        <v>49</v>
      </c>
      <c r="D182" t="s">
        <v>50</v>
      </c>
      <c r="E182" t="s">
        <v>30</v>
      </c>
      <c r="F182" t="s">
        <v>32</v>
      </c>
      <c r="G182" t="s">
        <v>33</v>
      </c>
      <c r="H182">
        <v>2</v>
      </c>
      <c r="I182">
        <v>176.24</v>
      </c>
      <c r="J182">
        <v>352.48</v>
      </c>
      <c r="K182" t="s">
        <v>23</v>
      </c>
    </row>
    <row r="183" spans="1:11" x14ac:dyDescent="0.25">
      <c r="A183" s="1">
        <v>44708</v>
      </c>
      <c r="B183" t="s">
        <v>44</v>
      </c>
      <c r="C183" t="s">
        <v>19</v>
      </c>
      <c r="D183" t="s">
        <v>20</v>
      </c>
      <c r="E183" t="s">
        <v>26</v>
      </c>
      <c r="F183" t="s">
        <v>40</v>
      </c>
      <c r="G183" t="s">
        <v>34</v>
      </c>
      <c r="H183">
        <v>5</v>
      </c>
      <c r="I183">
        <v>135.5</v>
      </c>
      <c r="J183">
        <v>677.5</v>
      </c>
      <c r="K183" t="s">
        <v>35</v>
      </c>
    </row>
    <row r="184" spans="1:11" x14ac:dyDescent="0.25">
      <c r="A184" s="1">
        <v>44791</v>
      </c>
      <c r="B184" t="s">
        <v>11</v>
      </c>
      <c r="C184" t="s">
        <v>12</v>
      </c>
      <c r="D184" t="s">
        <v>13</v>
      </c>
      <c r="E184" t="s">
        <v>30</v>
      </c>
      <c r="F184" t="s">
        <v>40</v>
      </c>
      <c r="G184" t="s">
        <v>39</v>
      </c>
      <c r="H184">
        <v>4</v>
      </c>
      <c r="I184">
        <v>250.12</v>
      </c>
      <c r="J184">
        <v>1000.48</v>
      </c>
      <c r="K184" t="s">
        <v>17</v>
      </c>
    </row>
    <row r="185" spans="1:11" x14ac:dyDescent="0.25">
      <c r="A185" s="1">
        <v>44745</v>
      </c>
      <c r="B185" t="s">
        <v>18</v>
      </c>
      <c r="C185" t="s">
        <v>19</v>
      </c>
      <c r="D185" t="s">
        <v>20</v>
      </c>
      <c r="E185" t="s">
        <v>26</v>
      </c>
      <c r="F185" t="s">
        <v>32</v>
      </c>
      <c r="G185" t="s">
        <v>33</v>
      </c>
      <c r="H185">
        <v>4</v>
      </c>
      <c r="I185">
        <v>145.88999999999999</v>
      </c>
      <c r="J185">
        <v>583.55999999999995</v>
      </c>
      <c r="K185" t="s">
        <v>17</v>
      </c>
    </row>
    <row r="186" spans="1:11" x14ac:dyDescent="0.25">
      <c r="A186" s="1">
        <v>44688</v>
      </c>
      <c r="B186" t="s">
        <v>28</v>
      </c>
      <c r="C186" t="s">
        <v>29</v>
      </c>
      <c r="D186" t="s">
        <v>25</v>
      </c>
      <c r="E186" t="s">
        <v>14</v>
      </c>
      <c r="F186" t="s">
        <v>32</v>
      </c>
      <c r="G186" t="s">
        <v>22</v>
      </c>
      <c r="H186">
        <v>4</v>
      </c>
      <c r="I186">
        <v>281.54000000000002</v>
      </c>
      <c r="J186">
        <v>1126.1600000000001</v>
      </c>
      <c r="K186" t="s">
        <v>36</v>
      </c>
    </row>
    <row r="187" spans="1:11" x14ac:dyDescent="0.25">
      <c r="A187" s="1">
        <v>44737</v>
      </c>
      <c r="B187" t="s">
        <v>31</v>
      </c>
      <c r="C187" t="s">
        <v>19</v>
      </c>
      <c r="D187" t="s">
        <v>25</v>
      </c>
      <c r="E187" t="s">
        <v>14</v>
      </c>
      <c r="F187" t="s">
        <v>32</v>
      </c>
      <c r="G187" t="s">
        <v>33</v>
      </c>
      <c r="H187">
        <v>4</v>
      </c>
      <c r="I187">
        <v>121.42</v>
      </c>
      <c r="J187">
        <v>485.68</v>
      </c>
      <c r="K187" t="s">
        <v>17</v>
      </c>
    </row>
    <row r="188" spans="1:11" x14ac:dyDescent="0.25">
      <c r="A188" s="1">
        <v>44715</v>
      </c>
      <c r="B188" t="s">
        <v>31</v>
      </c>
      <c r="C188" t="s">
        <v>19</v>
      </c>
      <c r="D188" t="s">
        <v>25</v>
      </c>
      <c r="E188" t="s">
        <v>26</v>
      </c>
      <c r="F188" t="s">
        <v>21</v>
      </c>
      <c r="G188" t="s">
        <v>43</v>
      </c>
      <c r="H188">
        <v>4</v>
      </c>
      <c r="I188">
        <v>265.91000000000003</v>
      </c>
      <c r="J188">
        <v>1063.6400000000001</v>
      </c>
      <c r="K188" t="s">
        <v>35</v>
      </c>
    </row>
    <row r="189" spans="1:11" x14ac:dyDescent="0.25">
      <c r="A189" s="1">
        <v>44586</v>
      </c>
      <c r="B189" t="s">
        <v>11</v>
      </c>
      <c r="C189" t="s">
        <v>12</v>
      </c>
      <c r="D189" t="s">
        <v>13</v>
      </c>
      <c r="E189" t="s">
        <v>26</v>
      </c>
      <c r="F189" t="s">
        <v>15</v>
      </c>
      <c r="G189" t="s">
        <v>27</v>
      </c>
      <c r="H189">
        <v>1</v>
      </c>
      <c r="I189">
        <v>240.42</v>
      </c>
      <c r="J189">
        <v>240.42</v>
      </c>
      <c r="K189" t="s">
        <v>17</v>
      </c>
    </row>
    <row r="190" spans="1:11" x14ac:dyDescent="0.25">
      <c r="A190" s="1">
        <v>44569</v>
      </c>
      <c r="B190" t="s">
        <v>44</v>
      </c>
      <c r="C190" t="s">
        <v>19</v>
      </c>
      <c r="D190" t="s">
        <v>20</v>
      </c>
      <c r="E190" t="s">
        <v>26</v>
      </c>
      <c r="F190" t="s">
        <v>40</v>
      </c>
      <c r="G190" t="s">
        <v>22</v>
      </c>
      <c r="H190">
        <v>5</v>
      </c>
      <c r="I190">
        <v>275.27</v>
      </c>
      <c r="J190">
        <v>1376.35</v>
      </c>
      <c r="K190" t="s">
        <v>17</v>
      </c>
    </row>
    <row r="191" spans="1:11" x14ac:dyDescent="0.25">
      <c r="A191" s="1">
        <v>44782</v>
      </c>
      <c r="B191" t="s">
        <v>41</v>
      </c>
      <c r="C191" t="s">
        <v>29</v>
      </c>
      <c r="D191" t="s">
        <v>42</v>
      </c>
      <c r="E191" t="s">
        <v>26</v>
      </c>
      <c r="F191" t="s">
        <v>21</v>
      </c>
      <c r="G191" t="s">
        <v>43</v>
      </c>
      <c r="H191">
        <v>3</v>
      </c>
      <c r="I191">
        <v>154.79</v>
      </c>
      <c r="J191">
        <v>464.37</v>
      </c>
      <c r="K191" t="s">
        <v>17</v>
      </c>
    </row>
    <row r="192" spans="1:11" x14ac:dyDescent="0.25">
      <c r="A192" s="1">
        <v>44786</v>
      </c>
      <c r="B192" t="s">
        <v>41</v>
      </c>
      <c r="C192" t="s">
        <v>29</v>
      </c>
      <c r="D192" t="s">
        <v>42</v>
      </c>
      <c r="E192" t="s">
        <v>14</v>
      </c>
      <c r="F192" t="s">
        <v>40</v>
      </c>
      <c r="G192" t="s">
        <v>43</v>
      </c>
      <c r="H192">
        <v>5</v>
      </c>
      <c r="I192">
        <v>139</v>
      </c>
      <c r="J192">
        <v>695</v>
      </c>
      <c r="K192" t="s">
        <v>35</v>
      </c>
    </row>
    <row r="193" spans="1:11" x14ac:dyDescent="0.25">
      <c r="A193" s="1">
        <v>44733</v>
      </c>
      <c r="B193" t="s">
        <v>28</v>
      </c>
      <c r="C193" t="s">
        <v>29</v>
      </c>
      <c r="D193" t="s">
        <v>25</v>
      </c>
      <c r="E193" t="s">
        <v>14</v>
      </c>
      <c r="F193" t="s">
        <v>21</v>
      </c>
      <c r="G193" t="s">
        <v>33</v>
      </c>
      <c r="H193">
        <v>3</v>
      </c>
      <c r="I193">
        <v>79.27</v>
      </c>
      <c r="J193">
        <v>237.81</v>
      </c>
      <c r="K193" t="s">
        <v>17</v>
      </c>
    </row>
    <row r="194" spans="1:11" x14ac:dyDescent="0.25">
      <c r="A194" s="1">
        <v>44796</v>
      </c>
      <c r="B194" t="s">
        <v>37</v>
      </c>
      <c r="C194" t="s">
        <v>29</v>
      </c>
      <c r="D194" t="s">
        <v>38</v>
      </c>
      <c r="E194" t="s">
        <v>30</v>
      </c>
      <c r="F194" t="s">
        <v>32</v>
      </c>
      <c r="G194" t="s">
        <v>39</v>
      </c>
      <c r="H194">
        <v>2</v>
      </c>
      <c r="I194">
        <v>237.1</v>
      </c>
      <c r="J194">
        <v>474.2</v>
      </c>
      <c r="K194" t="s">
        <v>23</v>
      </c>
    </row>
    <row r="195" spans="1:11" x14ac:dyDescent="0.25">
      <c r="A195" s="1">
        <v>44590</v>
      </c>
      <c r="B195" t="s">
        <v>37</v>
      </c>
      <c r="C195" t="s">
        <v>29</v>
      </c>
      <c r="D195" t="s">
        <v>38</v>
      </c>
      <c r="E195" t="s">
        <v>30</v>
      </c>
      <c r="F195" t="s">
        <v>32</v>
      </c>
      <c r="G195" t="s">
        <v>34</v>
      </c>
      <c r="H195">
        <v>4</v>
      </c>
      <c r="I195">
        <v>228.46</v>
      </c>
      <c r="J195">
        <v>913.84</v>
      </c>
      <c r="K195" t="s">
        <v>23</v>
      </c>
    </row>
    <row r="196" spans="1:11" x14ac:dyDescent="0.25">
      <c r="A196" s="1">
        <v>44724</v>
      </c>
      <c r="B196" t="s">
        <v>41</v>
      </c>
      <c r="C196" t="s">
        <v>29</v>
      </c>
      <c r="D196" t="s">
        <v>42</v>
      </c>
      <c r="E196" t="s">
        <v>30</v>
      </c>
      <c r="F196" t="s">
        <v>40</v>
      </c>
      <c r="G196" t="s">
        <v>39</v>
      </c>
      <c r="H196">
        <v>4</v>
      </c>
      <c r="I196">
        <v>52.42</v>
      </c>
      <c r="J196">
        <v>209.68</v>
      </c>
      <c r="K196" t="s">
        <v>36</v>
      </c>
    </row>
    <row r="197" spans="1:11" x14ac:dyDescent="0.25">
      <c r="A197" s="1">
        <v>44799</v>
      </c>
      <c r="B197" t="s">
        <v>24</v>
      </c>
      <c r="C197" t="s">
        <v>19</v>
      </c>
      <c r="D197" t="s">
        <v>25</v>
      </c>
      <c r="E197" t="s">
        <v>30</v>
      </c>
      <c r="F197" t="s">
        <v>15</v>
      </c>
      <c r="G197" t="s">
        <v>16</v>
      </c>
      <c r="H197">
        <v>3</v>
      </c>
      <c r="I197">
        <v>270.52</v>
      </c>
      <c r="J197">
        <v>811.56</v>
      </c>
      <c r="K197" t="s">
        <v>35</v>
      </c>
    </row>
    <row r="198" spans="1:11" x14ac:dyDescent="0.25">
      <c r="A198" s="1">
        <v>44569</v>
      </c>
      <c r="B198" t="s">
        <v>31</v>
      </c>
      <c r="C198" t="s">
        <v>19</v>
      </c>
      <c r="D198" t="s">
        <v>25</v>
      </c>
      <c r="E198" t="s">
        <v>14</v>
      </c>
      <c r="F198" t="s">
        <v>15</v>
      </c>
      <c r="G198" t="s">
        <v>34</v>
      </c>
      <c r="H198">
        <v>4</v>
      </c>
      <c r="I198">
        <v>119.36</v>
      </c>
      <c r="J198">
        <v>477.44</v>
      </c>
      <c r="K198" t="s">
        <v>23</v>
      </c>
    </row>
    <row r="199" spans="1:11" hidden="1" x14ac:dyDescent="0.25">
      <c r="A199" s="1">
        <v>44584</v>
      </c>
      <c r="B199" t="s">
        <v>45</v>
      </c>
      <c r="C199" t="s">
        <v>46</v>
      </c>
      <c r="D199" t="s">
        <v>47</v>
      </c>
      <c r="E199" t="s">
        <v>26</v>
      </c>
      <c r="F199" t="s">
        <v>15</v>
      </c>
      <c r="G199" t="s">
        <v>34</v>
      </c>
      <c r="H199">
        <v>3</v>
      </c>
      <c r="I199">
        <v>125.26</v>
      </c>
      <c r="J199">
        <v>375.78</v>
      </c>
      <c r="K199" t="s">
        <v>36</v>
      </c>
    </row>
    <row r="200" spans="1:11" x14ac:dyDescent="0.25">
      <c r="A200" s="1">
        <v>44714</v>
      </c>
      <c r="B200" t="s">
        <v>37</v>
      </c>
      <c r="C200" t="s">
        <v>29</v>
      </c>
      <c r="D200" t="s">
        <v>38</v>
      </c>
      <c r="E200" t="s">
        <v>26</v>
      </c>
      <c r="F200" t="s">
        <v>32</v>
      </c>
      <c r="G200" t="s">
        <v>39</v>
      </c>
      <c r="H200">
        <v>3</v>
      </c>
      <c r="I200">
        <v>296.55</v>
      </c>
      <c r="J200">
        <v>889.65</v>
      </c>
      <c r="K200" t="s">
        <v>17</v>
      </c>
    </row>
    <row r="201" spans="1:11" hidden="1" x14ac:dyDescent="0.25">
      <c r="A201" s="1">
        <v>44725</v>
      </c>
      <c r="B201" t="s">
        <v>48</v>
      </c>
      <c r="C201" t="s">
        <v>49</v>
      </c>
      <c r="D201" t="s">
        <v>50</v>
      </c>
      <c r="E201" t="s">
        <v>26</v>
      </c>
      <c r="F201" t="s">
        <v>32</v>
      </c>
      <c r="G201" t="s">
        <v>34</v>
      </c>
      <c r="H201">
        <v>1</v>
      </c>
      <c r="I201">
        <v>56.73</v>
      </c>
      <c r="J201">
        <v>56.73</v>
      </c>
      <c r="K201" t="s">
        <v>36</v>
      </c>
    </row>
    <row r="202" spans="1:11" x14ac:dyDescent="0.25">
      <c r="A202" s="1">
        <v>44579</v>
      </c>
      <c r="B202" t="s">
        <v>41</v>
      </c>
      <c r="C202" t="s">
        <v>29</v>
      </c>
      <c r="D202" t="s">
        <v>42</v>
      </c>
      <c r="E202" t="s">
        <v>14</v>
      </c>
      <c r="F202" t="s">
        <v>32</v>
      </c>
      <c r="G202" t="s">
        <v>34</v>
      </c>
      <c r="H202">
        <v>1</v>
      </c>
      <c r="I202">
        <v>91.56</v>
      </c>
      <c r="J202">
        <v>91.56</v>
      </c>
      <c r="K202" t="s">
        <v>35</v>
      </c>
    </row>
    <row r="203" spans="1:11" hidden="1" x14ac:dyDescent="0.25">
      <c r="A203" s="1">
        <v>44662</v>
      </c>
      <c r="B203" t="s">
        <v>45</v>
      </c>
      <c r="C203" t="s">
        <v>46</v>
      </c>
      <c r="D203" t="s">
        <v>47</v>
      </c>
      <c r="E203" t="s">
        <v>26</v>
      </c>
      <c r="F203" t="s">
        <v>21</v>
      </c>
      <c r="G203" t="s">
        <v>22</v>
      </c>
      <c r="H203">
        <v>2</v>
      </c>
      <c r="I203">
        <v>152.54</v>
      </c>
      <c r="J203">
        <v>305.08</v>
      </c>
      <c r="K203" t="s">
        <v>17</v>
      </c>
    </row>
    <row r="204" spans="1:11" hidden="1" x14ac:dyDescent="0.25">
      <c r="A204" s="1">
        <v>44746</v>
      </c>
      <c r="B204" t="s">
        <v>45</v>
      </c>
      <c r="C204" t="s">
        <v>46</v>
      </c>
      <c r="D204" t="s">
        <v>47</v>
      </c>
      <c r="E204" t="s">
        <v>26</v>
      </c>
      <c r="F204" t="s">
        <v>32</v>
      </c>
      <c r="G204" t="s">
        <v>33</v>
      </c>
      <c r="H204">
        <v>4</v>
      </c>
      <c r="I204">
        <v>61.37</v>
      </c>
      <c r="J204">
        <v>245.48</v>
      </c>
      <c r="K204" t="s">
        <v>23</v>
      </c>
    </row>
    <row r="205" spans="1:11" x14ac:dyDescent="0.25">
      <c r="A205" s="1">
        <v>44627</v>
      </c>
      <c r="B205" t="s">
        <v>37</v>
      </c>
      <c r="C205" t="s">
        <v>29</v>
      </c>
      <c r="D205" t="s">
        <v>38</v>
      </c>
      <c r="E205" t="s">
        <v>30</v>
      </c>
      <c r="F205" t="s">
        <v>21</v>
      </c>
      <c r="G205" t="s">
        <v>16</v>
      </c>
      <c r="H205">
        <v>3</v>
      </c>
      <c r="I205">
        <v>162.36000000000001</v>
      </c>
      <c r="J205">
        <v>487.08</v>
      </c>
      <c r="K205" t="s">
        <v>36</v>
      </c>
    </row>
    <row r="206" spans="1:11" x14ac:dyDescent="0.25">
      <c r="A206" s="1">
        <v>44741</v>
      </c>
      <c r="B206" t="s">
        <v>41</v>
      </c>
      <c r="C206" t="s">
        <v>29</v>
      </c>
      <c r="D206" t="s">
        <v>42</v>
      </c>
      <c r="E206" t="s">
        <v>30</v>
      </c>
      <c r="F206" t="s">
        <v>21</v>
      </c>
      <c r="G206" t="s">
        <v>22</v>
      </c>
      <c r="H206">
        <v>2</v>
      </c>
      <c r="I206">
        <v>257.5</v>
      </c>
      <c r="J206">
        <v>515</v>
      </c>
      <c r="K206" t="s">
        <v>35</v>
      </c>
    </row>
    <row r="207" spans="1:11" x14ac:dyDescent="0.25">
      <c r="A207" s="1">
        <v>44702</v>
      </c>
      <c r="B207" t="s">
        <v>24</v>
      </c>
      <c r="C207" t="s">
        <v>19</v>
      </c>
      <c r="D207" t="s">
        <v>25</v>
      </c>
      <c r="E207" t="s">
        <v>26</v>
      </c>
      <c r="F207" t="s">
        <v>32</v>
      </c>
      <c r="G207" t="s">
        <v>27</v>
      </c>
      <c r="H207">
        <v>4</v>
      </c>
      <c r="I207">
        <v>202.28</v>
      </c>
      <c r="J207">
        <v>809.12</v>
      </c>
      <c r="K207" t="s">
        <v>17</v>
      </c>
    </row>
    <row r="208" spans="1:11" hidden="1" x14ac:dyDescent="0.25">
      <c r="A208" s="1">
        <v>44749</v>
      </c>
      <c r="B208" t="s">
        <v>45</v>
      </c>
      <c r="C208" t="s">
        <v>46</v>
      </c>
      <c r="D208" t="s">
        <v>47</v>
      </c>
      <c r="E208" t="s">
        <v>14</v>
      </c>
      <c r="F208" t="s">
        <v>32</v>
      </c>
      <c r="G208" t="s">
        <v>43</v>
      </c>
      <c r="H208">
        <v>1</v>
      </c>
      <c r="I208">
        <v>224.83</v>
      </c>
      <c r="J208">
        <v>224.83</v>
      </c>
      <c r="K208" t="s">
        <v>23</v>
      </c>
    </row>
    <row r="209" spans="1:11" hidden="1" x14ac:dyDescent="0.25">
      <c r="A209" s="1">
        <v>44653</v>
      </c>
      <c r="B209" t="s">
        <v>48</v>
      </c>
      <c r="C209" t="s">
        <v>49</v>
      </c>
      <c r="D209" t="s">
        <v>50</v>
      </c>
      <c r="E209" t="s">
        <v>30</v>
      </c>
      <c r="F209" t="s">
        <v>21</v>
      </c>
      <c r="G209" t="s">
        <v>39</v>
      </c>
      <c r="H209">
        <v>3</v>
      </c>
      <c r="I209">
        <v>256.27</v>
      </c>
      <c r="J209">
        <v>768.81</v>
      </c>
      <c r="K209" t="s">
        <v>23</v>
      </c>
    </row>
    <row r="210" spans="1:11" x14ac:dyDescent="0.25">
      <c r="A210" s="1">
        <v>44646</v>
      </c>
      <c r="B210" t="s">
        <v>18</v>
      </c>
      <c r="C210" t="s">
        <v>19</v>
      </c>
      <c r="D210" t="s">
        <v>20</v>
      </c>
      <c r="E210" t="s">
        <v>26</v>
      </c>
      <c r="F210" t="s">
        <v>15</v>
      </c>
      <c r="G210" t="s">
        <v>34</v>
      </c>
      <c r="H210">
        <v>2</v>
      </c>
      <c r="I210">
        <v>277.26</v>
      </c>
      <c r="J210">
        <v>554.52</v>
      </c>
      <c r="K210" t="s">
        <v>35</v>
      </c>
    </row>
    <row r="211" spans="1:11" hidden="1" x14ac:dyDescent="0.25">
      <c r="A211" s="1">
        <v>44746</v>
      </c>
      <c r="B211" t="s">
        <v>48</v>
      </c>
      <c r="C211" t="s">
        <v>49</v>
      </c>
      <c r="D211" t="s">
        <v>50</v>
      </c>
      <c r="E211" t="s">
        <v>14</v>
      </c>
      <c r="F211" t="s">
        <v>21</v>
      </c>
      <c r="G211" t="s">
        <v>39</v>
      </c>
      <c r="H211">
        <v>3</v>
      </c>
      <c r="I211">
        <v>271.19</v>
      </c>
      <c r="J211">
        <v>813.57</v>
      </c>
      <c r="K211" t="s">
        <v>23</v>
      </c>
    </row>
    <row r="212" spans="1:11" x14ac:dyDescent="0.25">
      <c r="A212" s="1">
        <v>44573</v>
      </c>
      <c r="B212" t="s">
        <v>37</v>
      </c>
      <c r="C212" t="s">
        <v>29</v>
      </c>
      <c r="D212" t="s">
        <v>38</v>
      </c>
      <c r="E212" t="s">
        <v>30</v>
      </c>
      <c r="F212" t="s">
        <v>21</v>
      </c>
      <c r="G212" t="s">
        <v>39</v>
      </c>
      <c r="H212">
        <v>3</v>
      </c>
      <c r="I212">
        <v>205.62</v>
      </c>
      <c r="J212">
        <v>616.86</v>
      </c>
      <c r="K212" t="s">
        <v>36</v>
      </c>
    </row>
    <row r="213" spans="1:11" x14ac:dyDescent="0.25">
      <c r="A213" s="1">
        <v>44774</v>
      </c>
      <c r="B213" t="s">
        <v>31</v>
      </c>
      <c r="C213" t="s">
        <v>19</v>
      </c>
      <c r="D213" t="s">
        <v>25</v>
      </c>
      <c r="E213" t="s">
        <v>30</v>
      </c>
      <c r="F213" t="s">
        <v>21</v>
      </c>
      <c r="G213" t="s">
        <v>22</v>
      </c>
      <c r="H213">
        <v>4</v>
      </c>
      <c r="I213">
        <v>130.97</v>
      </c>
      <c r="J213">
        <v>523.88</v>
      </c>
      <c r="K213" t="s">
        <v>17</v>
      </c>
    </row>
    <row r="214" spans="1:11" x14ac:dyDescent="0.25">
      <c r="A214" s="1">
        <v>44646</v>
      </c>
      <c r="B214" t="s">
        <v>11</v>
      </c>
      <c r="C214" t="s">
        <v>12</v>
      </c>
      <c r="D214" t="s">
        <v>13</v>
      </c>
      <c r="E214" t="s">
        <v>30</v>
      </c>
      <c r="F214" t="s">
        <v>21</v>
      </c>
      <c r="G214" t="s">
        <v>39</v>
      </c>
      <c r="H214">
        <v>5</v>
      </c>
      <c r="I214">
        <v>267.70999999999998</v>
      </c>
      <c r="J214">
        <v>1338.55</v>
      </c>
      <c r="K214" t="s">
        <v>23</v>
      </c>
    </row>
    <row r="215" spans="1:11" x14ac:dyDescent="0.25">
      <c r="A215" s="1">
        <v>44565</v>
      </c>
      <c r="B215" t="s">
        <v>24</v>
      </c>
      <c r="C215" t="s">
        <v>19</v>
      </c>
      <c r="D215" t="s">
        <v>25</v>
      </c>
      <c r="E215" t="s">
        <v>30</v>
      </c>
      <c r="F215" t="s">
        <v>40</v>
      </c>
      <c r="G215" t="s">
        <v>22</v>
      </c>
      <c r="H215">
        <v>4</v>
      </c>
      <c r="I215">
        <v>151.37</v>
      </c>
      <c r="J215">
        <v>605.48</v>
      </c>
      <c r="K215" t="s">
        <v>35</v>
      </c>
    </row>
    <row r="216" spans="1:11" x14ac:dyDescent="0.25">
      <c r="A216" s="1">
        <v>44627</v>
      </c>
      <c r="B216" t="s">
        <v>37</v>
      </c>
      <c r="C216" t="s">
        <v>29</v>
      </c>
      <c r="D216" t="s">
        <v>38</v>
      </c>
      <c r="E216" t="s">
        <v>30</v>
      </c>
      <c r="F216" t="s">
        <v>40</v>
      </c>
      <c r="G216" t="s">
        <v>39</v>
      </c>
      <c r="H216">
        <v>5</v>
      </c>
      <c r="I216">
        <v>89.84</v>
      </c>
      <c r="J216">
        <v>449.2</v>
      </c>
      <c r="K216" t="s">
        <v>36</v>
      </c>
    </row>
    <row r="217" spans="1:11" hidden="1" x14ac:dyDescent="0.25">
      <c r="A217" s="1">
        <v>44676</v>
      </c>
      <c r="B217" t="s">
        <v>48</v>
      </c>
      <c r="C217" t="s">
        <v>49</v>
      </c>
      <c r="D217" t="s">
        <v>50</v>
      </c>
      <c r="E217" t="s">
        <v>30</v>
      </c>
      <c r="F217" t="s">
        <v>21</v>
      </c>
      <c r="G217" t="s">
        <v>39</v>
      </c>
      <c r="H217">
        <v>1</v>
      </c>
      <c r="I217">
        <v>276.64</v>
      </c>
      <c r="J217">
        <v>276.64</v>
      </c>
      <c r="K217" t="s">
        <v>17</v>
      </c>
    </row>
    <row r="218" spans="1:11" hidden="1" x14ac:dyDescent="0.25">
      <c r="A218" s="1">
        <v>44635</v>
      </c>
      <c r="B218" t="s">
        <v>48</v>
      </c>
      <c r="C218" t="s">
        <v>49</v>
      </c>
      <c r="D218" t="s">
        <v>50</v>
      </c>
      <c r="E218" t="s">
        <v>14</v>
      </c>
      <c r="F218" t="s">
        <v>15</v>
      </c>
      <c r="G218" t="s">
        <v>43</v>
      </c>
      <c r="H218">
        <v>3</v>
      </c>
      <c r="I218">
        <v>203.41</v>
      </c>
      <c r="J218">
        <v>610.23</v>
      </c>
      <c r="K218" t="s">
        <v>17</v>
      </c>
    </row>
    <row r="219" spans="1:11" x14ac:dyDescent="0.25">
      <c r="A219" s="1">
        <v>44783</v>
      </c>
      <c r="B219" t="s">
        <v>28</v>
      </c>
      <c r="C219" t="s">
        <v>29</v>
      </c>
      <c r="D219" t="s">
        <v>25</v>
      </c>
      <c r="E219" t="s">
        <v>30</v>
      </c>
      <c r="F219" t="s">
        <v>15</v>
      </c>
      <c r="G219" t="s">
        <v>34</v>
      </c>
      <c r="H219">
        <v>2</v>
      </c>
      <c r="I219">
        <v>195.85</v>
      </c>
      <c r="J219">
        <v>391.7</v>
      </c>
      <c r="K219" t="s">
        <v>36</v>
      </c>
    </row>
    <row r="220" spans="1:11" hidden="1" x14ac:dyDescent="0.25">
      <c r="A220" s="1">
        <v>44777</v>
      </c>
      <c r="B220" t="s">
        <v>48</v>
      </c>
      <c r="C220" t="s">
        <v>49</v>
      </c>
      <c r="D220" t="s">
        <v>50</v>
      </c>
      <c r="E220" t="s">
        <v>30</v>
      </c>
      <c r="F220" t="s">
        <v>40</v>
      </c>
      <c r="G220" t="s">
        <v>33</v>
      </c>
      <c r="H220">
        <v>2</v>
      </c>
      <c r="I220">
        <v>288.87</v>
      </c>
      <c r="J220">
        <v>577.74</v>
      </c>
      <c r="K220" t="s">
        <v>35</v>
      </c>
    </row>
    <row r="221" spans="1:11" x14ac:dyDescent="0.25">
      <c r="A221" s="1">
        <v>44692</v>
      </c>
      <c r="B221" t="s">
        <v>28</v>
      </c>
      <c r="C221" t="s">
        <v>29</v>
      </c>
      <c r="D221" t="s">
        <v>25</v>
      </c>
      <c r="E221" t="s">
        <v>30</v>
      </c>
      <c r="F221" t="s">
        <v>40</v>
      </c>
      <c r="G221" t="s">
        <v>33</v>
      </c>
      <c r="H221">
        <v>1</v>
      </c>
      <c r="I221">
        <v>65.45</v>
      </c>
      <c r="J221">
        <v>65.45</v>
      </c>
      <c r="K221" t="s">
        <v>23</v>
      </c>
    </row>
    <row r="222" spans="1:11" x14ac:dyDescent="0.25">
      <c r="A222" s="1">
        <v>44562</v>
      </c>
      <c r="B222" t="s">
        <v>18</v>
      </c>
      <c r="C222" t="s">
        <v>19</v>
      </c>
      <c r="D222" t="s">
        <v>20</v>
      </c>
      <c r="E222" t="s">
        <v>14</v>
      </c>
      <c r="F222" t="s">
        <v>32</v>
      </c>
      <c r="G222" t="s">
        <v>22</v>
      </c>
      <c r="H222">
        <v>1</v>
      </c>
      <c r="I222">
        <v>202.42</v>
      </c>
      <c r="J222">
        <v>202.42</v>
      </c>
      <c r="K222" t="s">
        <v>36</v>
      </c>
    </row>
    <row r="223" spans="1:11" x14ac:dyDescent="0.25">
      <c r="A223" s="1">
        <v>44625</v>
      </c>
      <c r="B223" t="s">
        <v>28</v>
      </c>
      <c r="C223" t="s">
        <v>29</v>
      </c>
      <c r="D223" t="s">
        <v>25</v>
      </c>
      <c r="E223" t="s">
        <v>30</v>
      </c>
      <c r="F223" t="s">
        <v>21</v>
      </c>
      <c r="G223" t="s">
        <v>33</v>
      </c>
      <c r="H223">
        <v>2</v>
      </c>
      <c r="I223">
        <v>51.11</v>
      </c>
      <c r="J223">
        <v>102.22</v>
      </c>
      <c r="K223" t="s">
        <v>23</v>
      </c>
    </row>
    <row r="224" spans="1:11" hidden="1" x14ac:dyDescent="0.25">
      <c r="A224" s="1">
        <v>44766</v>
      </c>
      <c r="B224" t="s">
        <v>45</v>
      </c>
      <c r="C224" t="s">
        <v>46</v>
      </c>
      <c r="D224" t="s">
        <v>47</v>
      </c>
      <c r="E224" t="s">
        <v>30</v>
      </c>
      <c r="F224" t="s">
        <v>15</v>
      </c>
      <c r="G224" t="s">
        <v>16</v>
      </c>
      <c r="H224">
        <v>1</v>
      </c>
      <c r="I224">
        <v>292.68</v>
      </c>
      <c r="J224">
        <v>292.68</v>
      </c>
      <c r="K224" t="s">
        <v>35</v>
      </c>
    </row>
    <row r="225" spans="1:11" hidden="1" x14ac:dyDescent="0.25">
      <c r="A225" s="1">
        <v>44783</v>
      </c>
      <c r="B225" t="s">
        <v>48</v>
      </c>
      <c r="C225" t="s">
        <v>49</v>
      </c>
      <c r="D225" t="s">
        <v>50</v>
      </c>
      <c r="E225" t="s">
        <v>26</v>
      </c>
      <c r="F225" t="s">
        <v>32</v>
      </c>
      <c r="G225" t="s">
        <v>22</v>
      </c>
      <c r="H225">
        <v>2</v>
      </c>
      <c r="I225">
        <v>175.51</v>
      </c>
      <c r="J225">
        <v>351.02</v>
      </c>
      <c r="K225" t="s">
        <v>35</v>
      </c>
    </row>
    <row r="226" spans="1:11" x14ac:dyDescent="0.25">
      <c r="A226" s="1">
        <v>44633</v>
      </c>
      <c r="B226" t="s">
        <v>18</v>
      </c>
      <c r="C226" t="s">
        <v>19</v>
      </c>
      <c r="D226" t="s">
        <v>20</v>
      </c>
      <c r="E226" t="s">
        <v>26</v>
      </c>
      <c r="F226" t="s">
        <v>40</v>
      </c>
      <c r="G226" t="s">
        <v>27</v>
      </c>
      <c r="H226">
        <v>4</v>
      </c>
      <c r="I226">
        <v>211.37</v>
      </c>
      <c r="J226">
        <v>845.48</v>
      </c>
      <c r="K226" t="s">
        <v>17</v>
      </c>
    </row>
    <row r="227" spans="1:11" x14ac:dyDescent="0.25">
      <c r="A227" s="1">
        <v>44643</v>
      </c>
      <c r="B227" t="s">
        <v>28</v>
      </c>
      <c r="C227" t="s">
        <v>29</v>
      </c>
      <c r="D227" t="s">
        <v>25</v>
      </c>
      <c r="E227" t="s">
        <v>14</v>
      </c>
      <c r="F227" t="s">
        <v>32</v>
      </c>
      <c r="G227" t="s">
        <v>27</v>
      </c>
      <c r="H227">
        <v>1</v>
      </c>
      <c r="I227">
        <v>209.78</v>
      </c>
      <c r="J227">
        <v>209.78</v>
      </c>
      <c r="K227" t="s">
        <v>35</v>
      </c>
    </row>
    <row r="228" spans="1:11" x14ac:dyDescent="0.25">
      <c r="A228" s="1">
        <v>44693</v>
      </c>
      <c r="B228" t="s">
        <v>24</v>
      </c>
      <c r="C228" t="s">
        <v>19</v>
      </c>
      <c r="D228" t="s">
        <v>25</v>
      </c>
      <c r="E228" t="s">
        <v>14</v>
      </c>
      <c r="F228" t="s">
        <v>32</v>
      </c>
      <c r="G228" t="s">
        <v>43</v>
      </c>
      <c r="H228">
        <v>1</v>
      </c>
      <c r="I228">
        <v>59.85</v>
      </c>
      <c r="J228">
        <v>59.85</v>
      </c>
      <c r="K228" t="s">
        <v>36</v>
      </c>
    </row>
    <row r="229" spans="1:11" x14ac:dyDescent="0.25">
      <c r="A229" s="1">
        <v>44759</v>
      </c>
      <c r="B229" t="s">
        <v>24</v>
      </c>
      <c r="C229" t="s">
        <v>19</v>
      </c>
      <c r="D229" t="s">
        <v>25</v>
      </c>
      <c r="E229" t="s">
        <v>14</v>
      </c>
      <c r="F229" t="s">
        <v>21</v>
      </c>
      <c r="G229" t="s">
        <v>39</v>
      </c>
      <c r="H229">
        <v>3</v>
      </c>
      <c r="I229">
        <v>156.27000000000001</v>
      </c>
      <c r="J229">
        <v>468.81</v>
      </c>
      <c r="K229" t="s">
        <v>35</v>
      </c>
    </row>
    <row r="230" spans="1:11" x14ac:dyDescent="0.25">
      <c r="A230" s="1">
        <v>44628</v>
      </c>
      <c r="B230" t="s">
        <v>18</v>
      </c>
      <c r="C230" t="s">
        <v>19</v>
      </c>
      <c r="D230" t="s">
        <v>20</v>
      </c>
      <c r="E230" t="s">
        <v>14</v>
      </c>
      <c r="F230" t="s">
        <v>15</v>
      </c>
      <c r="G230" t="s">
        <v>33</v>
      </c>
      <c r="H230">
        <v>2</v>
      </c>
      <c r="I230">
        <v>175</v>
      </c>
      <c r="J230">
        <v>350</v>
      </c>
      <c r="K230" t="s">
        <v>17</v>
      </c>
    </row>
    <row r="231" spans="1:11" x14ac:dyDescent="0.25">
      <c r="A231" s="1">
        <v>44778</v>
      </c>
      <c r="B231" t="s">
        <v>37</v>
      </c>
      <c r="C231" t="s">
        <v>29</v>
      </c>
      <c r="D231" t="s">
        <v>38</v>
      </c>
      <c r="E231" t="s">
        <v>30</v>
      </c>
      <c r="F231" t="s">
        <v>32</v>
      </c>
      <c r="G231" t="s">
        <v>34</v>
      </c>
      <c r="H231">
        <v>2</v>
      </c>
      <c r="I231">
        <v>88</v>
      </c>
      <c r="J231">
        <v>176</v>
      </c>
      <c r="K231" t="s">
        <v>36</v>
      </c>
    </row>
    <row r="232" spans="1:11" x14ac:dyDescent="0.25">
      <c r="A232" s="1">
        <v>44744</v>
      </c>
      <c r="B232" t="s">
        <v>24</v>
      </c>
      <c r="C232" t="s">
        <v>19</v>
      </c>
      <c r="D232" t="s">
        <v>25</v>
      </c>
      <c r="E232" t="s">
        <v>30</v>
      </c>
      <c r="F232" t="s">
        <v>32</v>
      </c>
      <c r="G232" t="s">
        <v>34</v>
      </c>
      <c r="H232">
        <v>4</v>
      </c>
      <c r="I232">
        <v>293.33</v>
      </c>
      <c r="J232">
        <v>1173.32</v>
      </c>
      <c r="K232" t="s">
        <v>17</v>
      </c>
    </row>
    <row r="233" spans="1:11" x14ac:dyDescent="0.25">
      <c r="A233" s="1">
        <v>44759</v>
      </c>
      <c r="B233" t="s">
        <v>24</v>
      </c>
      <c r="C233" t="s">
        <v>19</v>
      </c>
      <c r="D233" t="s">
        <v>25</v>
      </c>
      <c r="E233" t="s">
        <v>14</v>
      </c>
      <c r="F233" t="s">
        <v>15</v>
      </c>
      <c r="G233" t="s">
        <v>27</v>
      </c>
      <c r="H233">
        <v>5</v>
      </c>
      <c r="I233">
        <v>285.37</v>
      </c>
      <c r="J233">
        <v>1426.85</v>
      </c>
      <c r="K233" t="s">
        <v>35</v>
      </c>
    </row>
    <row r="234" spans="1:11" x14ac:dyDescent="0.25">
      <c r="A234" s="1">
        <v>44576</v>
      </c>
      <c r="B234" t="s">
        <v>37</v>
      </c>
      <c r="C234" t="s">
        <v>29</v>
      </c>
      <c r="D234" t="s">
        <v>38</v>
      </c>
      <c r="E234" t="s">
        <v>26</v>
      </c>
      <c r="F234" t="s">
        <v>40</v>
      </c>
      <c r="G234" t="s">
        <v>22</v>
      </c>
      <c r="H234">
        <v>5</v>
      </c>
      <c r="I234">
        <v>220.59</v>
      </c>
      <c r="J234">
        <v>1102.95</v>
      </c>
      <c r="K234" t="s">
        <v>36</v>
      </c>
    </row>
    <row r="235" spans="1:11" x14ac:dyDescent="0.25">
      <c r="A235" s="1">
        <v>44623</v>
      </c>
      <c r="B235" t="s">
        <v>24</v>
      </c>
      <c r="C235" t="s">
        <v>19</v>
      </c>
      <c r="D235" t="s">
        <v>25</v>
      </c>
      <c r="E235" t="s">
        <v>30</v>
      </c>
      <c r="F235" t="s">
        <v>21</v>
      </c>
      <c r="G235" t="s">
        <v>33</v>
      </c>
      <c r="H235">
        <v>5</v>
      </c>
      <c r="I235">
        <v>214</v>
      </c>
      <c r="J235">
        <v>1070</v>
      </c>
      <c r="K235" t="s">
        <v>36</v>
      </c>
    </row>
    <row r="236" spans="1:11" x14ac:dyDescent="0.25">
      <c r="A236" s="1">
        <v>44791</v>
      </c>
      <c r="B236" t="s">
        <v>18</v>
      </c>
      <c r="C236" t="s">
        <v>19</v>
      </c>
      <c r="D236" t="s">
        <v>20</v>
      </c>
      <c r="E236" t="s">
        <v>14</v>
      </c>
      <c r="F236" t="s">
        <v>15</v>
      </c>
      <c r="G236" t="s">
        <v>27</v>
      </c>
      <c r="H236">
        <v>5</v>
      </c>
      <c r="I236">
        <v>208.24</v>
      </c>
      <c r="J236">
        <v>1041.2</v>
      </c>
      <c r="K236" t="s">
        <v>17</v>
      </c>
    </row>
    <row r="237" spans="1:11" x14ac:dyDescent="0.25">
      <c r="A237" s="1">
        <v>44719</v>
      </c>
      <c r="B237" t="s">
        <v>41</v>
      </c>
      <c r="C237" t="s">
        <v>29</v>
      </c>
      <c r="D237" t="s">
        <v>42</v>
      </c>
      <c r="E237" t="s">
        <v>14</v>
      </c>
      <c r="F237" t="s">
        <v>32</v>
      </c>
      <c r="G237" t="s">
        <v>27</v>
      </c>
      <c r="H237">
        <v>4</v>
      </c>
      <c r="I237">
        <v>133.69999999999999</v>
      </c>
      <c r="J237">
        <v>534.79999999999995</v>
      </c>
      <c r="K237" t="s">
        <v>35</v>
      </c>
    </row>
    <row r="238" spans="1:11" x14ac:dyDescent="0.25">
      <c r="A238" s="1">
        <v>44797</v>
      </c>
      <c r="B238" t="s">
        <v>11</v>
      </c>
      <c r="C238" t="s">
        <v>12</v>
      </c>
      <c r="D238" t="s">
        <v>13</v>
      </c>
      <c r="E238" t="s">
        <v>30</v>
      </c>
      <c r="F238" t="s">
        <v>32</v>
      </c>
      <c r="G238" t="s">
        <v>43</v>
      </c>
      <c r="H238">
        <v>2</v>
      </c>
      <c r="I238">
        <v>158.69999999999999</v>
      </c>
      <c r="J238">
        <v>317.39999999999998</v>
      </c>
      <c r="K238" t="s">
        <v>36</v>
      </c>
    </row>
    <row r="239" spans="1:11" x14ac:dyDescent="0.25">
      <c r="A239" s="1">
        <v>44580</v>
      </c>
      <c r="B239" t="s">
        <v>28</v>
      </c>
      <c r="C239" t="s">
        <v>29</v>
      </c>
      <c r="D239" t="s">
        <v>25</v>
      </c>
      <c r="E239" t="s">
        <v>26</v>
      </c>
      <c r="F239" t="s">
        <v>21</v>
      </c>
      <c r="G239" t="s">
        <v>34</v>
      </c>
      <c r="H239">
        <v>2</v>
      </c>
      <c r="I239">
        <v>244.13</v>
      </c>
      <c r="J239">
        <v>488.26</v>
      </c>
      <c r="K239" t="s">
        <v>23</v>
      </c>
    </row>
    <row r="240" spans="1:11" x14ac:dyDescent="0.25">
      <c r="A240" s="1">
        <v>44792</v>
      </c>
      <c r="B240" t="s">
        <v>28</v>
      </c>
      <c r="C240" t="s">
        <v>29</v>
      </c>
      <c r="D240" t="s">
        <v>25</v>
      </c>
      <c r="E240" t="s">
        <v>26</v>
      </c>
      <c r="F240" t="s">
        <v>32</v>
      </c>
      <c r="G240" t="s">
        <v>33</v>
      </c>
      <c r="H240">
        <v>5</v>
      </c>
      <c r="I240">
        <v>147.99</v>
      </c>
      <c r="J240">
        <v>739.95</v>
      </c>
      <c r="K240" t="s">
        <v>35</v>
      </c>
    </row>
    <row r="241" spans="1:11" x14ac:dyDescent="0.25">
      <c r="A241" s="1">
        <v>44784</v>
      </c>
      <c r="B241" t="s">
        <v>11</v>
      </c>
      <c r="C241" t="s">
        <v>12</v>
      </c>
      <c r="D241" t="s">
        <v>13</v>
      </c>
      <c r="E241" t="s">
        <v>14</v>
      </c>
      <c r="F241" t="s">
        <v>32</v>
      </c>
      <c r="G241" t="s">
        <v>16</v>
      </c>
      <c r="H241">
        <v>1</v>
      </c>
      <c r="I241">
        <v>157.81</v>
      </c>
      <c r="J241">
        <v>157.81</v>
      </c>
      <c r="K241" t="s">
        <v>23</v>
      </c>
    </row>
    <row r="242" spans="1:11" hidden="1" x14ac:dyDescent="0.25">
      <c r="A242" s="1">
        <v>44644</v>
      </c>
      <c r="B242" t="s">
        <v>48</v>
      </c>
      <c r="C242" t="s">
        <v>49</v>
      </c>
      <c r="D242" t="s">
        <v>50</v>
      </c>
      <c r="E242" t="s">
        <v>14</v>
      </c>
      <c r="F242" t="s">
        <v>21</v>
      </c>
      <c r="G242" t="s">
        <v>27</v>
      </c>
      <c r="H242">
        <v>2</v>
      </c>
      <c r="I242">
        <v>212.76</v>
      </c>
      <c r="J242">
        <v>425.52</v>
      </c>
      <c r="K242" t="s">
        <v>36</v>
      </c>
    </row>
    <row r="243" spans="1:11" x14ac:dyDescent="0.25">
      <c r="A243" s="1">
        <v>44578</v>
      </c>
      <c r="B243" t="s">
        <v>44</v>
      </c>
      <c r="C243" t="s">
        <v>19</v>
      </c>
      <c r="D243" t="s">
        <v>20</v>
      </c>
      <c r="E243" t="s">
        <v>26</v>
      </c>
      <c r="F243" t="s">
        <v>32</v>
      </c>
      <c r="G243" t="s">
        <v>33</v>
      </c>
      <c r="H243">
        <v>3</v>
      </c>
      <c r="I243">
        <v>225.9</v>
      </c>
      <c r="J243">
        <v>677.7</v>
      </c>
      <c r="K243" t="s">
        <v>36</v>
      </c>
    </row>
    <row r="244" spans="1:11" hidden="1" x14ac:dyDescent="0.25">
      <c r="A244" s="1">
        <v>44601</v>
      </c>
      <c r="B244" t="s">
        <v>45</v>
      </c>
      <c r="C244" t="s">
        <v>46</v>
      </c>
      <c r="D244" t="s">
        <v>47</v>
      </c>
      <c r="E244" t="s">
        <v>30</v>
      </c>
      <c r="F244" t="s">
        <v>21</v>
      </c>
      <c r="G244" t="s">
        <v>39</v>
      </c>
      <c r="H244">
        <v>3</v>
      </c>
      <c r="I244">
        <v>112.98</v>
      </c>
      <c r="J244">
        <v>338.94</v>
      </c>
      <c r="K244" t="s">
        <v>36</v>
      </c>
    </row>
    <row r="245" spans="1:11" hidden="1" x14ac:dyDescent="0.25">
      <c r="A245" s="1">
        <v>44694</v>
      </c>
      <c r="B245" t="s">
        <v>45</v>
      </c>
      <c r="C245" t="s">
        <v>46</v>
      </c>
      <c r="D245" t="s">
        <v>47</v>
      </c>
      <c r="E245" t="s">
        <v>14</v>
      </c>
      <c r="F245" t="s">
        <v>32</v>
      </c>
      <c r="G245" t="s">
        <v>39</v>
      </c>
      <c r="H245">
        <v>2</v>
      </c>
      <c r="I245">
        <v>100.84</v>
      </c>
      <c r="J245">
        <v>201.68</v>
      </c>
      <c r="K245" t="s">
        <v>23</v>
      </c>
    </row>
    <row r="246" spans="1:11" x14ac:dyDescent="0.25">
      <c r="A246" s="1">
        <v>44595</v>
      </c>
      <c r="B246" t="s">
        <v>31</v>
      </c>
      <c r="C246" t="s">
        <v>19</v>
      </c>
      <c r="D246" t="s">
        <v>25</v>
      </c>
      <c r="E246" t="s">
        <v>26</v>
      </c>
      <c r="F246" t="s">
        <v>32</v>
      </c>
      <c r="G246" t="s">
        <v>39</v>
      </c>
      <c r="H246">
        <v>4</v>
      </c>
      <c r="I246">
        <v>292.75</v>
      </c>
      <c r="J246">
        <v>1171</v>
      </c>
      <c r="K246" t="s">
        <v>36</v>
      </c>
    </row>
    <row r="247" spans="1:11" x14ac:dyDescent="0.25">
      <c r="A247" s="1">
        <v>44600</v>
      </c>
      <c r="B247" t="s">
        <v>28</v>
      </c>
      <c r="C247" t="s">
        <v>29</v>
      </c>
      <c r="D247" t="s">
        <v>25</v>
      </c>
      <c r="E247" t="s">
        <v>30</v>
      </c>
      <c r="F247" t="s">
        <v>21</v>
      </c>
      <c r="G247" t="s">
        <v>34</v>
      </c>
      <c r="H247">
        <v>3</v>
      </c>
      <c r="I247">
        <v>82.62</v>
      </c>
      <c r="J247">
        <v>247.86</v>
      </c>
      <c r="K247" t="s">
        <v>23</v>
      </c>
    </row>
    <row r="248" spans="1:11" x14ac:dyDescent="0.25">
      <c r="A248" s="1">
        <v>44760</v>
      </c>
      <c r="B248" t="s">
        <v>37</v>
      </c>
      <c r="C248" t="s">
        <v>29</v>
      </c>
      <c r="D248" t="s">
        <v>38</v>
      </c>
      <c r="E248" t="s">
        <v>30</v>
      </c>
      <c r="F248" t="s">
        <v>40</v>
      </c>
      <c r="G248" t="s">
        <v>33</v>
      </c>
      <c r="H248">
        <v>3</v>
      </c>
      <c r="I248">
        <v>246.13</v>
      </c>
      <c r="J248">
        <v>738.39</v>
      </c>
      <c r="K248" t="s">
        <v>35</v>
      </c>
    </row>
    <row r="249" spans="1:11" x14ac:dyDescent="0.25">
      <c r="A249" s="1">
        <v>44680</v>
      </c>
      <c r="B249" t="s">
        <v>24</v>
      </c>
      <c r="C249" t="s">
        <v>19</v>
      </c>
      <c r="D249" t="s">
        <v>25</v>
      </c>
      <c r="E249" t="s">
        <v>30</v>
      </c>
      <c r="F249" t="s">
        <v>21</v>
      </c>
      <c r="G249" t="s">
        <v>27</v>
      </c>
      <c r="H249">
        <v>4</v>
      </c>
      <c r="I249">
        <v>168.01</v>
      </c>
      <c r="J249">
        <v>672.04</v>
      </c>
      <c r="K249" t="s">
        <v>36</v>
      </c>
    </row>
    <row r="250" spans="1:11" x14ac:dyDescent="0.25">
      <c r="A250" s="1">
        <v>44799</v>
      </c>
      <c r="B250" t="s">
        <v>44</v>
      </c>
      <c r="C250" t="s">
        <v>19</v>
      </c>
      <c r="D250" t="s">
        <v>20</v>
      </c>
      <c r="E250" t="s">
        <v>30</v>
      </c>
      <c r="F250" t="s">
        <v>40</v>
      </c>
      <c r="G250" t="s">
        <v>16</v>
      </c>
      <c r="H250">
        <v>1</v>
      </c>
      <c r="I250">
        <v>93.08</v>
      </c>
      <c r="J250">
        <v>93.08</v>
      </c>
      <c r="K250" t="s">
        <v>36</v>
      </c>
    </row>
    <row r="251" spans="1:11" x14ac:dyDescent="0.25">
      <c r="A251" s="1">
        <v>44575</v>
      </c>
      <c r="B251" t="s">
        <v>37</v>
      </c>
      <c r="C251" t="s">
        <v>29</v>
      </c>
      <c r="D251" t="s">
        <v>38</v>
      </c>
      <c r="E251" t="s">
        <v>26</v>
      </c>
      <c r="F251" t="s">
        <v>15</v>
      </c>
      <c r="G251" t="s">
        <v>33</v>
      </c>
      <c r="H251">
        <v>3</v>
      </c>
      <c r="I251">
        <v>161.55000000000001</v>
      </c>
      <c r="J251">
        <v>484.65</v>
      </c>
      <c r="K251" t="s">
        <v>35</v>
      </c>
    </row>
    <row r="252" spans="1:11" hidden="1" x14ac:dyDescent="0.25">
      <c r="A252" s="1">
        <v>44617</v>
      </c>
      <c r="B252" t="s">
        <v>45</v>
      </c>
      <c r="C252" t="s">
        <v>46</v>
      </c>
      <c r="D252" t="s">
        <v>47</v>
      </c>
      <c r="E252" t="s">
        <v>30</v>
      </c>
      <c r="F252" t="s">
        <v>32</v>
      </c>
      <c r="G252" t="s">
        <v>27</v>
      </c>
      <c r="H252">
        <v>3</v>
      </c>
      <c r="I252">
        <v>228.84</v>
      </c>
      <c r="J252">
        <v>686.52</v>
      </c>
      <c r="K252" t="s">
        <v>35</v>
      </c>
    </row>
    <row r="253" spans="1:11" x14ac:dyDescent="0.25">
      <c r="A253" s="1">
        <v>44704</v>
      </c>
      <c r="B253" t="s">
        <v>37</v>
      </c>
      <c r="C253" t="s">
        <v>29</v>
      </c>
      <c r="D253" t="s">
        <v>38</v>
      </c>
      <c r="E253" t="s">
        <v>26</v>
      </c>
      <c r="F253" t="s">
        <v>40</v>
      </c>
      <c r="G253" t="s">
        <v>22</v>
      </c>
      <c r="H253">
        <v>4</v>
      </c>
      <c r="I253">
        <v>221.31</v>
      </c>
      <c r="J253">
        <v>885.24</v>
      </c>
      <c r="K253" t="s">
        <v>17</v>
      </c>
    </row>
    <row r="254" spans="1:11" hidden="1" x14ac:dyDescent="0.25">
      <c r="A254" s="1">
        <v>44768</v>
      </c>
      <c r="B254" t="s">
        <v>45</v>
      </c>
      <c r="C254" t="s">
        <v>46</v>
      </c>
      <c r="D254" t="s">
        <v>47</v>
      </c>
      <c r="E254" t="s">
        <v>26</v>
      </c>
      <c r="F254" t="s">
        <v>40</v>
      </c>
      <c r="G254" t="s">
        <v>34</v>
      </c>
      <c r="H254">
        <v>2</v>
      </c>
      <c r="I254">
        <v>287.68</v>
      </c>
      <c r="J254">
        <v>575.36</v>
      </c>
      <c r="K254" t="s">
        <v>23</v>
      </c>
    </row>
    <row r="255" spans="1:11" x14ac:dyDescent="0.25">
      <c r="A255" s="1">
        <v>44577</v>
      </c>
      <c r="B255" t="s">
        <v>24</v>
      </c>
      <c r="C255" t="s">
        <v>19</v>
      </c>
      <c r="D255" t="s">
        <v>25</v>
      </c>
      <c r="E255" t="s">
        <v>26</v>
      </c>
      <c r="F255" t="s">
        <v>15</v>
      </c>
      <c r="G255" t="s">
        <v>34</v>
      </c>
      <c r="H255">
        <v>5</v>
      </c>
      <c r="I255">
        <v>168.7</v>
      </c>
      <c r="J255">
        <v>843.5</v>
      </c>
      <c r="K255" t="s">
        <v>36</v>
      </c>
    </row>
    <row r="256" spans="1:11" x14ac:dyDescent="0.25">
      <c r="A256" s="1">
        <v>44713</v>
      </c>
      <c r="B256" t="s">
        <v>11</v>
      </c>
      <c r="C256" t="s">
        <v>12</v>
      </c>
      <c r="D256" t="s">
        <v>13</v>
      </c>
      <c r="E256" t="s">
        <v>26</v>
      </c>
      <c r="F256" t="s">
        <v>21</v>
      </c>
      <c r="G256" t="s">
        <v>34</v>
      </c>
      <c r="H256">
        <v>3</v>
      </c>
      <c r="I256">
        <v>153.82</v>
      </c>
      <c r="J256">
        <v>461.46</v>
      </c>
      <c r="K256" t="s">
        <v>23</v>
      </c>
    </row>
    <row r="257" spans="1:11" x14ac:dyDescent="0.25">
      <c r="A257" s="1">
        <v>44605</v>
      </c>
      <c r="B257" t="s">
        <v>44</v>
      </c>
      <c r="C257" t="s">
        <v>19</v>
      </c>
      <c r="D257" t="s">
        <v>20</v>
      </c>
      <c r="E257" t="s">
        <v>14</v>
      </c>
      <c r="F257" t="s">
        <v>32</v>
      </c>
      <c r="G257" t="s">
        <v>16</v>
      </c>
      <c r="H257">
        <v>4</v>
      </c>
      <c r="I257">
        <v>281</v>
      </c>
      <c r="J257">
        <v>1124</v>
      </c>
      <c r="K257" t="s">
        <v>35</v>
      </c>
    </row>
    <row r="258" spans="1:11" hidden="1" x14ac:dyDescent="0.25">
      <c r="A258" s="1">
        <v>44648</v>
      </c>
      <c r="B258" t="s">
        <v>48</v>
      </c>
      <c r="C258" t="s">
        <v>49</v>
      </c>
      <c r="D258" t="s">
        <v>50</v>
      </c>
      <c r="E258" t="s">
        <v>26</v>
      </c>
      <c r="F258" t="s">
        <v>21</v>
      </c>
      <c r="G258" t="s">
        <v>43</v>
      </c>
      <c r="H258">
        <v>5</v>
      </c>
      <c r="I258">
        <v>112.4</v>
      </c>
      <c r="J258">
        <v>562</v>
      </c>
      <c r="K258" t="s">
        <v>36</v>
      </c>
    </row>
    <row r="259" spans="1:11" x14ac:dyDescent="0.25">
      <c r="A259" s="1">
        <v>44581</v>
      </c>
      <c r="B259" t="s">
        <v>37</v>
      </c>
      <c r="C259" t="s">
        <v>29</v>
      </c>
      <c r="D259" t="s">
        <v>38</v>
      </c>
      <c r="E259" t="s">
        <v>14</v>
      </c>
      <c r="F259" t="s">
        <v>15</v>
      </c>
      <c r="G259" t="s">
        <v>39</v>
      </c>
      <c r="H259">
        <v>1</v>
      </c>
      <c r="I259">
        <v>233.16</v>
      </c>
      <c r="J259">
        <v>233.16</v>
      </c>
      <c r="K259" t="s">
        <v>23</v>
      </c>
    </row>
    <row r="260" spans="1:11" x14ac:dyDescent="0.25">
      <c r="A260" s="1">
        <v>44619</v>
      </c>
      <c r="B260" t="s">
        <v>18</v>
      </c>
      <c r="C260" t="s">
        <v>19</v>
      </c>
      <c r="D260" t="s">
        <v>20</v>
      </c>
      <c r="E260" t="s">
        <v>14</v>
      </c>
      <c r="F260" t="s">
        <v>40</v>
      </c>
      <c r="G260" t="s">
        <v>22</v>
      </c>
      <c r="H260">
        <v>5</v>
      </c>
      <c r="I260">
        <v>248.71</v>
      </c>
      <c r="J260">
        <v>1243.55</v>
      </c>
      <c r="K260" t="s">
        <v>36</v>
      </c>
    </row>
    <row r="261" spans="1:11" x14ac:dyDescent="0.25">
      <c r="A261" s="1">
        <v>44707</v>
      </c>
      <c r="B261" t="s">
        <v>28</v>
      </c>
      <c r="C261" t="s">
        <v>29</v>
      </c>
      <c r="D261" t="s">
        <v>25</v>
      </c>
      <c r="E261" t="s">
        <v>30</v>
      </c>
      <c r="F261" t="s">
        <v>32</v>
      </c>
      <c r="G261" t="s">
        <v>33</v>
      </c>
      <c r="H261">
        <v>5</v>
      </c>
      <c r="I261">
        <v>157.19999999999999</v>
      </c>
      <c r="J261">
        <v>786</v>
      </c>
      <c r="K261" t="s">
        <v>36</v>
      </c>
    </row>
    <row r="262" spans="1:11" x14ac:dyDescent="0.25">
      <c r="A262" s="1">
        <v>44590</v>
      </c>
      <c r="B262" t="s">
        <v>18</v>
      </c>
      <c r="C262" t="s">
        <v>19</v>
      </c>
      <c r="D262" t="s">
        <v>20</v>
      </c>
      <c r="E262" t="s">
        <v>30</v>
      </c>
      <c r="F262" t="s">
        <v>15</v>
      </c>
      <c r="G262" t="s">
        <v>33</v>
      </c>
      <c r="H262">
        <v>4</v>
      </c>
      <c r="I262">
        <v>113.75</v>
      </c>
      <c r="J262">
        <v>455</v>
      </c>
      <c r="K262" t="s">
        <v>36</v>
      </c>
    </row>
    <row r="263" spans="1:11" x14ac:dyDescent="0.25">
      <c r="A263" s="1">
        <v>44665</v>
      </c>
      <c r="B263" t="s">
        <v>18</v>
      </c>
      <c r="C263" t="s">
        <v>19</v>
      </c>
      <c r="D263" t="s">
        <v>20</v>
      </c>
      <c r="E263" t="s">
        <v>26</v>
      </c>
      <c r="F263" t="s">
        <v>21</v>
      </c>
      <c r="G263" t="s">
        <v>27</v>
      </c>
      <c r="H263">
        <v>1</v>
      </c>
      <c r="I263">
        <v>109.66</v>
      </c>
      <c r="J263">
        <v>109.66</v>
      </c>
      <c r="K263" t="s">
        <v>23</v>
      </c>
    </row>
    <row r="264" spans="1:11" hidden="1" x14ac:dyDescent="0.25">
      <c r="A264" s="1">
        <v>44718</v>
      </c>
      <c r="B264" t="s">
        <v>48</v>
      </c>
      <c r="C264" t="s">
        <v>49</v>
      </c>
      <c r="D264" t="s">
        <v>50</v>
      </c>
      <c r="E264" t="s">
        <v>26</v>
      </c>
      <c r="F264" t="s">
        <v>32</v>
      </c>
      <c r="G264" t="s">
        <v>43</v>
      </c>
      <c r="H264">
        <v>1</v>
      </c>
      <c r="I264">
        <v>81.569999999999993</v>
      </c>
      <c r="J264">
        <v>81.569999999999993</v>
      </c>
      <c r="K264" t="s">
        <v>35</v>
      </c>
    </row>
    <row r="265" spans="1:11" x14ac:dyDescent="0.25">
      <c r="A265" s="1">
        <v>44600</v>
      </c>
      <c r="B265" t="s">
        <v>11</v>
      </c>
      <c r="C265" t="s">
        <v>12</v>
      </c>
      <c r="D265" t="s">
        <v>13</v>
      </c>
      <c r="E265" t="s">
        <v>30</v>
      </c>
      <c r="F265" t="s">
        <v>32</v>
      </c>
      <c r="G265" t="s">
        <v>39</v>
      </c>
      <c r="H265">
        <v>2</v>
      </c>
      <c r="I265">
        <v>247.2</v>
      </c>
      <c r="J265">
        <v>494.4</v>
      </c>
      <c r="K265" t="s">
        <v>35</v>
      </c>
    </row>
    <row r="266" spans="1:11" hidden="1" x14ac:dyDescent="0.25">
      <c r="A266" s="1">
        <v>44687</v>
      </c>
      <c r="B266" t="s">
        <v>48</v>
      </c>
      <c r="C266" t="s">
        <v>49</v>
      </c>
      <c r="D266" t="s">
        <v>50</v>
      </c>
      <c r="E266" t="s">
        <v>26</v>
      </c>
      <c r="F266" t="s">
        <v>40</v>
      </c>
      <c r="G266" t="s">
        <v>16</v>
      </c>
      <c r="H266">
        <v>4</v>
      </c>
      <c r="I266">
        <v>250.26</v>
      </c>
      <c r="J266">
        <v>1001.04</v>
      </c>
      <c r="K266" t="s">
        <v>17</v>
      </c>
    </row>
    <row r="267" spans="1:11" x14ac:dyDescent="0.25">
      <c r="A267" s="1">
        <v>44567</v>
      </c>
      <c r="B267" t="s">
        <v>44</v>
      </c>
      <c r="C267" t="s">
        <v>19</v>
      </c>
      <c r="D267" t="s">
        <v>20</v>
      </c>
      <c r="E267" t="s">
        <v>14</v>
      </c>
      <c r="F267" t="s">
        <v>40</v>
      </c>
      <c r="G267" t="s">
        <v>27</v>
      </c>
      <c r="H267">
        <v>1</v>
      </c>
      <c r="I267">
        <v>137.19999999999999</v>
      </c>
      <c r="J267">
        <v>137.19999999999999</v>
      </c>
      <c r="K267" t="s">
        <v>17</v>
      </c>
    </row>
    <row r="268" spans="1:11" x14ac:dyDescent="0.25">
      <c r="A268" s="1">
        <v>44638</v>
      </c>
      <c r="B268" t="s">
        <v>44</v>
      </c>
      <c r="C268" t="s">
        <v>19</v>
      </c>
      <c r="D268" t="s">
        <v>20</v>
      </c>
      <c r="E268" t="s">
        <v>26</v>
      </c>
      <c r="F268" t="s">
        <v>21</v>
      </c>
      <c r="G268" t="s">
        <v>39</v>
      </c>
      <c r="H268">
        <v>3</v>
      </c>
      <c r="I268">
        <v>164.06</v>
      </c>
      <c r="J268">
        <v>492.18</v>
      </c>
      <c r="K268" t="s">
        <v>35</v>
      </c>
    </row>
    <row r="269" spans="1:11" x14ac:dyDescent="0.25">
      <c r="A269" s="1">
        <v>44599</v>
      </c>
      <c r="B269" t="s">
        <v>37</v>
      </c>
      <c r="C269" t="s">
        <v>29</v>
      </c>
      <c r="D269" t="s">
        <v>38</v>
      </c>
      <c r="E269" t="s">
        <v>14</v>
      </c>
      <c r="F269" t="s">
        <v>21</v>
      </c>
      <c r="G269" t="s">
        <v>22</v>
      </c>
      <c r="H269">
        <v>4</v>
      </c>
      <c r="I269">
        <v>198.45</v>
      </c>
      <c r="J269">
        <v>793.8</v>
      </c>
      <c r="K269" t="s">
        <v>36</v>
      </c>
    </row>
    <row r="270" spans="1:11" hidden="1" x14ac:dyDescent="0.25">
      <c r="A270" s="1">
        <v>44717</v>
      </c>
      <c r="B270" t="s">
        <v>48</v>
      </c>
      <c r="C270" t="s">
        <v>49</v>
      </c>
      <c r="D270" t="s">
        <v>50</v>
      </c>
      <c r="E270" t="s">
        <v>14</v>
      </c>
      <c r="F270" t="s">
        <v>15</v>
      </c>
      <c r="G270" t="s">
        <v>27</v>
      </c>
      <c r="H270">
        <v>2</v>
      </c>
      <c r="I270">
        <v>162.47999999999999</v>
      </c>
      <c r="J270">
        <v>324.95999999999998</v>
      </c>
      <c r="K270" t="s">
        <v>23</v>
      </c>
    </row>
    <row r="271" spans="1:11" x14ac:dyDescent="0.25">
      <c r="A271" s="1">
        <v>44725</v>
      </c>
      <c r="B271" t="s">
        <v>41</v>
      </c>
      <c r="C271" t="s">
        <v>29</v>
      </c>
      <c r="D271" t="s">
        <v>42</v>
      </c>
      <c r="E271" t="s">
        <v>30</v>
      </c>
      <c r="F271" t="s">
        <v>32</v>
      </c>
      <c r="G271" t="s">
        <v>34</v>
      </c>
      <c r="H271">
        <v>4</v>
      </c>
      <c r="I271">
        <v>243.48</v>
      </c>
      <c r="J271">
        <v>973.92</v>
      </c>
      <c r="K271" t="s">
        <v>36</v>
      </c>
    </row>
    <row r="272" spans="1:11" x14ac:dyDescent="0.25">
      <c r="A272" s="1">
        <v>44783</v>
      </c>
      <c r="B272" t="s">
        <v>24</v>
      </c>
      <c r="C272" t="s">
        <v>19</v>
      </c>
      <c r="D272" t="s">
        <v>25</v>
      </c>
      <c r="E272" t="s">
        <v>26</v>
      </c>
      <c r="F272" t="s">
        <v>15</v>
      </c>
      <c r="G272" t="s">
        <v>34</v>
      </c>
      <c r="H272">
        <v>4</v>
      </c>
      <c r="I272">
        <v>183.4</v>
      </c>
      <c r="J272">
        <v>733.6</v>
      </c>
      <c r="K272" t="s">
        <v>17</v>
      </c>
    </row>
    <row r="273" spans="1:11" x14ac:dyDescent="0.25">
      <c r="A273" s="1">
        <v>44686</v>
      </c>
      <c r="B273" t="s">
        <v>37</v>
      </c>
      <c r="C273" t="s">
        <v>29</v>
      </c>
      <c r="D273" t="s">
        <v>38</v>
      </c>
      <c r="E273" t="s">
        <v>30</v>
      </c>
      <c r="F273" t="s">
        <v>21</v>
      </c>
      <c r="G273" t="s">
        <v>34</v>
      </c>
      <c r="H273">
        <v>1</v>
      </c>
      <c r="I273">
        <v>271.44</v>
      </c>
      <c r="J273">
        <v>271.44</v>
      </c>
      <c r="K273" t="s">
        <v>23</v>
      </c>
    </row>
    <row r="274" spans="1:11" x14ac:dyDescent="0.25">
      <c r="A274" s="1">
        <v>44621</v>
      </c>
      <c r="B274" t="s">
        <v>37</v>
      </c>
      <c r="C274" t="s">
        <v>29</v>
      </c>
      <c r="D274" t="s">
        <v>38</v>
      </c>
      <c r="E274" t="s">
        <v>14</v>
      </c>
      <c r="F274" t="s">
        <v>15</v>
      </c>
      <c r="G274" t="s">
        <v>22</v>
      </c>
      <c r="H274">
        <v>2</v>
      </c>
      <c r="I274">
        <v>135.47999999999999</v>
      </c>
      <c r="J274">
        <v>270.95999999999998</v>
      </c>
      <c r="K274" t="s">
        <v>23</v>
      </c>
    </row>
    <row r="275" spans="1:11" x14ac:dyDescent="0.25">
      <c r="A275" s="1">
        <v>44582</v>
      </c>
      <c r="B275" t="s">
        <v>11</v>
      </c>
      <c r="C275" t="s">
        <v>12</v>
      </c>
      <c r="D275" t="s">
        <v>13</v>
      </c>
      <c r="E275" t="s">
        <v>30</v>
      </c>
      <c r="F275" t="s">
        <v>40</v>
      </c>
      <c r="G275" t="s">
        <v>16</v>
      </c>
      <c r="H275">
        <v>5</v>
      </c>
      <c r="I275">
        <v>148.46</v>
      </c>
      <c r="J275">
        <v>742.3</v>
      </c>
      <c r="K275" t="s">
        <v>17</v>
      </c>
    </row>
    <row r="276" spans="1:11" hidden="1" x14ac:dyDescent="0.25">
      <c r="A276" s="1">
        <v>44752</v>
      </c>
      <c r="B276" t="s">
        <v>45</v>
      </c>
      <c r="C276" t="s">
        <v>46</v>
      </c>
      <c r="D276" t="s">
        <v>47</v>
      </c>
      <c r="E276" t="s">
        <v>30</v>
      </c>
      <c r="F276" t="s">
        <v>32</v>
      </c>
      <c r="G276" t="s">
        <v>39</v>
      </c>
      <c r="H276">
        <v>5</v>
      </c>
      <c r="I276">
        <v>251.06</v>
      </c>
      <c r="J276">
        <v>1255.3</v>
      </c>
      <c r="K276" t="s">
        <v>35</v>
      </c>
    </row>
    <row r="277" spans="1:11" hidden="1" x14ac:dyDescent="0.25">
      <c r="A277" s="1">
        <v>44632</v>
      </c>
      <c r="B277" t="s">
        <v>45</v>
      </c>
      <c r="C277" t="s">
        <v>46</v>
      </c>
      <c r="D277" t="s">
        <v>47</v>
      </c>
      <c r="E277" t="s">
        <v>14</v>
      </c>
      <c r="F277" t="s">
        <v>21</v>
      </c>
      <c r="G277" t="s">
        <v>27</v>
      </c>
      <c r="H277">
        <v>2</v>
      </c>
      <c r="I277">
        <v>195.41</v>
      </c>
      <c r="J277">
        <v>390.82</v>
      </c>
      <c r="K277" t="s">
        <v>17</v>
      </c>
    </row>
    <row r="278" spans="1:11" x14ac:dyDescent="0.25">
      <c r="A278" s="1">
        <v>44583</v>
      </c>
      <c r="B278" t="s">
        <v>18</v>
      </c>
      <c r="C278" t="s">
        <v>19</v>
      </c>
      <c r="D278" t="s">
        <v>20</v>
      </c>
      <c r="E278" t="s">
        <v>14</v>
      </c>
      <c r="F278" t="s">
        <v>15</v>
      </c>
      <c r="G278" t="s">
        <v>43</v>
      </c>
      <c r="H278">
        <v>4</v>
      </c>
      <c r="I278">
        <v>206.29</v>
      </c>
      <c r="J278">
        <v>825.16</v>
      </c>
      <c r="K278" t="s">
        <v>36</v>
      </c>
    </row>
    <row r="279" spans="1:11" hidden="1" x14ac:dyDescent="0.25">
      <c r="A279" s="1">
        <v>44694</v>
      </c>
      <c r="B279" t="s">
        <v>45</v>
      </c>
      <c r="C279" t="s">
        <v>46</v>
      </c>
      <c r="D279" t="s">
        <v>47</v>
      </c>
      <c r="E279" t="s">
        <v>26</v>
      </c>
      <c r="F279" t="s">
        <v>21</v>
      </c>
      <c r="G279" t="s">
        <v>16</v>
      </c>
      <c r="H279">
        <v>4</v>
      </c>
      <c r="I279">
        <v>146.09</v>
      </c>
      <c r="J279">
        <v>584.36</v>
      </c>
      <c r="K279" t="s">
        <v>23</v>
      </c>
    </row>
    <row r="280" spans="1:11" x14ac:dyDescent="0.25">
      <c r="A280" s="1">
        <v>44707</v>
      </c>
      <c r="B280" t="s">
        <v>18</v>
      </c>
      <c r="C280" t="s">
        <v>19</v>
      </c>
      <c r="D280" t="s">
        <v>20</v>
      </c>
      <c r="E280" t="s">
        <v>26</v>
      </c>
      <c r="F280" t="s">
        <v>15</v>
      </c>
      <c r="G280" t="s">
        <v>22</v>
      </c>
      <c r="H280">
        <v>1</v>
      </c>
      <c r="I280">
        <v>284.3</v>
      </c>
      <c r="J280">
        <v>284.3</v>
      </c>
      <c r="K280" t="s">
        <v>17</v>
      </c>
    </row>
    <row r="281" spans="1:11" hidden="1" x14ac:dyDescent="0.25">
      <c r="A281" s="1">
        <v>44575</v>
      </c>
      <c r="B281" t="s">
        <v>48</v>
      </c>
      <c r="C281" t="s">
        <v>49</v>
      </c>
      <c r="D281" t="s">
        <v>50</v>
      </c>
      <c r="E281" t="s">
        <v>14</v>
      </c>
      <c r="F281" t="s">
        <v>15</v>
      </c>
      <c r="G281" t="s">
        <v>33</v>
      </c>
      <c r="H281">
        <v>5</v>
      </c>
      <c r="I281">
        <v>289.47000000000003</v>
      </c>
      <c r="J281">
        <v>1447.35</v>
      </c>
      <c r="K281" t="s">
        <v>17</v>
      </c>
    </row>
    <row r="282" spans="1:11" x14ac:dyDescent="0.25">
      <c r="A282" s="1">
        <v>44630</v>
      </c>
      <c r="B282" t="s">
        <v>28</v>
      </c>
      <c r="C282" t="s">
        <v>29</v>
      </c>
      <c r="D282" t="s">
        <v>25</v>
      </c>
      <c r="E282" t="s">
        <v>26</v>
      </c>
      <c r="F282" t="s">
        <v>40</v>
      </c>
      <c r="G282" t="s">
        <v>34</v>
      </c>
      <c r="H282">
        <v>2</v>
      </c>
      <c r="I282">
        <v>218.25</v>
      </c>
      <c r="J282">
        <v>436.5</v>
      </c>
      <c r="K282" t="s">
        <v>36</v>
      </c>
    </row>
    <row r="283" spans="1:11" x14ac:dyDescent="0.25">
      <c r="A283" s="1">
        <v>44750</v>
      </c>
      <c r="B283" t="s">
        <v>31</v>
      </c>
      <c r="C283" t="s">
        <v>19</v>
      </c>
      <c r="D283" t="s">
        <v>25</v>
      </c>
      <c r="E283" t="s">
        <v>30</v>
      </c>
      <c r="F283" t="s">
        <v>21</v>
      </c>
      <c r="G283" t="s">
        <v>43</v>
      </c>
      <c r="H283">
        <v>4</v>
      </c>
      <c r="I283">
        <v>204.62</v>
      </c>
      <c r="J283">
        <v>818.48</v>
      </c>
      <c r="K283" t="s">
        <v>36</v>
      </c>
    </row>
    <row r="284" spans="1:11" hidden="1" x14ac:dyDescent="0.25">
      <c r="A284" s="1">
        <v>44564</v>
      </c>
      <c r="B284" t="s">
        <v>48</v>
      </c>
      <c r="C284" t="s">
        <v>49</v>
      </c>
      <c r="D284" t="s">
        <v>50</v>
      </c>
      <c r="E284" t="s">
        <v>26</v>
      </c>
      <c r="F284" t="s">
        <v>15</v>
      </c>
      <c r="G284" t="s">
        <v>16</v>
      </c>
      <c r="H284">
        <v>2</v>
      </c>
      <c r="I284">
        <v>267.42</v>
      </c>
      <c r="J284">
        <v>534.84</v>
      </c>
      <c r="K284" t="s">
        <v>23</v>
      </c>
    </row>
    <row r="285" spans="1:11" x14ac:dyDescent="0.25">
      <c r="A285" s="1">
        <v>44653</v>
      </c>
      <c r="B285" t="s">
        <v>41</v>
      </c>
      <c r="C285" t="s">
        <v>29</v>
      </c>
      <c r="D285" t="s">
        <v>42</v>
      </c>
      <c r="E285" t="s">
        <v>30</v>
      </c>
      <c r="F285" t="s">
        <v>32</v>
      </c>
      <c r="G285" t="s">
        <v>27</v>
      </c>
      <c r="H285">
        <v>1</v>
      </c>
      <c r="I285">
        <v>144.59</v>
      </c>
      <c r="J285">
        <v>144.59</v>
      </c>
      <c r="K285" t="s">
        <v>35</v>
      </c>
    </row>
    <row r="286" spans="1:11" x14ac:dyDescent="0.25">
      <c r="A286" s="1">
        <v>44790</v>
      </c>
      <c r="B286" t="s">
        <v>18</v>
      </c>
      <c r="C286" t="s">
        <v>19</v>
      </c>
      <c r="D286" t="s">
        <v>20</v>
      </c>
      <c r="E286" t="s">
        <v>30</v>
      </c>
      <c r="F286" t="s">
        <v>40</v>
      </c>
      <c r="G286" t="s">
        <v>39</v>
      </c>
      <c r="H286">
        <v>2</v>
      </c>
      <c r="I286">
        <v>80.47</v>
      </c>
      <c r="J286">
        <v>160.94</v>
      </c>
      <c r="K286" t="s">
        <v>17</v>
      </c>
    </row>
    <row r="287" spans="1:11" x14ac:dyDescent="0.25">
      <c r="A287" s="1">
        <v>44677</v>
      </c>
      <c r="B287" t="s">
        <v>28</v>
      </c>
      <c r="C287" t="s">
        <v>29</v>
      </c>
      <c r="D287" t="s">
        <v>25</v>
      </c>
      <c r="E287" t="s">
        <v>30</v>
      </c>
      <c r="F287" t="s">
        <v>32</v>
      </c>
      <c r="G287" t="s">
        <v>39</v>
      </c>
      <c r="H287">
        <v>2</v>
      </c>
      <c r="I287">
        <v>98.17</v>
      </c>
      <c r="J287">
        <v>196.34</v>
      </c>
      <c r="K287" t="s">
        <v>17</v>
      </c>
    </row>
    <row r="288" spans="1:11" x14ac:dyDescent="0.25">
      <c r="A288" s="1">
        <v>44727</v>
      </c>
      <c r="B288" t="s">
        <v>37</v>
      </c>
      <c r="C288" t="s">
        <v>29</v>
      </c>
      <c r="D288" t="s">
        <v>38</v>
      </c>
      <c r="E288" t="s">
        <v>30</v>
      </c>
      <c r="F288" t="s">
        <v>40</v>
      </c>
      <c r="G288" t="s">
        <v>34</v>
      </c>
      <c r="H288">
        <v>2</v>
      </c>
      <c r="I288">
        <v>63.76</v>
      </c>
      <c r="J288">
        <v>127.52</v>
      </c>
      <c r="K288" t="s">
        <v>23</v>
      </c>
    </row>
    <row r="289" spans="1:11" x14ac:dyDescent="0.25">
      <c r="A289" s="1">
        <v>44657</v>
      </c>
      <c r="B289" t="s">
        <v>41</v>
      </c>
      <c r="C289" t="s">
        <v>29</v>
      </c>
      <c r="D289" t="s">
        <v>42</v>
      </c>
      <c r="E289" t="s">
        <v>30</v>
      </c>
      <c r="F289" t="s">
        <v>32</v>
      </c>
      <c r="G289" t="s">
        <v>34</v>
      </c>
      <c r="H289">
        <v>2</v>
      </c>
      <c r="I289">
        <v>157.12</v>
      </c>
      <c r="J289">
        <v>314.24</v>
      </c>
      <c r="K289" t="s">
        <v>17</v>
      </c>
    </row>
    <row r="290" spans="1:11" x14ac:dyDescent="0.25">
      <c r="A290" s="1">
        <v>44658</v>
      </c>
      <c r="B290" t="s">
        <v>41</v>
      </c>
      <c r="C290" t="s">
        <v>29</v>
      </c>
      <c r="D290" t="s">
        <v>42</v>
      </c>
      <c r="E290" t="s">
        <v>26</v>
      </c>
      <c r="F290" t="s">
        <v>32</v>
      </c>
      <c r="G290" t="s">
        <v>27</v>
      </c>
      <c r="H290">
        <v>5</v>
      </c>
      <c r="I290">
        <v>293.20999999999998</v>
      </c>
      <c r="J290">
        <v>1466.05</v>
      </c>
      <c r="K290" t="s">
        <v>23</v>
      </c>
    </row>
    <row r="291" spans="1:11" x14ac:dyDescent="0.25">
      <c r="A291" s="1">
        <v>44650</v>
      </c>
      <c r="B291" t="s">
        <v>37</v>
      </c>
      <c r="C291" t="s">
        <v>29</v>
      </c>
      <c r="D291" t="s">
        <v>38</v>
      </c>
      <c r="E291" t="s">
        <v>30</v>
      </c>
      <c r="F291" t="s">
        <v>21</v>
      </c>
      <c r="G291" t="s">
        <v>34</v>
      </c>
      <c r="H291">
        <v>2</v>
      </c>
      <c r="I291">
        <v>142.25</v>
      </c>
      <c r="J291">
        <v>284.5</v>
      </c>
      <c r="K291" t="s">
        <v>35</v>
      </c>
    </row>
    <row r="292" spans="1:11" x14ac:dyDescent="0.25">
      <c r="A292" s="1">
        <v>44744</v>
      </c>
      <c r="B292" t="s">
        <v>37</v>
      </c>
      <c r="C292" t="s">
        <v>29</v>
      </c>
      <c r="D292" t="s">
        <v>38</v>
      </c>
      <c r="E292" t="s">
        <v>30</v>
      </c>
      <c r="F292" t="s">
        <v>40</v>
      </c>
      <c r="G292" t="s">
        <v>16</v>
      </c>
      <c r="H292">
        <v>1</v>
      </c>
      <c r="I292">
        <v>86.17</v>
      </c>
      <c r="J292">
        <v>86.17</v>
      </c>
      <c r="K292" t="s">
        <v>36</v>
      </c>
    </row>
    <row r="293" spans="1:11" x14ac:dyDescent="0.25">
      <c r="A293" s="1">
        <v>44751</v>
      </c>
      <c r="B293" t="s">
        <v>28</v>
      </c>
      <c r="C293" t="s">
        <v>29</v>
      </c>
      <c r="D293" t="s">
        <v>25</v>
      </c>
      <c r="E293" t="s">
        <v>26</v>
      </c>
      <c r="F293" t="s">
        <v>15</v>
      </c>
      <c r="G293" t="s">
        <v>39</v>
      </c>
      <c r="H293">
        <v>3</v>
      </c>
      <c r="I293">
        <v>172.37</v>
      </c>
      <c r="J293">
        <v>517.11</v>
      </c>
      <c r="K293" t="s">
        <v>17</v>
      </c>
    </row>
    <row r="294" spans="1:11" x14ac:dyDescent="0.25">
      <c r="A294" s="1">
        <v>44597</v>
      </c>
      <c r="B294" t="s">
        <v>37</v>
      </c>
      <c r="C294" t="s">
        <v>29</v>
      </c>
      <c r="D294" t="s">
        <v>38</v>
      </c>
      <c r="E294" t="s">
        <v>30</v>
      </c>
      <c r="F294" t="s">
        <v>40</v>
      </c>
      <c r="G294" t="s">
        <v>43</v>
      </c>
      <c r="H294">
        <v>3</v>
      </c>
      <c r="I294">
        <v>236.05</v>
      </c>
      <c r="J294">
        <v>708.15</v>
      </c>
      <c r="K294" t="s">
        <v>35</v>
      </c>
    </row>
    <row r="295" spans="1:11" x14ac:dyDescent="0.25">
      <c r="A295" s="1">
        <v>44753</v>
      </c>
      <c r="B295" t="s">
        <v>28</v>
      </c>
      <c r="C295" t="s">
        <v>29</v>
      </c>
      <c r="D295" t="s">
        <v>25</v>
      </c>
      <c r="E295" t="s">
        <v>30</v>
      </c>
      <c r="F295" t="s">
        <v>21</v>
      </c>
      <c r="G295" t="s">
        <v>34</v>
      </c>
      <c r="H295">
        <v>3</v>
      </c>
      <c r="I295">
        <v>256.72000000000003</v>
      </c>
      <c r="J295">
        <v>770.16</v>
      </c>
      <c r="K295" t="s">
        <v>35</v>
      </c>
    </row>
    <row r="296" spans="1:11" x14ac:dyDescent="0.25">
      <c r="A296" s="1">
        <v>44714</v>
      </c>
      <c r="B296" t="s">
        <v>24</v>
      </c>
      <c r="C296" t="s">
        <v>19</v>
      </c>
      <c r="D296" t="s">
        <v>25</v>
      </c>
      <c r="E296" t="s">
        <v>30</v>
      </c>
      <c r="F296" t="s">
        <v>15</v>
      </c>
      <c r="G296" t="s">
        <v>34</v>
      </c>
      <c r="H296">
        <v>4</v>
      </c>
      <c r="I296">
        <v>205.64</v>
      </c>
      <c r="J296">
        <v>822.56</v>
      </c>
      <c r="K296" t="s">
        <v>36</v>
      </c>
    </row>
    <row r="297" spans="1:11" x14ac:dyDescent="0.25">
      <c r="A297" s="1">
        <v>44710</v>
      </c>
      <c r="B297" t="s">
        <v>37</v>
      </c>
      <c r="C297" t="s">
        <v>29</v>
      </c>
      <c r="D297" t="s">
        <v>38</v>
      </c>
      <c r="E297" t="s">
        <v>30</v>
      </c>
      <c r="F297" t="s">
        <v>21</v>
      </c>
      <c r="G297" t="s">
        <v>27</v>
      </c>
      <c r="H297">
        <v>4</v>
      </c>
      <c r="I297">
        <v>68.180000000000007</v>
      </c>
      <c r="J297">
        <v>272.72000000000003</v>
      </c>
      <c r="K297" t="s">
        <v>23</v>
      </c>
    </row>
    <row r="298" spans="1:11" hidden="1" x14ac:dyDescent="0.25">
      <c r="A298" s="1">
        <v>44641</v>
      </c>
      <c r="B298" t="s">
        <v>45</v>
      </c>
      <c r="C298" t="s">
        <v>46</v>
      </c>
      <c r="D298" t="s">
        <v>47</v>
      </c>
      <c r="E298" t="s">
        <v>30</v>
      </c>
      <c r="F298" t="s">
        <v>15</v>
      </c>
      <c r="G298" t="s">
        <v>33</v>
      </c>
      <c r="H298">
        <v>4</v>
      </c>
      <c r="I298">
        <v>68.97</v>
      </c>
      <c r="J298">
        <v>275.88</v>
      </c>
      <c r="K298" t="s">
        <v>17</v>
      </c>
    </row>
    <row r="299" spans="1:11" x14ac:dyDescent="0.25">
      <c r="A299" s="1">
        <v>44718</v>
      </c>
      <c r="B299" t="s">
        <v>28</v>
      </c>
      <c r="C299" t="s">
        <v>29</v>
      </c>
      <c r="D299" t="s">
        <v>25</v>
      </c>
      <c r="E299" t="s">
        <v>14</v>
      </c>
      <c r="F299" t="s">
        <v>15</v>
      </c>
      <c r="G299" t="s">
        <v>27</v>
      </c>
      <c r="H299">
        <v>5</v>
      </c>
      <c r="I299">
        <v>123.23</v>
      </c>
      <c r="J299">
        <v>616.15</v>
      </c>
      <c r="K299" t="s">
        <v>36</v>
      </c>
    </row>
    <row r="300" spans="1:11" x14ac:dyDescent="0.25">
      <c r="A300" s="1">
        <v>44797</v>
      </c>
      <c r="B300" t="s">
        <v>24</v>
      </c>
      <c r="C300" t="s">
        <v>19</v>
      </c>
      <c r="D300" t="s">
        <v>25</v>
      </c>
      <c r="E300" t="s">
        <v>26</v>
      </c>
      <c r="F300" t="s">
        <v>21</v>
      </c>
      <c r="G300" t="s">
        <v>33</v>
      </c>
      <c r="H300">
        <v>5</v>
      </c>
      <c r="I300">
        <v>273</v>
      </c>
      <c r="J300">
        <v>1365</v>
      </c>
      <c r="K300" t="s">
        <v>17</v>
      </c>
    </row>
    <row r="301" spans="1:11" x14ac:dyDescent="0.25">
      <c r="A301" s="1">
        <v>44602</v>
      </c>
      <c r="B301" t="s">
        <v>18</v>
      </c>
      <c r="C301" t="s">
        <v>19</v>
      </c>
      <c r="D301" t="s">
        <v>20</v>
      </c>
      <c r="E301" t="s">
        <v>26</v>
      </c>
      <c r="F301" t="s">
        <v>32</v>
      </c>
      <c r="G301" t="s">
        <v>39</v>
      </c>
      <c r="H301">
        <v>3</v>
      </c>
      <c r="I301">
        <v>225.84</v>
      </c>
      <c r="J301">
        <v>677.52</v>
      </c>
      <c r="K301" t="s">
        <v>17</v>
      </c>
    </row>
    <row r="302" spans="1:11" x14ac:dyDescent="0.25">
      <c r="A302" s="1">
        <v>44621</v>
      </c>
      <c r="B302" t="s">
        <v>31</v>
      </c>
      <c r="C302" t="s">
        <v>19</v>
      </c>
      <c r="D302" t="s">
        <v>25</v>
      </c>
      <c r="E302" t="s">
        <v>26</v>
      </c>
      <c r="F302" t="s">
        <v>40</v>
      </c>
      <c r="G302" t="s">
        <v>39</v>
      </c>
      <c r="H302">
        <v>3</v>
      </c>
      <c r="I302">
        <v>235.36</v>
      </c>
      <c r="J302">
        <v>706.08</v>
      </c>
      <c r="K302" t="s">
        <v>36</v>
      </c>
    </row>
    <row r="303" spans="1:11" x14ac:dyDescent="0.25">
      <c r="A303" s="1">
        <v>44637</v>
      </c>
      <c r="B303" t="s">
        <v>18</v>
      </c>
      <c r="C303" t="s">
        <v>19</v>
      </c>
      <c r="D303" t="s">
        <v>20</v>
      </c>
      <c r="E303" t="s">
        <v>26</v>
      </c>
      <c r="F303" t="s">
        <v>40</v>
      </c>
      <c r="G303" t="s">
        <v>43</v>
      </c>
      <c r="H303">
        <v>5</v>
      </c>
      <c r="I303">
        <v>189.94</v>
      </c>
      <c r="J303">
        <v>949.7</v>
      </c>
      <c r="K303" t="s">
        <v>23</v>
      </c>
    </row>
    <row r="304" spans="1:11" x14ac:dyDescent="0.25">
      <c r="A304" s="1">
        <v>44564</v>
      </c>
      <c r="B304" t="s">
        <v>37</v>
      </c>
      <c r="C304" t="s">
        <v>29</v>
      </c>
      <c r="D304" t="s">
        <v>38</v>
      </c>
      <c r="E304" t="s">
        <v>26</v>
      </c>
      <c r="F304" t="s">
        <v>32</v>
      </c>
      <c r="G304" t="s">
        <v>22</v>
      </c>
      <c r="H304">
        <v>3</v>
      </c>
      <c r="I304">
        <v>110.2</v>
      </c>
      <c r="J304">
        <v>330.6</v>
      </c>
      <c r="K304" t="s">
        <v>17</v>
      </c>
    </row>
    <row r="305" spans="1:11" x14ac:dyDescent="0.25">
      <c r="A305" s="1">
        <v>44741</v>
      </c>
      <c r="B305" t="s">
        <v>37</v>
      </c>
      <c r="C305" t="s">
        <v>29</v>
      </c>
      <c r="D305" t="s">
        <v>38</v>
      </c>
      <c r="E305" t="s">
        <v>14</v>
      </c>
      <c r="F305" t="s">
        <v>40</v>
      </c>
      <c r="G305" t="s">
        <v>27</v>
      </c>
      <c r="H305">
        <v>2</v>
      </c>
      <c r="I305">
        <v>54.76</v>
      </c>
      <c r="J305">
        <v>109.52</v>
      </c>
      <c r="K305" t="s">
        <v>36</v>
      </c>
    </row>
    <row r="306" spans="1:11" x14ac:dyDescent="0.25">
      <c r="A306" s="1">
        <v>44714</v>
      </c>
      <c r="B306" t="s">
        <v>41</v>
      </c>
      <c r="C306" t="s">
        <v>29</v>
      </c>
      <c r="D306" t="s">
        <v>42</v>
      </c>
      <c r="E306" t="s">
        <v>26</v>
      </c>
      <c r="F306" t="s">
        <v>40</v>
      </c>
      <c r="G306" t="s">
        <v>33</v>
      </c>
      <c r="H306">
        <v>1</v>
      </c>
      <c r="I306">
        <v>296.56</v>
      </c>
      <c r="J306">
        <v>296.56</v>
      </c>
      <c r="K306" t="s">
        <v>35</v>
      </c>
    </row>
    <row r="307" spans="1:11" x14ac:dyDescent="0.25">
      <c r="A307" s="1">
        <v>44716</v>
      </c>
      <c r="B307" t="s">
        <v>18</v>
      </c>
      <c r="C307" t="s">
        <v>19</v>
      </c>
      <c r="D307" t="s">
        <v>20</v>
      </c>
      <c r="E307" t="s">
        <v>26</v>
      </c>
      <c r="F307" t="s">
        <v>40</v>
      </c>
      <c r="G307" t="s">
        <v>33</v>
      </c>
      <c r="H307">
        <v>1</v>
      </c>
      <c r="I307">
        <v>296.51</v>
      </c>
      <c r="J307">
        <v>296.51</v>
      </c>
      <c r="K307" t="s">
        <v>36</v>
      </c>
    </row>
    <row r="308" spans="1:11" hidden="1" x14ac:dyDescent="0.25">
      <c r="A308" s="1">
        <v>44654</v>
      </c>
      <c r="B308" t="s">
        <v>48</v>
      </c>
      <c r="C308" t="s">
        <v>49</v>
      </c>
      <c r="D308" t="s">
        <v>50</v>
      </c>
      <c r="E308" t="s">
        <v>30</v>
      </c>
      <c r="F308" t="s">
        <v>32</v>
      </c>
      <c r="G308" t="s">
        <v>43</v>
      </c>
      <c r="H308">
        <v>1</v>
      </c>
      <c r="I308">
        <v>89.5</v>
      </c>
      <c r="J308">
        <v>89.5</v>
      </c>
      <c r="K308" t="s">
        <v>35</v>
      </c>
    </row>
    <row r="309" spans="1:11" x14ac:dyDescent="0.25">
      <c r="A309" s="1">
        <v>44636</v>
      </c>
      <c r="B309" t="s">
        <v>18</v>
      </c>
      <c r="C309" t="s">
        <v>19</v>
      </c>
      <c r="D309" t="s">
        <v>20</v>
      </c>
      <c r="E309" t="s">
        <v>14</v>
      </c>
      <c r="F309" t="s">
        <v>32</v>
      </c>
      <c r="G309" t="s">
        <v>34</v>
      </c>
      <c r="H309">
        <v>3</v>
      </c>
      <c r="I309">
        <v>280.64</v>
      </c>
      <c r="J309">
        <v>841.92</v>
      </c>
      <c r="K309" t="s">
        <v>17</v>
      </c>
    </row>
    <row r="310" spans="1:11" x14ac:dyDescent="0.25">
      <c r="A310" s="1">
        <v>44607</v>
      </c>
      <c r="B310" t="s">
        <v>28</v>
      </c>
      <c r="C310" t="s">
        <v>29</v>
      </c>
      <c r="D310" t="s">
        <v>25</v>
      </c>
      <c r="E310" t="s">
        <v>26</v>
      </c>
      <c r="F310" t="s">
        <v>21</v>
      </c>
      <c r="G310" t="s">
        <v>39</v>
      </c>
      <c r="H310">
        <v>5</v>
      </c>
      <c r="I310">
        <v>234.28</v>
      </c>
      <c r="J310">
        <v>1171.4000000000001</v>
      </c>
      <c r="K310" t="s">
        <v>23</v>
      </c>
    </row>
    <row r="311" spans="1:11" x14ac:dyDescent="0.25">
      <c r="A311" s="1">
        <v>44562</v>
      </c>
      <c r="B311" t="s">
        <v>24</v>
      </c>
      <c r="C311" t="s">
        <v>19</v>
      </c>
      <c r="D311" t="s">
        <v>25</v>
      </c>
      <c r="E311" t="s">
        <v>26</v>
      </c>
      <c r="F311" t="s">
        <v>21</v>
      </c>
      <c r="G311" t="s">
        <v>16</v>
      </c>
      <c r="H311">
        <v>2</v>
      </c>
      <c r="I311">
        <v>294.89</v>
      </c>
      <c r="J311">
        <v>589.78</v>
      </c>
      <c r="K311" t="s">
        <v>36</v>
      </c>
    </row>
    <row r="312" spans="1:11" x14ac:dyDescent="0.25">
      <c r="A312" s="1">
        <v>44630</v>
      </c>
      <c r="B312" t="s">
        <v>31</v>
      </c>
      <c r="C312" t="s">
        <v>19</v>
      </c>
      <c r="D312" t="s">
        <v>25</v>
      </c>
      <c r="E312" t="s">
        <v>26</v>
      </c>
      <c r="F312" t="s">
        <v>40</v>
      </c>
      <c r="G312" t="s">
        <v>22</v>
      </c>
      <c r="H312">
        <v>1</v>
      </c>
      <c r="I312">
        <v>208.24</v>
      </c>
      <c r="J312">
        <v>208.24</v>
      </c>
      <c r="K312" t="s">
        <v>23</v>
      </c>
    </row>
    <row r="313" spans="1:11" x14ac:dyDescent="0.25">
      <c r="A313" s="1">
        <v>44659</v>
      </c>
      <c r="B313" t="s">
        <v>31</v>
      </c>
      <c r="C313" t="s">
        <v>19</v>
      </c>
      <c r="D313" t="s">
        <v>25</v>
      </c>
      <c r="E313" t="s">
        <v>30</v>
      </c>
      <c r="F313" t="s">
        <v>32</v>
      </c>
      <c r="G313" t="s">
        <v>43</v>
      </c>
      <c r="H313">
        <v>5</v>
      </c>
      <c r="I313">
        <v>94.25</v>
      </c>
      <c r="J313">
        <v>471.25</v>
      </c>
      <c r="K313" t="s">
        <v>36</v>
      </c>
    </row>
    <row r="314" spans="1:11" x14ac:dyDescent="0.25">
      <c r="A314" s="1">
        <v>44776</v>
      </c>
      <c r="B314" t="s">
        <v>28</v>
      </c>
      <c r="C314" t="s">
        <v>29</v>
      </c>
      <c r="D314" t="s">
        <v>25</v>
      </c>
      <c r="E314" t="s">
        <v>26</v>
      </c>
      <c r="F314" t="s">
        <v>32</v>
      </c>
      <c r="G314" t="s">
        <v>27</v>
      </c>
      <c r="H314">
        <v>5</v>
      </c>
      <c r="I314">
        <v>259</v>
      </c>
      <c r="J314">
        <v>1295</v>
      </c>
      <c r="K314" t="s">
        <v>17</v>
      </c>
    </row>
    <row r="315" spans="1:11" hidden="1" x14ac:dyDescent="0.25">
      <c r="A315" s="1">
        <v>44686</v>
      </c>
      <c r="B315" t="s">
        <v>48</v>
      </c>
      <c r="C315" t="s">
        <v>49</v>
      </c>
      <c r="D315" t="s">
        <v>50</v>
      </c>
      <c r="E315" t="s">
        <v>26</v>
      </c>
      <c r="F315" t="s">
        <v>32</v>
      </c>
      <c r="G315" t="s">
        <v>27</v>
      </c>
      <c r="H315">
        <v>4</v>
      </c>
      <c r="I315">
        <v>299.73</v>
      </c>
      <c r="J315">
        <v>1198.92</v>
      </c>
      <c r="K315" t="s">
        <v>23</v>
      </c>
    </row>
    <row r="316" spans="1:11" x14ac:dyDescent="0.25">
      <c r="A316" s="1">
        <v>44700</v>
      </c>
      <c r="B316" t="s">
        <v>44</v>
      </c>
      <c r="C316" t="s">
        <v>19</v>
      </c>
      <c r="D316" t="s">
        <v>20</v>
      </c>
      <c r="E316" t="s">
        <v>30</v>
      </c>
      <c r="F316" t="s">
        <v>32</v>
      </c>
      <c r="G316" t="s">
        <v>39</v>
      </c>
      <c r="H316">
        <v>5</v>
      </c>
      <c r="I316">
        <v>71.260000000000005</v>
      </c>
      <c r="J316">
        <v>356.3</v>
      </c>
      <c r="K316" t="s">
        <v>23</v>
      </c>
    </row>
    <row r="317" spans="1:11" x14ac:dyDescent="0.25">
      <c r="A317" s="1">
        <v>44759</v>
      </c>
      <c r="B317" t="s">
        <v>24</v>
      </c>
      <c r="C317" t="s">
        <v>19</v>
      </c>
      <c r="D317" t="s">
        <v>25</v>
      </c>
      <c r="E317" t="s">
        <v>26</v>
      </c>
      <c r="F317" t="s">
        <v>15</v>
      </c>
      <c r="G317" t="s">
        <v>16</v>
      </c>
      <c r="H317">
        <v>5</v>
      </c>
      <c r="I317">
        <v>270.14</v>
      </c>
      <c r="J317">
        <v>1350.7</v>
      </c>
      <c r="K317" t="s">
        <v>36</v>
      </c>
    </row>
  </sheetData>
  <mergeCells count="1">
    <mergeCell ref="N2:Q2"/>
  </mergeCells>
  <pageMargins left="0.7" right="0.7" top="0.75" bottom="0.75" header="0.3" footer="0.3"/>
  <pageSetup orientation="portrait"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E6E147-7A8C-452D-B122-4A8E658EB7CC}">
  <dimension ref="A1:S317"/>
  <sheetViews>
    <sheetView topLeftCell="I1" workbookViewId="0">
      <selection activeCell="R18" sqref="R18"/>
    </sheetView>
  </sheetViews>
  <sheetFormatPr defaultRowHeight="15" x14ac:dyDescent="0.25"/>
  <cols>
    <col min="1" max="1" width="10.42578125" bestFit="1" customWidth="1"/>
    <col min="2" max="2" width="24.42578125" bestFit="1" customWidth="1"/>
    <col min="3" max="3" width="14.85546875" bestFit="1" customWidth="1"/>
    <col min="4" max="5" width="10" bestFit="1" customWidth="1"/>
    <col min="6" max="6" width="14.5703125" bestFit="1" customWidth="1"/>
    <col min="7" max="7" width="10.140625" customWidth="1"/>
    <col min="8" max="8" width="10.85546875" customWidth="1"/>
    <col min="9" max="9" width="14.7109375" customWidth="1"/>
    <col min="10" max="10" width="13.28515625" bestFit="1" customWidth="1"/>
    <col min="11" max="11" width="17" bestFit="1" customWidth="1"/>
    <col min="13" max="13" width="13.140625" bestFit="1" customWidth="1"/>
    <col min="14" max="14" width="17.85546875" bestFit="1" customWidth="1"/>
    <col min="15" max="15" width="16.28515625" bestFit="1" customWidth="1"/>
    <col min="16" max="16" width="11.28515625" bestFit="1" customWidth="1"/>
    <col min="17" max="17" width="11" bestFit="1" customWidth="1"/>
    <col min="18" max="18" width="16.85546875" bestFit="1" customWidth="1"/>
    <col min="19" max="19" width="11.28515625" bestFit="1" customWidth="1"/>
  </cols>
  <sheetData>
    <row r="1" spans="1:19" x14ac:dyDescent="0.25">
      <c r="A1" t="s">
        <v>0</v>
      </c>
      <c r="B1" t="s">
        <v>1</v>
      </c>
      <c r="C1" t="s">
        <v>2</v>
      </c>
      <c r="D1" t="s">
        <v>3</v>
      </c>
      <c r="E1" t="s">
        <v>4</v>
      </c>
      <c r="F1" t="s">
        <v>5</v>
      </c>
      <c r="G1" t="s">
        <v>6</v>
      </c>
      <c r="H1" t="s">
        <v>7</v>
      </c>
      <c r="I1" t="s">
        <v>8</v>
      </c>
      <c r="J1" t="s">
        <v>9</v>
      </c>
      <c r="K1" t="s">
        <v>10</v>
      </c>
    </row>
    <row r="2" spans="1:19" ht="15.75" x14ac:dyDescent="0.25">
      <c r="A2" s="1">
        <v>44708</v>
      </c>
      <c r="B2" t="s">
        <v>11</v>
      </c>
      <c r="C2" t="s">
        <v>12</v>
      </c>
      <c r="D2" t="s">
        <v>13</v>
      </c>
      <c r="E2" t="s">
        <v>14</v>
      </c>
      <c r="F2" t="s">
        <v>15</v>
      </c>
      <c r="G2" t="s">
        <v>16</v>
      </c>
      <c r="H2">
        <v>5</v>
      </c>
      <c r="I2">
        <v>141.82</v>
      </c>
      <c r="J2">
        <v>709.1</v>
      </c>
      <c r="K2" t="s">
        <v>17</v>
      </c>
      <c r="M2" s="2" t="s">
        <v>135</v>
      </c>
      <c r="N2" s="31" t="s">
        <v>134</v>
      </c>
      <c r="O2" s="31"/>
      <c r="P2" s="31"/>
      <c r="Q2" s="31"/>
      <c r="R2" s="31"/>
    </row>
    <row r="3" spans="1:19" x14ac:dyDescent="0.25">
      <c r="A3" s="1">
        <v>44679</v>
      </c>
      <c r="B3" t="s">
        <v>18</v>
      </c>
      <c r="C3" t="s">
        <v>19</v>
      </c>
      <c r="D3" t="s">
        <v>20</v>
      </c>
      <c r="E3" t="s">
        <v>14</v>
      </c>
      <c r="F3" t="s">
        <v>40</v>
      </c>
      <c r="G3" t="s">
        <v>33</v>
      </c>
      <c r="H3">
        <v>1</v>
      </c>
      <c r="I3">
        <v>70.69</v>
      </c>
      <c r="J3">
        <v>70.69</v>
      </c>
      <c r="K3" t="s">
        <v>35</v>
      </c>
    </row>
    <row r="4" spans="1:19" x14ac:dyDescent="0.25">
      <c r="A4" s="1">
        <v>44633</v>
      </c>
      <c r="B4" t="s">
        <v>37</v>
      </c>
      <c r="C4" t="s">
        <v>29</v>
      </c>
      <c r="D4" t="s">
        <v>38</v>
      </c>
      <c r="E4" t="s">
        <v>26</v>
      </c>
      <c r="F4" t="s">
        <v>32</v>
      </c>
      <c r="G4" t="s">
        <v>34</v>
      </c>
      <c r="H4">
        <v>1</v>
      </c>
      <c r="I4">
        <v>89.14</v>
      </c>
      <c r="J4">
        <v>89.14</v>
      </c>
      <c r="K4" t="s">
        <v>23</v>
      </c>
      <c r="N4" s="3" t="s">
        <v>56</v>
      </c>
      <c r="O4" s="3" t="s">
        <v>74</v>
      </c>
    </row>
    <row r="5" spans="1:19" hidden="1" x14ac:dyDescent="0.25">
      <c r="A5" s="1">
        <v>44766</v>
      </c>
      <c r="B5" t="s">
        <v>45</v>
      </c>
      <c r="C5" t="s">
        <v>46</v>
      </c>
      <c r="D5" t="s">
        <v>47</v>
      </c>
      <c r="E5" t="s">
        <v>14</v>
      </c>
      <c r="F5" t="s">
        <v>15</v>
      </c>
      <c r="G5" t="s">
        <v>43</v>
      </c>
      <c r="H5">
        <v>4</v>
      </c>
      <c r="I5">
        <v>135.07</v>
      </c>
      <c r="J5">
        <v>540.28</v>
      </c>
      <c r="K5" t="s">
        <v>23</v>
      </c>
      <c r="N5" s="3" t="s">
        <v>54</v>
      </c>
      <c r="O5" t="s">
        <v>32</v>
      </c>
      <c r="P5" t="s">
        <v>55</v>
      </c>
    </row>
    <row r="6" spans="1:19" x14ac:dyDescent="0.25">
      <c r="A6" s="1">
        <v>44723</v>
      </c>
      <c r="B6" t="s">
        <v>44</v>
      </c>
      <c r="C6" t="s">
        <v>19</v>
      </c>
      <c r="D6" t="s">
        <v>20</v>
      </c>
      <c r="E6" t="s">
        <v>30</v>
      </c>
      <c r="F6" t="s">
        <v>21</v>
      </c>
      <c r="G6" t="s">
        <v>27</v>
      </c>
      <c r="H6">
        <v>2</v>
      </c>
      <c r="I6">
        <v>223</v>
      </c>
      <c r="J6">
        <v>446</v>
      </c>
      <c r="K6" t="s">
        <v>23</v>
      </c>
      <c r="N6" s="24" t="s">
        <v>75</v>
      </c>
      <c r="O6" s="6">
        <v>202.42</v>
      </c>
      <c r="P6" s="6">
        <v>202.42</v>
      </c>
    </row>
    <row r="7" spans="1:19" x14ac:dyDescent="0.25">
      <c r="A7" s="1">
        <v>44740</v>
      </c>
      <c r="B7" t="s">
        <v>11</v>
      </c>
      <c r="C7" t="s">
        <v>12</v>
      </c>
      <c r="D7" t="s">
        <v>13</v>
      </c>
      <c r="E7" t="s">
        <v>14</v>
      </c>
      <c r="F7" t="s">
        <v>15</v>
      </c>
      <c r="G7" t="s">
        <v>34</v>
      </c>
      <c r="H7">
        <v>4</v>
      </c>
      <c r="I7">
        <v>238.52</v>
      </c>
      <c r="J7">
        <v>954.08</v>
      </c>
      <c r="K7" t="s">
        <v>23</v>
      </c>
      <c r="N7" s="24" t="s">
        <v>76</v>
      </c>
      <c r="O7" s="6">
        <v>698.5</v>
      </c>
      <c r="P7" s="6">
        <v>698.5</v>
      </c>
    </row>
    <row r="8" spans="1:19" x14ac:dyDescent="0.25">
      <c r="A8" s="1">
        <v>44754</v>
      </c>
      <c r="B8" t="s">
        <v>28</v>
      </c>
      <c r="C8" t="s">
        <v>29</v>
      </c>
      <c r="D8" t="s">
        <v>25</v>
      </c>
      <c r="E8" t="s">
        <v>26</v>
      </c>
      <c r="F8" t="s">
        <v>32</v>
      </c>
      <c r="G8" t="s">
        <v>33</v>
      </c>
      <c r="H8">
        <v>5</v>
      </c>
      <c r="I8">
        <v>120.55</v>
      </c>
      <c r="J8">
        <v>602.75</v>
      </c>
      <c r="K8" t="s">
        <v>35</v>
      </c>
      <c r="N8" s="24" t="s">
        <v>77</v>
      </c>
      <c r="O8" s="6">
        <v>1146.3600000000001</v>
      </c>
      <c r="P8" s="6">
        <v>1146.3600000000001</v>
      </c>
      <c r="R8" s="25" t="s">
        <v>174</v>
      </c>
      <c r="S8" s="25">
        <f>AVERAGE(O6:O86)</f>
        <v>617.1099999999999</v>
      </c>
    </row>
    <row r="9" spans="1:19" hidden="1" x14ac:dyDescent="0.25">
      <c r="A9" s="1">
        <v>44605</v>
      </c>
      <c r="B9" t="s">
        <v>45</v>
      </c>
      <c r="C9" t="s">
        <v>46</v>
      </c>
      <c r="D9" t="s">
        <v>47</v>
      </c>
      <c r="E9" t="s">
        <v>26</v>
      </c>
      <c r="F9" t="s">
        <v>21</v>
      </c>
      <c r="G9" t="s">
        <v>27</v>
      </c>
      <c r="H9">
        <v>4</v>
      </c>
      <c r="I9">
        <v>212.66</v>
      </c>
      <c r="J9">
        <v>850.64</v>
      </c>
      <c r="K9" t="s">
        <v>36</v>
      </c>
      <c r="N9" s="24" t="s">
        <v>136</v>
      </c>
      <c r="O9" s="6">
        <v>91.56</v>
      </c>
      <c r="P9" s="6">
        <v>91.56</v>
      </c>
      <c r="R9" s="11"/>
      <c r="S9" s="11"/>
    </row>
    <row r="10" spans="1:19" x14ac:dyDescent="0.25">
      <c r="A10" s="1">
        <v>44752</v>
      </c>
      <c r="B10" t="s">
        <v>37</v>
      </c>
      <c r="C10" t="s">
        <v>29</v>
      </c>
      <c r="D10" t="s">
        <v>38</v>
      </c>
      <c r="E10" t="s">
        <v>26</v>
      </c>
      <c r="F10" t="s">
        <v>21</v>
      </c>
      <c r="G10" t="s">
        <v>39</v>
      </c>
      <c r="H10">
        <v>5</v>
      </c>
      <c r="I10">
        <v>256.22000000000003</v>
      </c>
      <c r="J10">
        <v>1281.0999999999999</v>
      </c>
      <c r="K10" t="s">
        <v>36</v>
      </c>
      <c r="N10" s="24" t="s">
        <v>78</v>
      </c>
      <c r="O10" s="6">
        <v>497.6</v>
      </c>
      <c r="P10" s="6">
        <v>497.6</v>
      </c>
      <c r="R10" s="25" t="s">
        <v>175</v>
      </c>
      <c r="S10" s="25">
        <f>_xlfn.STDEV.P(O6:O86)</f>
        <v>425.20634987361058</v>
      </c>
    </row>
    <row r="11" spans="1:19" x14ac:dyDescent="0.25">
      <c r="A11" s="1">
        <v>44583</v>
      </c>
      <c r="B11" t="s">
        <v>31</v>
      </c>
      <c r="C11" t="s">
        <v>19</v>
      </c>
      <c r="D11" t="s">
        <v>25</v>
      </c>
      <c r="E11" t="s">
        <v>14</v>
      </c>
      <c r="F11" t="s">
        <v>32</v>
      </c>
      <c r="G11" t="s">
        <v>39</v>
      </c>
      <c r="H11">
        <v>4</v>
      </c>
      <c r="I11">
        <v>124.4</v>
      </c>
      <c r="J11">
        <v>497.6</v>
      </c>
      <c r="K11" t="s">
        <v>36</v>
      </c>
      <c r="N11" s="24" t="s">
        <v>79</v>
      </c>
      <c r="O11" s="6">
        <v>913.84</v>
      </c>
      <c r="P11" s="6">
        <v>913.84</v>
      </c>
    </row>
    <row r="12" spans="1:19" x14ac:dyDescent="0.25">
      <c r="A12" s="1">
        <v>44730</v>
      </c>
      <c r="B12" t="s">
        <v>31</v>
      </c>
      <c r="C12" t="s">
        <v>19</v>
      </c>
      <c r="D12" t="s">
        <v>25</v>
      </c>
      <c r="E12" t="s">
        <v>26</v>
      </c>
      <c r="F12" t="s">
        <v>32</v>
      </c>
      <c r="G12" t="s">
        <v>27</v>
      </c>
      <c r="H12">
        <v>2</v>
      </c>
      <c r="I12">
        <v>80.33</v>
      </c>
      <c r="J12">
        <v>160.66</v>
      </c>
      <c r="K12" t="s">
        <v>17</v>
      </c>
      <c r="N12" s="24" t="s">
        <v>137</v>
      </c>
      <c r="O12" s="6">
        <v>239.21</v>
      </c>
      <c r="P12" s="6">
        <v>239.21</v>
      </c>
    </row>
    <row r="13" spans="1:19" x14ac:dyDescent="0.25">
      <c r="A13" s="1">
        <v>44638</v>
      </c>
      <c r="B13" t="s">
        <v>41</v>
      </c>
      <c r="C13" t="s">
        <v>29</v>
      </c>
      <c r="D13" t="s">
        <v>42</v>
      </c>
      <c r="E13" t="s">
        <v>14</v>
      </c>
      <c r="F13" t="s">
        <v>40</v>
      </c>
      <c r="G13" t="s">
        <v>39</v>
      </c>
      <c r="H13">
        <v>5</v>
      </c>
      <c r="I13">
        <v>58.65</v>
      </c>
      <c r="J13">
        <v>293.25</v>
      </c>
      <c r="K13" t="s">
        <v>35</v>
      </c>
      <c r="N13" s="24" t="s">
        <v>80</v>
      </c>
      <c r="O13" s="6">
        <v>1171</v>
      </c>
      <c r="P13" s="6">
        <v>1171</v>
      </c>
    </row>
    <row r="14" spans="1:19" x14ac:dyDescent="0.25">
      <c r="A14" s="1">
        <v>44794</v>
      </c>
      <c r="B14" t="s">
        <v>24</v>
      </c>
      <c r="C14" t="s">
        <v>19</v>
      </c>
      <c r="D14" t="s">
        <v>25</v>
      </c>
      <c r="E14" t="s">
        <v>26</v>
      </c>
      <c r="F14" t="s">
        <v>21</v>
      </c>
      <c r="G14" t="s">
        <v>22</v>
      </c>
      <c r="H14">
        <v>5</v>
      </c>
      <c r="I14">
        <v>183.55</v>
      </c>
      <c r="J14">
        <v>917.75</v>
      </c>
      <c r="K14" t="s">
        <v>23</v>
      </c>
      <c r="N14" s="24" t="s">
        <v>81</v>
      </c>
      <c r="O14" s="6">
        <v>855.28</v>
      </c>
      <c r="P14" s="6">
        <v>855.28</v>
      </c>
    </row>
    <row r="15" spans="1:19" hidden="1" x14ac:dyDescent="0.25">
      <c r="A15" s="1">
        <v>44749</v>
      </c>
      <c r="B15" t="s">
        <v>48</v>
      </c>
      <c r="C15" t="s">
        <v>49</v>
      </c>
      <c r="D15" t="s">
        <v>50</v>
      </c>
      <c r="E15" t="s">
        <v>14</v>
      </c>
      <c r="F15" t="s">
        <v>21</v>
      </c>
      <c r="G15" t="s">
        <v>39</v>
      </c>
      <c r="H15">
        <v>2</v>
      </c>
      <c r="I15">
        <v>210.77</v>
      </c>
      <c r="J15">
        <v>421.54</v>
      </c>
      <c r="K15" t="s">
        <v>17</v>
      </c>
      <c r="N15" s="24" t="s">
        <v>82</v>
      </c>
      <c r="O15" s="6">
        <v>1230.05</v>
      </c>
      <c r="P15" s="6">
        <v>1230.05</v>
      </c>
    </row>
    <row r="16" spans="1:19" x14ac:dyDescent="0.25">
      <c r="A16" s="1">
        <v>44692</v>
      </c>
      <c r="B16" t="s">
        <v>18</v>
      </c>
      <c r="C16" t="s">
        <v>19</v>
      </c>
      <c r="D16" t="s">
        <v>20</v>
      </c>
      <c r="E16" t="s">
        <v>14</v>
      </c>
      <c r="F16" t="s">
        <v>32</v>
      </c>
      <c r="G16" t="s">
        <v>27</v>
      </c>
      <c r="H16">
        <v>4</v>
      </c>
      <c r="I16">
        <v>218.82</v>
      </c>
      <c r="J16">
        <v>875.28</v>
      </c>
      <c r="K16" t="s">
        <v>36</v>
      </c>
      <c r="N16" s="24" t="s">
        <v>138</v>
      </c>
      <c r="O16" s="6">
        <v>677.52</v>
      </c>
      <c r="P16" s="6">
        <v>677.52</v>
      </c>
    </row>
    <row r="17" spans="1:16" x14ac:dyDescent="0.25">
      <c r="A17" s="1">
        <v>44729</v>
      </c>
      <c r="B17" t="s">
        <v>11</v>
      </c>
      <c r="C17" t="s">
        <v>12</v>
      </c>
      <c r="D17" t="s">
        <v>13</v>
      </c>
      <c r="E17" t="s">
        <v>26</v>
      </c>
      <c r="F17" t="s">
        <v>40</v>
      </c>
      <c r="G17" t="s">
        <v>34</v>
      </c>
      <c r="H17">
        <v>5</v>
      </c>
      <c r="I17">
        <v>133.74</v>
      </c>
      <c r="J17">
        <v>668.7</v>
      </c>
      <c r="K17" t="s">
        <v>17</v>
      </c>
      <c r="N17" s="24" t="s">
        <v>83</v>
      </c>
      <c r="O17" s="6">
        <v>270.57</v>
      </c>
      <c r="P17" s="6">
        <v>270.57</v>
      </c>
    </row>
    <row r="18" spans="1:16" x14ac:dyDescent="0.25">
      <c r="A18" s="1">
        <v>44705</v>
      </c>
      <c r="B18" t="s">
        <v>44</v>
      </c>
      <c r="C18" t="s">
        <v>19</v>
      </c>
      <c r="D18" t="s">
        <v>20</v>
      </c>
      <c r="E18" t="s">
        <v>26</v>
      </c>
      <c r="F18" t="s">
        <v>32</v>
      </c>
      <c r="G18" t="s">
        <v>34</v>
      </c>
      <c r="H18">
        <v>1</v>
      </c>
      <c r="I18">
        <v>208.47</v>
      </c>
      <c r="J18">
        <v>208.47</v>
      </c>
      <c r="K18" t="s">
        <v>23</v>
      </c>
      <c r="N18" s="24" t="s">
        <v>84</v>
      </c>
      <c r="O18" s="6">
        <v>1124</v>
      </c>
      <c r="P18" s="6">
        <v>1124</v>
      </c>
    </row>
    <row r="19" spans="1:16" x14ac:dyDescent="0.25">
      <c r="A19" s="1">
        <v>44709</v>
      </c>
      <c r="B19" t="s">
        <v>37</v>
      </c>
      <c r="C19" t="s">
        <v>29</v>
      </c>
      <c r="D19" t="s">
        <v>38</v>
      </c>
      <c r="E19" t="s">
        <v>14</v>
      </c>
      <c r="F19" t="s">
        <v>15</v>
      </c>
      <c r="G19" t="s">
        <v>39</v>
      </c>
      <c r="H19">
        <v>1</v>
      </c>
      <c r="I19">
        <v>180.42</v>
      </c>
      <c r="J19">
        <v>180.42</v>
      </c>
      <c r="K19" t="s">
        <v>23</v>
      </c>
      <c r="N19" s="24" t="s">
        <v>139</v>
      </c>
      <c r="O19" s="6">
        <v>59.05</v>
      </c>
      <c r="P19" s="6">
        <v>59.05</v>
      </c>
    </row>
    <row r="20" spans="1:16" hidden="1" x14ac:dyDescent="0.25">
      <c r="A20" s="1">
        <v>44741</v>
      </c>
      <c r="B20" t="s">
        <v>48</v>
      </c>
      <c r="C20" t="s">
        <v>49</v>
      </c>
      <c r="D20" t="s">
        <v>50</v>
      </c>
      <c r="E20" t="s">
        <v>30</v>
      </c>
      <c r="F20" t="s">
        <v>32</v>
      </c>
      <c r="G20" t="s">
        <v>16</v>
      </c>
      <c r="H20">
        <v>3</v>
      </c>
      <c r="I20">
        <v>127.36</v>
      </c>
      <c r="J20">
        <v>382.08</v>
      </c>
      <c r="K20" t="s">
        <v>17</v>
      </c>
      <c r="N20" s="24" t="s">
        <v>140</v>
      </c>
      <c r="O20" s="6">
        <v>686.52</v>
      </c>
      <c r="P20" s="6">
        <v>686.52</v>
      </c>
    </row>
    <row r="21" spans="1:16" x14ac:dyDescent="0.25">
      <c r="A21" s="1">
        <v>44706</v>
      </c>
      <c r="B21" t="s">
        <v>41</v>
      </c>
      <c r="C21" t="s">
        <v>29</v>
      </c>
      <c r="D21" t="s">
        <v>42</v>
      </c>
      <c r="E21" t="s">
        <v>30</v>
      </c>
      <c r="F21" t="s">
        <v>21</v>
      </c>
      <c r="G21" t="s">
        <v>16</v>
      </c>
      <c r="H21">
        <v>3</v>
      </c>
      <c r="I21">
        <v>149.51</v>
      </c>
      <c r="J21">
        <v>448.53</v>
      </c>
      <c r="K21" t="s">
        <v>23</v>
      </c>
      <c r="N21" s="24" t="s">
        <v>141</v>
      </c>
      <c r="O21" s="6">
        <v>425.5</v>
      </c>
      <c r="P21" s="6">
        <v>425.5</v>
      </c>
    </row>
    <row r="22" spans="1:16" hidden="1" x14ac:dyDescent="0.25">
      <c r="A22" s="1">
        <v>44629</v>
      </c>
      <c r="B22" t="s">
        <v>45</v>
      </c>
      <c r="C22" t="s">
        <v>46</v>
      </c>
      <c r="D22" t="s">
        <v>47</v>
      </c>
      <c r="E22" t="s">
        <v>30</v>
      </c>
      <c r="F22" t="s">
        <v>32</v>
      </c>
      <c r="G22" t="s">
        <v>43</v>
      </c>
      <c r="H22">
        <v>3</v>
      </c>
      <c r="I22">
        <v>136.36000000000001</v>
      </c>
      <c r="J22">
        <v>409.08</v>
      </c>
      <c r="K22" t="s">
        <v>17</v>
      </c>
      <c r="N22" s="24" t="s">
        <v>142</v>
      </c>
      <c r="O22" s="6">
        <v>977.85</v>
      </c>
      <c r="P22" s="6">
        <v>977.85</v>
      </c>
    </row>
    <row r="23" spans="1:16" x14ac:dyDescent="0.25">
      <c r="A23" s="1">
        <v>44794</v>
      </c>
      <c r="B23" t="s">
        <v>28</v>
      </c>
      <c r="C23" t="s">
        <v>29</v>
      </c>
      <c r="D23" t="s">
        <v>25</v>
      </c>
      <c r="E23" t="s">
        <v>14</v>
      </c>
      <c r="F23" t="s">
        <v>32</v>
      </c>
      <c r="G23" t="s">
        <v>34</v>
      </c>
      <c r="H23">
        <v>5</v>
      </c>
      <c r="I23">
        <v>162.38</v>
      </c>
      <c r="J23">
        <v>811.9</v>
      </c>
      <c r="K23" t="s">
        <v>17</v>
      </c>
      <c r="N23" s="24" t="s">
        <v>143</v>
      </c>
      <c r="O23" s="6">
        <v>263.43</v>
      </c>
      <c r="P23" s="6">
        <v>263.43</v>
      </c>
    </row>
    <row r="24" spans="1:16" hidden="1" x14ac:dyDescent="0.25">
      <c r="A24" s="1">
        <v>44708</v>
      </c>
      <c r="B24" t="s">
        <v>48</v>
      </c>
      <c r="C24" t="s">
        <v>49</v>
      </c>
      <c r="D24" t="s">
        <v>50</v>
      </c>
      <c r="E24" t="s">
        <v>26</v>
      </c>
      <c r="F24" t="s">
        <v>40</v>
      </c>
      <c r="G24" t="s">
        <v>33</v>
      </c>
      <c r="H24">
        <v>2</v>
      </c>
      <c r="I24">
        <v>259.66000000000003</v>
      </c>
      <c r="J24">
        <v>519.32000000000005</v>
      </c>
      <c r="K24" t="s">
        <v>36</v>
      </c>
      <c r="N24" s="24" t="s">
        <v>85</v>
      </c>
      <c r="O24" s="6">
        <v>958.16</v>
      </c>
      <c r="P24" s="6">
        <v>958.16</v>
      </c>
    </row>
    <row r="25" spans="1:16" x14ac:dyDescent="0.25">
      <c r="A25" s="1">
        <v>44703</v>
      </c>
      <c r="B25" t="s">
        <v>37</v>
      </c>
      <c r="C25" t="s">
        <v>29</v>
      </c>
      <c r="D25" t="s">
        <v>38</v>
      </c>
      <c r="E25" t="s">
        <v>30</v>
      </c>
      <c r="F25" t="s">
        <v>21</v>
      </c>
      <c r="G25" t="s">
        <v>39</v>
      </c>
      <c r="H25">
        <v>1</v>
      </c>
      <c r="I25">
        <v>180.39</v>
      </c>
      <c r="J25">
        <v>180.39</v>
      </c>
      <c r="K25" t="s">
        <v>17</v>
      </c>
      <c r="N25" s="24" t="s">
        <v>86</v>
      </c>
      <c r="O25" s="6">
        <v>409.08</v>
      </c>
      <c r="P25" s="6">
        <v>409.08</v>
      </c>
    </row>
    <row r="26" spans="1:16" x14ac:dyDescent="0.25">
      <c r="A26" s="1">
        <v>44714</v>
      </c>
      <c r="B26" t="s">
        <v>37</v>
      </c>
      <c r="C26" t="s">
        <v>29</v>
      </c>
      <c r="D26" t="s">
        <v>38</v>
      </c>
      <c r="E26" t="s">
        <v>30</v>
      </c>
      <c r="F26" t="s">
        <v>15</v>
      </c>
      <c r="G26" t="s">
        <v>39</v>
      </c>
      <c r="H26">
        <v>3</v>
      </c>
      <c r="I26">
        <v>80.349999999999994</v>
      </c>
      <c r="J26">
        <v>241.05</v>
      </c>
      <c r="K26" t="s">
        <v>17</v>
      </c>
      <c r="N26" s="24" t="s">
        <v>87</v>
      </c>
      <c r="O26" s="6">
        <v>366.58</v>
      </c>
      <c r="P26" s="6">
        <v>366.58</v>
      </c>
    </row>
    <row r="27" spans="1:16" x14ac:dyDescent="0.25">
      <c r="A27" s="1">
        <v>44626</v>
      </c>
      <c r="B27" t="s">
        <v>11</v>
      </c>
      <c r="C27" t="s">
        <v>12</v>
      </c>
      <c r="D27" t="s">
        <v>13</v>
      </c>
      <c r="E27" t="s">
        <v>30</v>
      </c>
      <c r="F27" t="s">
        <v>21</v>
      </c>
      <c r="G27" t="s">
        <v>16</v>
      </c>
      <c r="H27">
        <v>2</v>
      </c>
      <c r="I27">
        <v>222.08</v>
      </c>
      <c r="J27">
        <v>444.16</v>
      </c>
      <c r="K27" t="s">
        <v>35</v>
      </c>
      <c r="N27" s="24" t="s">
        <v>144</v>
      </c>
      <c r="O27" s="6">
        <v>89.14</v>
      </c>
      <c r="P27" s="6">
        <v>89.14</v>
      </c>
    </row>
    <row r="28" spans="1:16" hidden="1" x14ac:dyDescent="0.25">
      <c r="A28" s="1">
        <v>44641</v>
      </c>
      <c r="B28" t="s">
        <v>48</v>
      </c>
      <c r="C28" t="s">
        <v>49</v>
      </c>
      <c r="D28" t="s">
        <v>50</v>
      </c>
      <c r="E28" t="s">
        <v>26</v>
      </c>
      <c r="F28" t="s">
        <v>40</v>
      </c>
      <c r="G28" t="s">
        <v>27</v>
      </c>
      <c r="H28">
        <v>1</v>
      </c>
      <c r="I28">
        <v>287.44</v>
      </c>
      <c r="J28">
        <v>287.44</v>
      </c>
      <c r="K28" t="s">
        <v>35</v>
      </c>
      <c r="N28" s="24" t="s">
        <v>145</v>
      </c>
      <c r="O28" s="6">
        <v>1047.8399999999999</v>
      </c>
      <c r="P28" s="6">
        <v>1047.8399999999999</v>
      </c>
    </row>
    <row r="29" spans="1:16" x14ac:dyDescent="0.25">
      <c r="A29" s="1">
        <v>44758</v>
      </c>
      <c r="B29" t="s">
        <v>11</v>
      </c>
      <c r="C29" t="s">
        <v>12</v>
      </c>
      <c r="D29" t="s">
        <v>13</v>
      </c>
      <c r="E29" t="s">
        <v>14</v>
      </c>
      <c r="F29" t="s">
        <v>15</v>
      </c>
      <c r="G29" t="s">
        <v>34</v>
      </c>
      <c r="H29">
        <v>5</v>
      </c>
      <c r="I29">
        <v>137.9</v>
      </c>
      <c r="J29">
        <v>689.5</v>
      </c>
      <c r="K29" t="s">
        <v>35</v>
      </c>
      <c r="N29" s="24" t="s">
        <v>88</v>
      </c>
      <c r="O29" s="6">
        <v>149.66</v>
      </c>
      <c r="P29" s="6">
        <v>149.66</v>
      </c>
    </row>
    <row r="30" spans="1:16" x14ac:dyDescent="0.25">
      <c r="A30" s="1">
        <v>44639</v>
      </c>
      <c r="B30" t="s">
        <v>37</v>
      </c>
      <c r="C30" t="s">
        <v>29</v>
      </c>
      <c r="D30" t="s">
        <v>38</v>
      </c>
      <c r="E30" t="s">
        <v>14</v>
      </c>
      <c r="F30" t="s">
        <v>21</v>
      </c>
      <c r="G30" t="s">
        <v>39</v>
      </c>
      <c r="H30">
        <v>3</v>
      </c>
      <c r="I30">
        <v>214.68</v>
      </c>
      <c r="J30">
        <v>644.04</v>
      </c>
      <c r="K30" t="s">
        <v>35</v>
      </c>
      <c r="N30" s="24" t="s">
        <v>146</v>
      </c>
      <c r="O30" s="6">
        <v>841.92</v>
      </c>
      <c r="P30" s="6">
        <v>841.92</v>
      </c>
    </row>
    <row r="31" spans="1:16" x14ac:dyDescent="0.25">
      <c r="A31" s="1">
        <v>44777</v>
      </c>
      <c r="B31" t="s">
        <v>28</v>
      </c>
      <c r="C31" t="s">
        <v>29</v>
      </c>
      <c r="D31" t="s">
        <v>25</v>
      </c>
      <c r="E31" t="s">
        <v>26</v>
      </c>
      <c r="F31" t="s">
        <v>15</v>
      </c>
      <c r="G31" t="s">
        <v>22</v>
      </c>
      <c r="H31">
        <v>2</v>
      </c>
      <c r="I31">
        <v>269.88</v>
      </c>
      <c r="J31">
        <v>539.76</v>
      </c>
      <c r="K31" t="s">
        <v>23</v>
      </c>
      <c r="N31" s="24" t="s">
        <v>89</v>
      </c>
      <c r="O31" s="6">
        <v>602.61</v>
      </c>
      <c r="P31" s="6">
        <v>602.61</v>
      </c>
    </row>
    <row r="32" spans="1:16" x14ac:dyDescent="0.25">
      <c r="A32" s="1">
        <v>44684</v>
      </c>
      <c r="B32" t="s">
        <v>31</v>
      </c>
      <c r="C32" t="s">
        <v>19</v>
      </c>
      <c r="D32" t="s">
        <v>25</v>
      </c>
      <c r="E32" t="s">
        <v>14</v>
      </c>
      <c r="F32" t="s">
        <v>40</v>
      </c>
      <c r="G32" t="s">
        <v>43</v>
      </c>
      <c r="H32">
        <v>1</v>
      </c>
      <c r="I32">
        <v>96.97</v>
      </c>
      <c r="J32">
        <v>96.97</v>
      </c>
      <c r="K32" t="s">
        <v>36</v>
      </c>
      <c r="N32" s="24" t="s">
        <v>147</v>
      </c>
      <c r="O32" s="6">
        <v>209.78</v>
      </c>
      <c r="P32" s="6">
        <v>209.78</v>
      </c>
    </row>
    <row r="33" spans="1:16" hidden="1" x14ac:dyDescent="0.25">
      <c r="A33" s="1">
        <v>44743</v>
      </c>
      <c r="B33" t="s">
        <v>45</v>
      </c>
      <c r="C33" t="s">
        <v>46</v>
      </c>
      <c r="D33" t="s">
        <v>47</v>
      </c>
      <c r="E33" t="s">
        <v>26</v>
      </c>
      <c r="F33" t="s">
        <v>15</v>
      </c>
      <c r="G33" t="s">
        <v>33</v>
      </c>
      <c r="H33">
        <v>4</v>
      </c>
      <c r="I33">
        <v>270.55</v>
      </c>
      <c r="J33">
        <v>1082.2</v>
      </c>
      <c r="K33" t="s">
        <v>23</v>
      </c>
      <c r="N33" s="24" t="s">
        <v>90</v>
      </c>
      <c r="O33" s="6">
        <v>144.59</v>
      </c>
      <c r="P33" s="6">
        <v>144.59</v>
      </c>
    </row>
    <row r="34" spans="1:16" x14ac:dyDescent="0.25">
      <c r="A34" s="1">
        <v>44728</v>
      </c>
      <c r="B34" t="s">
        <v>44</v>
      </c>
      <c r="C34" t="s">
        <v>19</v>
      </c>
      <c r="D34" t="s">
        <v>20</v>
      </c>
      <c r="E34" t="s">
        <v>14</v>
      </c>
      <c r="F34" t="s">
        <v>40</v>
      </c>
      <c r="G34" t="s">
        <v>33</v>
      </c>
      <c r="H34">
        <v>3</v>
      </c>
      <c r="I34">
        <v>261.31</v>
      </c>
      <c r="J34">
        <v>783.93</v>
      </c>
      <c r="K34" t="s">
        <v>17</v>
      </c>
      <c r="N34" s="24" t="s">
        <v>148</v>
      </c>
      <c r="O34" s="6">
        <v>89.5</v>
      </c>
      <c r="P34" s="6">
        <v>89.5</v>
      </c>
    </row>
    <row r="35" spans="1:16" hidden="1" x14ac:dyDescent="0.25">
      <c r="A35" s="1">
        <v>44571</v>
      </c>
      <c r="B35" t="s">
        <v>45</v>
      </c>
      <c r="C35" t="s">
        <v>46</v>
      </c>
      <c r="D35" t="s">
        <v>47</v>
      </c>
      <c r="E35" t="s">
        <v>14</v>
      </c>
      <c r="F35" t="s">
        <v>40</v>
      </c>
      <c r="G35" t="s">
        <v>22</v>
      </c>
      <c r="H35">
        <v>4</v>
      </c>
      <c r="I35">
        <v>56.4</v>
      </c>
      <c r="J35">
        <v>225.6</v>
      </c>
      <c r="K35" t="s">
        <v>17</v>
      </c>
      <c r="N35" s="24" t="s">
        <v>149</v>
      </c>
      <c r="O35" s="6">
        <v>986.64</v>
      </c>
      <c r="P35" s="6">
        <v>986.64</v>
      </c>
    </row>
    <row r="36" spans="1:16" x14ac:dyDescent="0.25">
      <c r="A36" s="1">
        <v>44750</v>
      </c>
      <c r="B36" t="s">
        <v>18</v>
      </c>
      <c r="C36" t="s">
        <v>19</v>
      </c>
      <c r="D36" t="s">
        <v>20</v>
      </c>
      <c r="E36" t="s">
        <v>30</v>
      </c>
      <c r="F36" t="s">
        <v>40</v>
      </c>
      <c r="G36" t="s">
        <v>27</v>
      </c>
      <c r="H36">
        <v>3</v>
      </c>
      <c r="I36">
        <v>239.55</v>
      </c>
      <c r="J36">
        <v>718.65</v>
      </c>
      <c r="K36" t="s">
        <v>17</v>
      </c>
      <c r="N36" s="24" t="s">
        <v>150</v>
      </c>
      <c r="O36" s="6">
        <v>314.24</v>
      </c>
      <c r="P36" s="6">
        <v>314.24</v>
      </c>
    </row>
    <row r="37" spans="1:16" x14ac:dyDescent="0.25">
      <c r="A37" s="1">
        <v>44793</v>
      </c>
      <c r="B37" t="s">
        <v>31</v>
      </c>
      <c r="C37" t="s">
        <v>19</v>
      </c>
      <c r="D37" t="s">
        <v>25</v>
      </c>
      <c r="E37" t="s">
        <v>14</v>
      </c>
      <c r="F37" t="s">
        <v>15</v>
      </c>
      <c r="G37" t="s">
        <v>27</v>
      </c>
      <c r="H37">
        <v>2</v>
      </c>
      <c r="I37">
        <v>94.62</v>
      </c>
      <c r="J37">
        <v>189.24</v>
      </c>
      <c r="K37" t="s">
        <v>23</v>
      </c>
      <c r="N37" s="24" t="s">
        <v>151</v>
      </c>
      <c r="O37" s="6">
        <v>1466.05</v>
      </c>
      <c r="P37" s="6">
        <v>1466.05</v>
      </c>
    </row>
    <row r="38" spans="1:16" x14ac:dyDescent="0.25">
      <c r="A38" s="1">
        <v>44766</v>
      </c>
      <c r="B38" t="s">
        <v>11</v>
      </c>
      <c r="C38" t="s">
        <v>12</v>
      </c>
      <c r="D38" t="s">
        <v>13</v>
      </c>
      <c r="E38" t="s">
        <v>14</v>
      </c>
      <c r="F38" t="s">
        <v>15</v>
      </c>
      <c r="G38" t="s">
        <v>27</v>
      </c>
      <c r="H38">
        <v>4</v>
      </c>
      <c r="I38">
        <v>57.22</v>
      </c>
      <c r="J38">
        <v>228.88</v>
      </c>
      <c r="K38" t="s">
        <v>23</v>
      </c>
      <c r="N38" s="24" t="s">
        <v>152</v>
      </c>
      <c r="O38" s="6">
        <v>471.25</v>
      </c>
      <c r="P38" s="6">
        <v>471.25</v>
      </c>
    </row>
    <row r="39" spans="1:16" x14ac:dyDescent="0.25">
      <c r="A39" s="1">
        <v>44756</v>
      </c>
      <c r="B39" t="s">
        <v>24</v>
      </c>
      <c r="C39" t="s">
        <v>19</v>
      </c>
      <c r="D39" t="s">
        <v>25</v>
      </c>
      <c r="E39" t="s">
        <v>30</v>
      </c>
      <c r="F39" t="s">
        <v>15</v>
      </c>
      <c r="G39" t="s">
        <v>27</v>
      </c>
      <c r="H39">
        <v>1</v>
      </c>
      <c r="I39">
        <v>170.86</v>
      </c>
      <c r="J39">
        <v>170.86</v>
      </c>
      <c r="K39" t="s">
        <v>36</v>
      </c>
      <c r="N39" s="24" t="s">
        <v>153</v>
      </c>
      <c r="O39" s="6">
        <v>813</v>
      </c>
      <c r="P39" s="6">
        <v>813</v>
      </c>
    </row>
    <row r="40" spans="1:16" x14ac:dyDescent="0.25">
      <c r="A40" s="1">
        <v>44603</v>
      </c>
      <c r="B40" t="s">
        <v>44</v>
      </c>
      <c r="C40" t="s">
        <v>19</v>
      </c>
      <c r="D40" t="s">
        <v>20</v>
      </c>
      <c r="E40" t="s">
        <v>30</v>
      </c>
      <c r="F40" t="s">
        <v>21</v>
      </c>
      <c r="G40" t="s">
        <v>33</v>
      </c>
      <c r="H40">
        <v>3</v>
      </c>
      <c r="I40">
        <v>105.79</v>
      </c>
      <c r="J40">
        <v>317.37</v>
      </c>
      <c r="K40" t="s">
        <v>36</v>
      </c>
      <c r="N40" s="24" t="s">
        <v>154</v>
      </c>
      <c r="O40" s="6">
        <v>376.8</v>
      </c>
      <c r="P40" s="6">
        <v>376.8</v>
      </c>
    </row>
    <row r="41" spans="1:16" x14ac:dyDescent="0.25">
      <c r="A41" s="1">
        <v>44707</v>
      </c>
      <c r="B41" t="s">
        <v>44</v>
      </c>
      <c r="C41" t="s">
        <v>19</v>
      </c>
      <c r="D41" t="s">
        <v>20</v>
      </c>
      <c r="E41" t="s">
        <v>30</v>
      </c>
      <c r="F41" t="s">
        <v>21</v>
      </c>
      <c r="G41" t="s">
        <v>33</v>
      </c>
      <c r="H41">
        <v>5</v>
      </c>
      <c r="I41">
        <v>112.95</v>
      </c>
      <c r="J41">
        <v>564.75</v>
      </c>
      <c r="K41" t="s">
        <v>17</v>
      </c>
      <c r="N41" s="24" t="s">
        <v>155</v>
      </c>
      <c r="O41" s="6">
        <v>196.34</v>
      </c>
      <c r="P41" s="6">
        <v>196.34</v>
      </c>
    </row>
    <row r="42" spans="1:16" x14ac:dyDescent="0.25">
      <c r="A42" s="1">
        <v>44793</v>
      </c>
      <c r="B42" t="s">
        <v>37</v>
      </c>
      <c r="C42" t="s">
        <v>29</v>
      </c>
      <c r="D42" t="s">
        <v>38</v>
      </c>
      <c r="E42" t="s">
        <v>14</v>
      </c>
      <c r="F42" t="s">
        <v>15</v>
      </c>
      <c r="G42" t="s">
        <v>22</v>
      </c>
      <c r="H42">
        <v>5</v>
      </c>
      <c r="I42">
        <v>55.8</v>
      </c>
      <c r="J42">
        <v>279</v>
      </c>
      <c r="K42" t="s">
        <v>17</v>
      </c>
      <c r="N42" s="24" t="s">
        <v>156</v>
      </c>
      <c r="O42" s="6">
        <v>67.2</v>
      </c>
      <c r="P42" s="6">
        <v>67.2</v>
      </c>
    </row>
    <row r="43" spans="1:16" x14ac:dyDescent="0.25">
      <c r="A43" s="1">
        <v>44686</v>
      </c>
      <c r="B43" t="s">
        <v>41</v>
      </c>
      <c r="C43" t="s">
        <v>29</v>
      </c>
      <c r="D43" t="s">
        <v>42</v>
      </c>
      <c r="E43" t="s">
        <v>30</v>
      </c>
      <c r="F43" t="s">
        <v>40</v>
      </c>
      <c r="G43" t="s">
        <v>43</v>
      </c>
      <c r="H43">
        <v>1</v>
      </c>
      <c r="I43">
        <v>50.1</v>
      </c>
      <c r="J43">
        <v>50.1</v>
      </c>
      <c r="K43" t="s">
        <v>17</v>
      </c>
      <c r="N43" s="24" t="s">
        <v>157</v>
      </c>
      <c r="O43" s="6">
        <v>685.96</v>
      </c>
      <c r="P43" s="6">
        <v>685.96</v>
      </c>
    </row>
    <row r="44" spans="1:16" x14ac:dyDescent="0.25">
      <c r="A44" s="1">
        <v>44804</v>
      </c>
      <c r="B44" t="s">
        <v>18</v>
      </c>
      <c r="C44" t="s">
        <v>19</v>
      </c>
      <c r="D44" t="s">
        <v>20</v>
      </c>
      <c r="E44" t="s">
        <v>30</v>
      </c>
      <c r="F44" t="s">
        <v>15</v>
      </c>
      <c r="G44" t="s">
        <v>22</v>
      </c>
      <c r="H44">
        <v>1</v>
      </c>
      <c r="I44">
        <v>56.49</v>
      </c>
      <c r="J44">
        <v>56.49</v>
      </c>
      <c r="K44" t="s">
        <v>35</v>
      </c>
      <c r="N44" s="24" t="s">
        <v>91</v>
      </c>
      <c r="O44" s="6">
        <v>1198.92</v>
      </c>
      <c r="P44" s="6">
        <v>1198.92</v>
      </c>
    </row>
    <row r="45" spans="1:16" x14ac:dyDescent="0.25">
      <c r="A45" s="1">
        <v>44672</v>
      </c>
      <c r="B45" t="s">
        <v>37</v>
      </c>
      <c r="C45" t="s">
        <v>29</v>
      </c>
      <c r="D45" t="s">
        <v>38</v>
      </c>
      <c r="E45" t="s">
        <v>30</v>
      </c>
      <c r="F45" t="s">
        <v>40</v>
      </c>
      <c r="G45" t="s">
        <v>33</v>
      </c>
      <c r="H45">
        <v>5</v>
      </c>
      <c r="I45">
        <v>100.65</v>
      </c>
      <c r="J45">
        <v>503.25</v>
      </c>
      <c r="K45" t="s">
        <v>36</v>
      </c>
      <c r="N45" s="24" t="s">
        <v>92</v>
      </c>
      <c r="O45" s="6">
        <v>1126.1600000000001</v>
      </c>
      <c r="P45" s="6">
        <v>1126.1600000000001</v>
      </c>
    </row>
    <row r="46" spans="1:16" x14ac:dyDescent="0.25">
      <c r="A46" s="1">
        <v>44794</v>
      </c>
      <c r="B46" t="s">
        <v>44</v>
      </c>
      <c r="C46" t="s">
        <v>19</v>
      </c>
      <c r="D46" t="s">
        <v>20</v>
      </c>
      <c r="E46" t="s">
        <v>30</v>
      </c>
      <c r="F46" t="s">
        <v>32</v>
      </c>
      <c r="G46" t="s">
        <v>16</v>
      </c>
      <c r="H46">
        <v>2</v>
      </c>
      <c r="I46">
        <v>160.44</v>
      </c>
      <c r="J46">
        <v>320.88</v>
      </c>
      <c r="K46" t="s">
        <v>35</v>
      </c>
      <c r="N46" s="24" t="s">
        <v>158</v>
      </c>
      <c r="O46" s="6">
        <v>875.28</v>
      </c>
      <c r="P46" s="6">
        <v>875.28</v>
      </c>
    </row>
    <row r="47" spans="1:16" hidden="1" x14ac:dyDescent="0.25">
      <c r="A47" s="1">
        <v>44666</v>
      </c>
      <c r="B47" t="s">
        <v>48</v>
      </c>
      <c r="C47" t="s">
        <v>49</v>
      </c>
      <c r="D47" t="s">
        <v>50</v>
      </c>
      <c r="E47" t="s">
        <v>26</v>
      </c>
      <c r="F47" t="s">
        <v>21</v>
      </c>
      <c r="G47" t="s">
        <v>16</v>
      </c>
      <c r="H47">
        <v>4</v>
      </c>
      <c r="I47">
        <v>242.44</v>
      </c>
      <c r="J47">
        <v>969.76</v>
      </c>
      <c r="K47" t="s">
        <v>23</v>
      </c>
      <c r="N47" s="24" t="s">
        <v>159</v>
      </c>
      <c r="O47" s="6">
        <v>59.85</v>
      </c>
      <c r="P47" s="6">
        <v>59.85</v>
      </c>
    </row>
    <row r="48" spans="1:16" x14ac:dyDescent="0.25">
      <c r="A48" s="1">
        <v>44688</v>
      </c>
      <c r="B48" t="s">
        <v>18</v>
      </c>
      <c r="C48" t="s">
        <v>19</v>
      </c>
      <c r="D48" t="s">
        <v>20</v>
      </c>
      <c r="E48" t="s">
        <v>14</v>
      </c>
      <c r="F48" t="s">
        <v>21</v>
      </c>
      <c r="G48" t="s">
        <v>33</v>
      </c>
      <c r="H48">
        <v>2</v>
      </c>
      <c r="I48">
        <v>209.81</v>
      </c>
      <c r="J48">
        <v>419.62</v>
      </c>
      <c r="K48" t="s">
        <v>17</v>
      </c>
      <c r="N48" s="24" t="s">
        <v>93</v>
      </c>
      <c r="O48" s="6">
        <v>201.68</v>
      </c>
      <c r="P48" s="6">
        <v>201.68</v>
      </c>
    </row>
    <row r="49" spans="1:16" x14ac:dyDescent="0.25">
      <c r="A49" s="1">
        <v>44634</v>
      </c>
      <c r="B49" t="s">
        <v>44</v>
      </c>
      <c r="C49" t="s">
        <v>19</v>
      </c>
      <c r="D49" t="s">
        <v>20</v>
      </c>
      <c r="E49" t="s">
        <v>30</v>
      </c>
      <c r="F49" t="s">
        <v>32</v>
      </c>
      <c r="G49" t="s">
        <v>43</v>
      </c>
      <c r="H49">
        <v>4</v>
      </c>
      <c r="I49">
        <v>261.95999999999998</v>
      </c>
      <c r="J49">
        <v>1047.8399999999999</v>
      </c>
      <c r="K49" t="s">
        <v>23</v>
      </c>
      <c r="N49" s="24" t="s">
        <v>160</v>
      </c>
      <c r="O49" s="6">
        <v>356.3</v>
      </c>
      <c r="P49" s="6">
        <v>356.3</v>
      </c>
    </row>
    <row r="50" spans="1:16" x14ac:dyDescent="0.25">
      <c r="A50" s="1">
        <v>44803</v>
      </c>
      <c r="B50" t="s">
        <v>41</v>
      </c>
      <c r="C50" t="s">
        <v>29</v>
      </c>
      <c r="D50" t="s">
        <v>42</v>
      </c>
      <c r="E50" t="s">
        <v>30</v>
      </c>
      <c r="F50" t="s">
        <v>32</v>
      </c>
      <c r="G50" t="s">
        <v>22</v>
      </c>
      <c r="H50">
        <v>3</v>
      </c>
      <c r="I50">
        <v>242.71</v>
      </c>
      <c r="J50">
        <v>728.13</v>
      </c>
      <c r="K50" t="s">
        <v>23</v>
      </c>
      <c r="N50" s="24" t="s">
        <v>161</v>
      </c>
      <c r="O50" s="6">
        <v>809.12</v>
      </c>
      <c r="P50" s="6">
        <v>809.12</v>
      </c>
    </row>
    <row r="51" spans="1:16" x14ac:dyDescent="0.25">
      <c r="A51" s="1">
        <v>44718</v>
      </c>
      <c r="B51" t="s">
        <v>31</v>
      </c>
      <c r="C51" t="s">
        <v>19</v>
      </c>
      <c r="D51" t="s">
        <v>25</v>
      </c>
      <c r="E51" t="s">
        <v>26</v>
      </c>
      <c r="F51" t="s">
        <v>15</v>
      </c>
      <c r="G51" t="s">
        <v>22</v>
      </c>
      <c r="H51">
        <v>5</v>
      </c>
      <c r="I51">
        <v>299.3</v>
      </c>
      <c r="J51">
        <v>1496.5</v>
      </c>
      <c r="K51" t="s">
        <v>17</v>
      </c>
      <c r="N51" s="24" t="s">
        <v>162</v>
      </c>
      <c r="O51" s="6">
        <v>208.47</v>
      </c>
      <c r="P51" s="6">
        <v>208.47</v>
      </c>
    </row>
    <row r="52" spans="1:16" x14ac:dyDescent="0.25">
      <c r="A52" s="1">
        <v>44802</v>
      </c>
      <c r="B52" t="s">
        <v>18</v>
      </c>
      <c r="C52" t="s">
        <v>19</v>
      </c>
      <c r="D52" t="s">
        <v>20</v>
      </c>
      <c r="E52" t="s">
        <v>14</v>
      </c>
      <c r="F52" t="s">
        <v>21</v>
      </c>
      <c r="G52" t="s">
        <v>22</v>
      </c>
      <c r="H52">
        <v>4</v>
      </c>
      <c r="I52">
        <v>162.85</v>
      </c>
      <c r="J52">
        <v>651.4</v>
      </c>
      <c r="K52" t="s">
        <v>35</v>
      </c>
      <c r="N52" s="24" t="s">
        <v>94</v>
      </c>
      <c r="O52" s="6">
        <v>989.63</v>
      </c>
      <c r="P52" s="6">
        <v>989.63</v>
      </c>
    </row>
    <row r="53" spans="1:16" hidden="1" x14ac:dyDescent="0.25">
      <c r="A53" s="1">
        <v>44775</v>
      </c>
      <c r="B53" t="s">
        <v>48</v>
      </c>
      <c r="C53" t="s">
        <v>49</v>
      </c>
      <c r="D53" t="s">
        <v>50</v>
      </c>
      <c r="E53" t="s">
        <v>14</v>
      </c>
      <c r="F53" t="s">
        <v>21</v>
      </c>
      <c r="G53" t="s">
        <v>16</v>
      </c>
      <c r="H53">
        <v>5</v>
      </c>
      <c r="I53">
        <v>215.63</v>
      </c>
      <c r="J53">
        <v>1078.1500000000001</v>
      </c>
      <c r="K53" t="s">
        <v>17</v>
      </c>
      <c r="N53" s="24" t="s">
        <v>95</v>
      </c>
      <c r="O53" s="6">
        <v>889.65</v>
      </c>
      <c r="P53" s="6">
        <v>889.65</v>
      </c>
    </row>
    <row r="54" spans="1:16" x14ac:dyDescent="0.25">
      <c r="A54" s="1">
        <v>44712</v>
      </c>
      <c r="B54" t="s">
        <v>31</v>
      </c>
      <c r="C54" t="s">
        <v>19</v>
      </c>
      <c r="D54" t="s">
        <v>25</v>
      </c>
      <c r="E54" t="s">
        <v>26</v>
      </c>
      <c r="F54" t="s">
        <v>15</v>
      </c>
      <c r="G54" t="s">
        <v>27</v>
      </c>
      <c r="H54">
        <v>1</v>
      </c>
      <c r="I54">
        <v>54.99</v>
      </c>
      <c r="J54">
        <v>54.99</v>
      </c>
      <c r="K54" t="s">
        <v>23</v>
      </c>
      <c r="N54" s="24" t="s">
        <v>96</v>
      </c>
      <c r="O54" s="6">
        <v>997.1</v>
      </c>
      <c r="P54" s="6">
        <v>997.1</v>
      </c>
    </row>
    <row r="55" spans="1:16" x14ac:dyDescent="0.25">
      <c r="A55" s="1">
        <v>44593</v>
      </c>
      <c r="B55" t="s">
        <v>18</v>
      </c>
      <c r="C55" t="s">
        <v>19</v>
      </c>
      <c r="D55" t="s">
        <v>20</v>
      </c>
      <c r="E55" t="s">
        <v>30</v>
      </c>
      <c r="F55" t="s">
        <v>40</v>
      </c>
      <c r="G55" t="s">
        <v>34</v>
      </c>
      <c r="H55">
        <v>4</v>
      </c>
      <c r="I55">
        <v>185.7</v>
      </c>
      <c r="J55">
        <v>742.8</v>
      </c>
      <c r="K55" t="s">
        <v>36</v>
      </c>
      <c r="N55" s="24" t="s">
        <v>97</v>
      </c>
      <c r="O55" s="6">
        <v>81.569999999999993</v>
      </c>
      <c r="P55" s="6">
        <v>81.569999999999993</v>
      </c>
    </row>
    <row r="56" spans="1:16" x14ac:dyDescent="0.25">
      <c r="A56" s="1">
        <v>44660</v>
      </c>
      <c r="B56" t="s">
        <v>28</v>
      </c>
      <c r="C56" t="s">
        <v>29</v>
      </c>
      <c r="D56" t="s">
        <v>25</v>
      </c>
      <c r="E56" t="s">
        <v>14</v>
      </c>
      <c r="F56" t="s">
        <v>21</v>
      </c>
      <c r="G56" t="s">
        <v>39</v>
      </c>
      <c r="H56">
        <v>2</v>
      </c>
      <c r="I56">
        <v>153.75</v>
      </c>
      <c r="J56">
        <v>307.5</v>
      </c>
      <c r="K56" t="s">
        <v>23</v>
      </c>
      <c r="N56" s="24" t="s">
        <v>98</v>
      </c>
      <c r="O56" s="6">
        <v>534.79999999999995</v>
      </c>
      <c r="P56" s="6">
        <v>534.79999999999995</v>
      </c>
    </row>
    <row r="57" spans="1:16" x14ac:dyDescent="0.25">
      <c r="A57" s="1">
        <v>44641</v>
      </c>
      <c r="B57" t="s">
        <v>41</v>
      </c>
      <c r="C57" t="s">
        <v>29</v>
      </c>
      <c r="D57" t="s">
        <v>42</v>
      </c>
      <c r="E57" t="s">
        <v>30</v>
      </c>
      <c r="F57" t="s">
        <v>15</v>
      </c>
      <c r="G57" t="s">
        <v>33</v>
      </c>
      <c r="H57">
        <v>5</v>
      </c>
      <c r="I57">
        <v>235.5</v>
      </c>
      <c r="J57">
        <v>1177.5</v>
      </c>
      <c r="K57" t="s">
        <v>36</v>
      </c>
      <c r="N57" s="24" t="s">
        <v>163</v>
      </c>
      <c r="O57" s="6">
        <v>1596.0499999999997</v>
      </c>
      <c r="P57" s="6">
        <v>1596.0499999999997</v>
      </c>
    </row>
    <row r="58" spans="1:16" x14ac:dyDescent="0.25">
      <c r="A58" s="1">
        <v>44765</v>
      </c>
      <c r="B58" t="s">
        <v>41</v>
      </c>
      <c r="C58" t="s">
        <v>29</v>
      </c>
      <c r="D58" t="s">
        <v>42</v>
      </c>
      <c r="E58" t="s">
        <v>26</v>
      </c>
      <c r="F58" t="s">
        <v>32</v>
      </c>
      <c r="G58" t="s">
        <v>39</v>
      </c>
      <c r="H58">
        <v>3</v>
      </c>
      <c r="I58">
        <v>239.76</v>
      </c>
      <c r="J58">
        <v>719.28</v>
      </c>
      <c r="K58" t="s">
        <v>17</v>
      </c>
      <c r="N58" s="24" t="s">
        <v>164</v>
      </c>
      <c r="O58" s="6">
        <v>1313.4</v>
      </c>
      <c r="P58" s="6">
        <v>1313.4</v>
      </c>
    </row>
    <row r="59" spans="1:16" x14ac:dyDescent="0.25">
      <c r="A59" s="1">
        <v>44599</v>
      </c>
      <c r="B59" t="s">
        <v>37</v>
      </c>
      <c r="C59" t="s">
        <v>29</v>
      </c>
      <c r="D59" t="s">
        <v>38</v>
      </c>
      <c r="E59" t="s">
        <v>30</v>
      </c>
      <c r="F59" t="s">
        <v>32</v>
      </c>
      <c r="G59" t="s">
        <v>22</v>
      </c>
      <c r="H59">
        <v>4</v>
      </c>
      <c r="I59">
        <v>213.82</v>
      </c>
      <c r="J59">
        <v>855.28</v>
      </c>
      <c r="K59" t="s">
        <v>17</v>
      </c>
      <c r="N59" s="24" t="s">
        <v>99</v>
      </c>
      <c r="O59" s="6">
        <v>160.66</v>
      </c>
      <c r="P59" s="6">
        <v>160.66</v>
      </c>
    </row>
    <row r="60" spans="1:16" x14ac:dyDescent="0.25">
      <c r="A60" s="1">
        <v>44678</v>
      </c>
      <c r="B60" t="s">
        <v>18</v>
      </c>
      <c r="C60" t="s">
        <v>19</v>
      </c>
      <c r="D60" t="s">
        <v>20</v>
      </c>
      <c r="E60" t="s">
        <v>26</v>
      </c>
      <c r="F60" t="s">
        <v>32</v>
      </c>
      <c r="G60" t="s">
        <v>16</v>
      </c>
      <c r="H60">
        <v>1</v>
      </c>
      <c r="I60">
        <v>67.2</v>
      </c>
      <c r="J60">
        <v>67.2</v>
      </c>
      <c r="K60" t="s">
        <v>36</v>
      </c>
      <c r="N60" s="24" t="s">
        <v>165</v>
      </c>
      <c r="O60" s="6">
        <v>485.68</v>
      </c>
      <c r="P60" s="6">
        <v>485.68</v>
      </c>
    </row>
    <row r="61" spans="1:16" hidden="1" x14ac:dyDescent="0.25">
      <c r="A61" s="1">
        <v>44627</v>
      </c>
      <c r="B61" t="s">
        <v>45</v>
      </c>
      <c r="C61" t="s">
        <v>46</v>
      </c>
      <c r="D61" t="s">
        <v>47</v>
      </c>
      <c r="E61" t="s">
        <v>30</v>
      </c>
      <c r="F61" t="s">
        <v>40</v>
      </c>
      <c r="G61" t="s">
        <v>16</v>
      </c>
      <c r="H61">
        <v>4</v>
      </c>
      <c r="I61">
        <v>207.05</v>
      </c>
      <c r="J61">
        <v>828.2</v>
      </c>
      <c r="K61" t="s">
        <v>35</v>
      </c>
      <c r="N61" s="24" t="s">
        <v>100</v>
      </c>
      <c r="O61" s="6">
        <v>629.07000000000005</v>
      </c>
      <c r="P61" s="6">
        <v>629.07000000000005</v>
      </c>
    </row>
    <row r="62" spans="1:16" x14ac:dyDescent="0.25">
      <c r="A62" s="1">
        <v>44686</v>
      </c>
      <c r="B62" t="s">
        <v>28</v>
      </c>
      <c r="C62" t="s">
        <v>29</v>
      </c>
      <c r="D62" t="s">
        <v>25</v>
      </c>
      <c r="E62" t="s">
        <v>14</v>
      </c>
      <c r="F62" t="s">
        <v>40</v>
      </c>
      <c r="G62" t="s">
        <v>16</v>
      </c>
      <c r="H62">
        <v>3</v>
      </c>
      <c r="I62">
        <v>257.92</v>
      </c>
      <c r="J62">
        <v>773.76</v>
      </c>
      <c r="K62" t="s">
        <v>36</v>
      </c>
      <c r="N62" s="24" t="s">
        <v>101</v>
      </c>
      <c r="O62" s="6">
        <v>382.08</v>
      </c>
      <c r="P62" s="6">
        <v>382.08</v>
      </c>
    </row>
    <row r="63" spans="1:16" x14ac:dyDescent="0.25">
      <c r="A63" s="1">
        <v>44730</v>
      </c>
      <c r="B63" t="s">
        <v>18</v>
      </c>
      <c r="C63" t="s">
        <v>19</v>
      </c>
      <c r="D63" t="s">
        <v>20</v>
      </c>
      <c r="E63" t="s">
        <v>26</v>
      </c>
      <c r="F63" t="s">
        <v>15</v>
      </c>
      <c r="G63" t="s">
        <v>39</v>
      </c>
      <c r="H63">
        <v>1</v>
      </c>
      <c r="I63">
        <v>122.32</v>
      </c>
      <c r="J63">
        <v>122.32</v>
      </c>
      <c r="K63" t="s">
        <v>23</v>
      </c>
      <c r="N63" s="24" t="s">
        <v>102</v>
      </c>
      <c r="O63" s="6">
        <v>1021.75</v>
      </c>
      <c r="P63" s="6">
        <v>1021.75</v>
      </c>
    </row>
    <row r="64" spans="1:16" x14ac:dyDescent="0.25">
      <c r="A64" s="1">
        <v>44707</v>
      </c>
      <c r="B64" t="s">
        <v>11</v>
      </c>
      <c r="C64" t="s">
        <v>12</v>
      </c>
      <c r="D64" t="s">
        <v>13</v>
      </c>
      <c r="E64" t="s">
        <v>14</v>
      </c>
      <c r="F64" t="s">
        <v>32</v>
      </c>
      <c r="G64" t="s">
        <v>22</v>
      </c>
      <c r="H64">
        <v>1</v>
      </c>
      <c r="I64">
        <v>203.63</v>
      </c>
      <c r="J64">
        <v>203.63</v>
      </c>
      <c r="K64" t="s">
        <v>23</v>
      </c>
      <c r="N64" s="24" t="s">
        <v>103</v>
      </c>
      <c r="O64" s="6">
        <v>1173.32</v>
      </c>
      <c r="P64" s="6">
        <v>1173.32</v>
      </c>
    </row>
    <row r="65" spans="1:16" x14ac:dyDescent="0.25">
      <c r="A65" s="1">
        <v>44709</v>
      </c>
      <c r="B65" t="s">
        <v>31</v>
      </c>
      <c r="C65" t="s">
        <v>19</v>
      </c>
      <c r="D65" t="s">
        <v>25</v>
      </c>
      <c r="E65" t="s">
        <v>30</v>
      </c>
      <c r="F65" t="s">
        <v>40</v>
      </c>
      <c r="G65" t="s">
        <v>39</v>
      </c>
      <c r="H65">
        <v>3</v>
      </c>
      <c r="I65">
        <v>278.14999999999998</v>
      </c>
      <c r="J65">
        <v>834.45</v>
      </c>
      <c r="K65" t="s">
        <v>36</v>
      </c>
      <c r="N65" s="24" t="s">
        <v>104</v>
      </c>
      <c r="O65" s="6">
        <v>583.55999999999995</v>
      </c>
      <c r="P65" s="6">
        <v>583.55999999999995</v>
      </c>
    </row>
    <row r="66" spans="1:16" x14ac:dyDescent="0.25">
      <c r="A66" s="1">
        <v>44745</v>
      </c>
      <c r="B66" t="s">
        <v>28</v>
      </c>
      <c r="C66" t="s">
        <v>29</v>
      </c>
      <c r="D66" t="s">
        <v>25</v>
      </c>
      <c r="E66" t="s">
        <v>30</v>
      </c>
      <c r="F66" t="s">
        <v>40</v>
      </c>
      <c r="G66" t="s">
        <v>27</v>
      </c>
      <c r="H66">
        <v>3</v>
      </c>
      <c r="I66">
        <v>129.78</v>
      </c>
      <c r="J66">
        <v>389.34</v>
      </c>
      <c r="K66" t="s">
        <v>17</v>
      </c>
      <c r="N66" s="24" t="s">
        <v>105</v>
      </c>
      <c r="O66" s="6">
        <v>245.48</v>
      </c>
      <c r="P66" s="6">
        <v>245.48</v>
      </c>
    </row>
    <row r="67" spans="1:16" x14ac:dyDescent="0.25">
      <c r="A67" s="1">
        <v>44717</v>
      </c>
      <c r="B67" t="s">
        <v>31</v>
      </c>
      <c r="C67" t="s">
        <v>19</v>
      </c>
      <c r="D67" t="s">
        <v>25</v>
      </c>
      <c r="E67" t="s">
        <v>30</v>
      </c>
      <c r="F67" t="s">
        <v>32</v>
      </c>
      <c r="G67" t="s">
        <v>33</v>
      </c>
      <c r="H67">
        <v>5</v>
      </c>
      <c r="I67">
        <v>199.42</v>
      </c>
      <c r="J67">
        <v>997.1</v>
      </c>
      <c r="K67" t="s">
        <v>23</v>
      </c>
      <c r="N67" s="24" t="s">
        <v>106</v>
      </c>
      <c r="O67" s="6">
        <v>950.15</v>
      </c>
      <c r="P67" s="6">
        <v>950.15</v>
      </c>
    </row>
    <row r="68" spans="1:16" x14ac:dyDescent="0.25">
      <c r="A68" s="1">
        <v>44738</v>
      </c>
      <c r="B68" t="s">
        <v>44</v>
      </c>
      <c r="C68" t="s">
        <v>19</v>
      </c>
      <c r="D68" t="s">
        <v>20</v>
      </c>
      <c r="E68" t="s">
        <v>30</v>
      </c>
      <c r="F68" t="s">
        <v>15</v>
      </c>
      <c r="G68" t="s">
        <v>16</v>
      </c>
      <c r="H68">
        <v>5</v>
      </c>
      <c r="I68">
        <v>98.23</v>
      </c>
      <c r="J68">
        <v>491.15</v>
      </c>
      <c r="K68" t="s">
        <v>23</v>
      </c>
      <c r="N68" s="24" t="s">
        <v>107</v>
      </c>
      <c r="O68" s="6">
        <v>224.83</v>
      </c>
      <c r="P68" s="6">
        <v>224.83</v>
      </c>
    </row>
    <row r="69" spans="1:16" x14ac:dyDescent="0.25">
      <c r="A69" s="1">
        <v>44688</v>
      </c>
      <c r="B69" t="s">
        <v>24</v>
      </c>
      <c r="C69" t="s">
        <v>19</v>
      </c>
      <c r="D69" t="s">
        <v>25</v>
      </c>
      <c r="E69" t="s">
        <v>14</v>
      </c>
      <c r="F69" t="s">
        <v>21</v>
      </c>
      <c r="G69" t="s">
        <v>33</v>
      </c>
      <c r="H69">
        <v>1</v>
      </c>
      <c r="I69">
        <v>114.47</v>
      </c>
      <c r="J69">
        <v>114.47</v>
      </c>
      <c r="K69" t="s">
        <v>36</v>
      </c>
      <c r="N69" s="24" t="s">
        <v>108</v>
      </c>
      <c r="O69" s="6">
        <v>355.11</v>
      </c>
      <c r="P69" s="6">
        <v>355.11</v>
      </c>
    </row>
    <row r="70" spans="1:16" hidden="1" x14ac:dyDescent="0.25">
      <c r="A70" s="1">
        <v>44624</v>
      </c>
      <c r="B70" t="s">
        <v>48</v>
      </c>
      <c r="C70" t="s">
        <v>49</v>
      </c>
      <c r="D70" t="s">
        <v>50</v>
      </c>
      <c r="E70" t="s">
        <v>26</v>
      </c>
      <c r="F70" t="s">
        <v>21</v>
      </c>
      <c r="G70" t="s">
        <v>16</v>
      </c>
      <c r="H70">
        <v>5</v>
      </c>
      <c r="I70">
        <v>224.71</v>
      </c>
      <c r="J70">
        <v>1123.55</v>
      </c>
      <c r="K70" t="s">
        <v>35</v>
      </c>
      <c r="N70" s="24" t="s">
        <v>109</v>
      </c>
      <c r="O70" s="6">
        <v>1255.3</v>
      </c>
      <c r="P70" s="6">
        <v>1255.3</v>
      </c>
    </row>
    <row r="71" spans="1:16" x14ac:dyDescent="0.25">
      <c r="A71" s="1">
        <v>44590</v>
      </c>
      <c r="B71" t="s">
        <v>31</v>
      </c>
      <c r="C71" t="s">
        <v>19</v>
      </c>
      <c r="D71" t="s">
        <v>25</v>
      </c>
      <c r="E71" t="s">
        <v>14</v>
      </c>
      <c r="F71" t="s">
        <v>15</v>
      </c>
      <c r="G71" t="s">
        <v>43</v>
      </c>
      <c r="H71">
        <v>3</v>
      </c>
      <c r="I71">
        <v>104.04</v>
      </c>
      <c r="J71">
        <v>312.12</v>
      </c>
      <c r="K71" t="s">
        <v>23</v>
      </c>
      <c r="N71" s="24" t="s">
        <v>166</v>
      </c>
      <c r="O71" s="6">
        <v>602.75</v>
      </c>
      <c r="P71" s="6">
        <v>602.75</v>
      </c>
    </row>
    <row r="72" spans="1:16" hidden="1" x14ac:dyDescent="0.25">
      <c r="A72" s="1">
        <v>44622</v>
      </c>
      <c r="B72" t="s">
        <v>48</v>
      </c>
      <c r="C72" t="s">
        <v>49</v>
      </c>
      <c r="D72" t="s">
        <v>50</v>
      </c>
      <c r="E72" t="s">
        <v>30</v>
      </c>
      <c r="F72" t="s">
        <v>40</v>
      </c>
      <c r="G72" t="s">
        <v>34</v>
      </c>
      <c r="H72">
        <v>5</v>
      </c>
      <c r="I72">
        <v>140.26</v>
      </c>
      <c r="J72">
        <v>701.3</v>
      </c>
      <c r="K72" t="s">
        <v>17</v>
      </c>
      <c r="N72" s="24" t="s">
        <v>110</v>
      </c>
      <c r="O72" s="6">
        <v>209.13</v>
      </c>
      <c r="P72" s="6">
        <v>209.13</v>
      </c>
    </row>
    <row r="73" spans="1:16" x14ac:dyDescent="0.25">
      <c r="A73" s="1">
        <v>44713</v>
      </c>
      <c r="B73" t="s">
        <v>44</v>
      </c>
      <c r="C73" t="s">
        <v>19</v>
      </c>
      <c r="D73" t="s">
        <v>20</v>
      </c>
      <c r="E73" t="s">
        <v>30</v>
      </c>
      <c r="F73" t="s">
        <v>21</v>
      </c>
      <c r="G73" t="s">
        <v>34</v>
      </c>
      <c r="H73">
        <v>5</v>
      </c>
      <c r="I73">
        <v>215.38</v>
      </c>
      <c r="J73">
        <v>1076.9000000000001</v>
      </c>
      <c r="K73" t="s">
        <v>17</v>
      </c>
      <c r="N73" s="24" t="s">
        <v>167</v>
      </c>
      <c r="O73" s="6">
        <v>1927.6299999999999</v>
      </c>
      <c r="P73" s="6">
        <v>1927.6299999999999</v>
      </c>
    </row>
    <row r="74" spans="1:16" x14ac:dyDescent="0.25">
      <c r="A74" s="1">
        <v>44696</v>
      </c>
      <c r="B74" t="s">
        <v>18</v>
      </c>
      <c r="C74" t="s">
        <v>19</v>
      </c>
      <c r="D74" t="s">
        <v>20</v>
      </c>
      <c r="E74" t="s">
        <v>26</v>
      </c>
      <c r="F74" t="s">
        <v>15</v>
      </c>
      <c r="G74" t="s">
        <v>33</v>
      </c>
      <c r="H74">
        <v>4</v>
      </c>
      <c r="I74">
        <v>127.55</v>
      </c>
      <c r="J74">
        <v>510.2</v>
      </c>
      <c r="K74" t="s">
        <v>23</v>
      </c>
      <c r="N74" s="24" t="s">
        <v>111</v>
      </c>
      <c r="O74" s="6">
        <v>98.04</v>
      </c>
      <c r="P74" s="6">
        <v>98.04</v>
      </c>
    </row>
    <row r="75" spans="1:16" x14ac:dyDescent="0.25">
      <c r="A75" s="1">
        <v>44803</v>
      </c>
      <c r="B75" t="s">
        <v>31</v>
      </c>
      <c r="C75" t="s">
        <v>19</v>
      </c>
      <c r="D75" t="s">
        <v>25</v>
      </c>
      <c r="E75" t="s">
        <v>26</v>
      </c>
      <c r="F75" t="s">
        <v>15</v>
      </c>
      <c r="G75" t="s">
        <v>34</v>
      </c>
      <c r="H75">
        <v>3</v>
      </c>
      <c r="I75">
        <v>182.2</v>
      </c>
      <c r="J75">
        <v>546.6</v>
      </c>
      <c r="K75" t="s">
        <v>17</v>
      </c>
      <c r="N75" s="24" t="s">
        <v>168</v>
      </c>
      <c r="O75" s="6">
        <v>1295</v>
      </c>
      <c r="P75" s="6">
        <v>1295</v>
      </c>
    </row>
    <row r="76" spans="1:16" x14ac:dyDescent="0.25">
      <c r="A76" s="1">
        <v>44655</v>
      </c>
      <c r="B76" t="s">
        <v>28</v>
      </c>
      <c r="C76" t="s">
        <v>29</v>
      </c>
      <c r="D76" t="s">
        <v>25</v>
      </c>
      <c r="E76" t="s">
        <v>30</v>
      </c>
      <c r="F76" t="s">
        <v>32</v>
      </c>
      <c r="G76" t="s">
        <v>27</v>
      </c>
      <c r="H76">
        <v>4</v>
      </c>
      <c r="I76">
        <v>246.66</v>
      </c>
      <c r="J76">
        <v>986.64</v>
      </c>
      <c r="K76" t="s">
        <v>23</v>
      </c>
      <c r="N76" s="24" t="s">
        <v>112</v>
      </c>
      <c r="O76" s="6">
        <v>404.36</v>
      </c>
      <c r="P76" s="6">
        <v>404.36</v>
      </c>
    </row>
    <row r="77" spans="1:16" x14ac:dyDescent="0.25">
      <c r="A77" s="1">
        <v>44728</v>
      </c>
      <c r="B77" t="s">
        <v>18</v>
      </c>
      <c r="C77" t="s">
        <v>19</v>
      </c>
      <c r="D77" t="s">
        <v>20</v>
      </c>
      <c r="E77" t="s">
        <v>26</v>
      </c>
      <c r="F77" t="s">
        <v>32</v>
      </c>
      <c r="G77" t="s">
        <v>16</v>
      </c>
      <c r="H77">
        <v>5</v>
      </c>
      <c r="I77">
        <v>262.68</v>
      </c>
      <c r="J77">
        <v>1313.4</v>
      </c>
      <c r="K77" t="s">
        <v>36</v>
      </c>
      <c r="N77" s="24" t="s">
        <v>169</v>
      </c>
      <c r="O77" s="6">
        <v>176</v>
      </c>
      <c r="P77" s="6">
        <v>176</v>
      </c>
    </row>
    <row r="78" spans="1:16" x14ac:dyDescent="0.25">
      <c r="A78" s="1">
        <v>44585</v>
      </c>
      <c r="B78" t="s">
        <v>44</v>
      </c>
      <c r="C78" t="s">
        <v>19</v>
      </c>
      <c r="D78" t="s">
        <v>20</v>
      </c>
      <c r="E78" t="s">
        <v>30</v>
      </c>
      <c r="F78" t="s">
        <v>15</v>
      </c>
      <c r="G78" t="s">
        <v>22</v>
      </c>
      <c r="H78">
        <v>3</v>
      </c>
      <c r="I78">
        <v>101.39</v>
      </c>
      <c r="J78">
        <v>304.17</v>
      </c>
      <c r="K78" t="s">
        <v>23</v>
      </c>
      <c r="N78" s="24" t="s">
        <v>170</v>
      </c>
      <c r="O78" s="6">
        <v>385.4</v>
      </c>
      <c r="P78" s="6">
        <v>385.4</v>
      </c>
    </row>
    <row r="79" spans="1:16" x14ac:dyDescent="0.25">
      <c r="A79" s="1">
        <v>44606</v>
      </c>
      <c r="B79" t="s">
        <v>37</v>
      </c>
      <c r="C79" t="s">
        <v>29</v>
      </c>
      <c r="D79" t="s">
        <v>38</v>
      </c>
      <c r="E79" t="s">
        <v>26</v>
      </c>
      <c r="F79" t="s">
        <v>32</v>
      </c>
      <c r="G79" t="s">
        <v>16</v>
      </c>
      <c r="H79">
        <v>1</v>
      </c>
      <c r="I79">
        <v>59.05</v>
      </c>
      <c r="J79">
        <v>59.05</v>
      </c>
      <c r="K79" t="s">
        <v>23</v>
      </c>
      <c r="N79" s="24" t="s">
        <v>113</v>
      </c>
      <c r="O79" s="6">
        <v>351.02</v>
      </c>
      <c r="P79" s="6">
        <v>351.02</v>
      </c>
    </row>
    <row r="80" spans="1:16" x14ac:dyDescent="0.25">
      <c r="A80" s="1">
        <v>44629</v>
      </c>
      <c r="B80" t="s">
        <v>37</v>
      </c>
      <c r="C80" t="s">
        <v>29</v>
      </c>
      <c r="D80" t="s">
        <v>38</v>
      </c>
      <c r="E80" t="s">
        <v>14</v>
      </c>
      <c r="F80" t="s">
        <v>21</v>
      </c>
      <c r="G80" t="s">
        <v>39</v>
      </c>
      <c r="H80">
        <v>1</v>
      </c>
      <c r="I80">
        <v>101.32</v>
      </c>
      <c r="J80">
        <v>101.32</v>
      </c>
      <c r="K80" t="s">
        <v>35</v>
      </c>
      <c r="N80" s="24" t="s">
        <v>114</v>
      </c>
      <c r="O80" s="6">
        <v>157.81</v>
      </c>
      <c r="P80" s="6">
        <v>157.81</v>
      </c>
    </row>
    <row r="81" spans="1:16" x14ac:dyDescent="0.25">
      <c r="A81" s="1">
        <v>44758</v>
      </c>
      <c r="B81" t="s">
        <v>24</v>
      </c>
      <c r="C81" t="s">
        <v>19</v>
      </c>
      <c r="D81" t="s">
        <v>25</v>
      </c>
      <c r="E81" t="s">
        <v>30</v>
      </c>
      <c r="F81" t="s">
        <v>40</v>
      </c>
      <c r="G81" t="s">
        <v>33</v>
      </c>
      <c r="H81">
        <v>4</v>
      </c>
      <c r="I81">
        <v>228.88</v>
      </c>
      <c r="J81">
        <v>915.52</v>
      </c>
      <c r="K81" t="s">
        <v>17</v>
      </c>
      <c r="N81" s="24" t="s">
        <v>171</v>
      </c>
      <c r="O81" s="6">
        <v>739.95</v>
      </c>
      <c r="P81" s="6">
        <v>739.95</v>
      </c>
    </row>
    <row r="82" spans="1:16" x14ac:dyDescent="0.25">
      <c r="A82" s="1">
        <v>44727</v>
      </c>
      <c r="B82" t="s">
        <v>24</v>
      </c>
      <c r="C82" t="s">
        <v>19</v>
      </c>
      <c r="D82" t="s">
        <v>25</v>
      </c>
      <c r="E82" t="s">
        <v>26</v>
      </c>
      <c r="F82" t="s">
        <v>15</v>
      </c>
      <c r="G82" t="s">
        <v>16</v>
      </c>
      <c r="H82">
        <v>4</v>
      </c>
      <c r="I82">
        <v>258.60000000000002</v>
      </c>
      <c r="J82">
        <v>1034.4000000000001</v>
      </c>
      <c r="K82" t="s">
        <v>17</v>
      </c>
      <c r="N82" s="24" t="s">
        <v>115</v>
      </c>
      <c r="O82" s="6">
        <v>1132.78</v>
      </c>
      <c r="P82" s="6">
        <v>1132.78</v>
      </c>
    </row>
    <row r="83" spans="1:16" x14ac:dyDescent="0.25">
      <c r="A83" s="1">
        <v>44611</v>
      </c>
      <c r="B83" t="s">
        <v>44</v>
      </c>
      <c r="C83" t="s">
        <v>19</v>
      </c>
      <c r="D83" t="s">
        <v>20</v>
      </c>
      <c r="E83" t="s">
        <v>14</v>
      </c>
      <c r="F83" t="s">
        <v>21</v>
      </c>
      <c r="G83" t="s">
        <v>33</v>
      </c>
      <c r="H83">
        <v>4</v>
      </c>
      <c r="I83">
        <v>129.94999999999999</v>
      </c>
      <c r="J83">
        <v>519.79999999999995</v>
      </c>
      <c r="K83" t="s">
        <v>23</v>
      </c>
      <c r="N83" s="24" t="s">
        <v>172</v>
      </c>
      <c r="O83" s="6">
        <v>474.2</v>
      </c>
      <c r="P83" s="6">
        <v>474.2</v>
      </c>
    </row>
    <row r="84" spans="1:16" x14ac:dyDescent="0.25">
      <c r="A84" s="1">
        <v>44748</v>
      </c>
      <c r="B84" t="s">
        <v>44</v>
      </c>
      <c r="C84" t="s">
        <v>19</v>
      </c>
      <c r="D84" t="s">
        <v>20</v>
      </c>
      <c r="E84" t="s">
        <v>26</v>
      </c>
      <c r="F84" t="s">
        <v>32</v>
      </c>
      <c r="G84" t="s">
        <v>27</v>
      </c>
      <c r="H84">
        <v>5</v>
      </c>
      <c r="I84">
        <v>190.03</v>
      </c>
      <c r="J84">
        <v>950.15</v>
      </c>
      <c r="K84" t="s">
        <v>23</v>
      </c>
      <c r="N84" s="24" t="s">
        <v>116</v>
      </c>
      <c r="O84" s="6">
        <v>317.39999999999998</v>
      </c>
      <c r="P84" s="6">
        <v>317.39999999999998</v>
      </c>
    </row>
    <row r="85" spans="1:16" hidden="1" x14ac:dyDescent="0.25">
      <c r="A85" s="1">
        <v>44593</v>
      </c>
      <c r="B85" t="s">
        <v>45</v>
      </c>
      <c r="C85" t="s">
        <v>46</v>
      </c>
      <c r="D85" t="s">
        <v>47</v>
      </c>
      <c r="E85" t="s">
        <v>14</v>
      </c>
      <c r="F85" t="s">
        <v>32</v>
      </c>
      <c r="G85" t="s">
        <v>39</v>
      </c>
      <c r="H85">
        <v>1</v>
      </c>
      <c r="I85">
        <v>239.21</v>
      </c>
      <c r="J85">
        <v>239.21</v>
      </c>
      <c r="K85" t="s">
        <v>36</v>
      </c>
      <c r="N85" s="24" t="s">
        <v>173</v>
      </c>
      <c r="O85" s="6">
        <v>464.74</v>
      </c>
      <c r="P85" s="6">
        <v>464.74</v>
      </c>
    </row>
    <row r="86" spans="1:16" x14ac:dyDescent="0.25">
      <c r="A86" s="1">
        <v>44645</v>
      </c>
      <c r="B86" t="s">
        <v>11</v>
      </c>
      <c r="C86" t="s">
        <v>12</v>
      </c>
      <c r="D86" t="s">
        <v>13</v>
      </c>
      <c r="E86" t="s">
        <v>14</v>
      </c>
      <c r="F86" t="s">
        <v>21</v>
      </c>
      <c r="G86" t="s">
        <v>33</v>
      </c>
      <c r="H86">
        <v>1</v>
      </c>
      <c r="I86">
        <v>271.18</v>
      </c>
      <c r="J86">
        <v>271.18</v>
      </c>
      <c r="K86" t="s">
        <v>23</v>
      </c>
      <c r="N86" s="24" t="s">
        <v>117</v>
      </c>
      <c r="O86" s="6">
        <v>728.13</v>
      </c>
      <c r="P86" s="6">
        <v>728.13</v>
      </c>
    </row>
    <row r="87" spans="1:16" hidden="1" x14ac:dyDescent="0.25">
      <c r="A87" s="1">
        <v>44595</v>
      </c>
      <c r="B87" t="s">
        <v>48</v>
      </c>
      <c r="C87" t="s">
        <v>49</v>
      </c>
      <c r="D87" t="s">
        <v>50</v>
      </c>
      <c r="E87" t="s">
        <v>26</v>
      </c>
      <c r="F87" t="s">
        <v>21</v>
      </c>
      <c r="G87" t="s">
        <v>16</v>
      </c>
      <c r="H87">
        <v>5</v>
      </c>
      <c r="I87">
        <v>140.65</v>
      </c>
      <c r="J87">
        <v>703.25</v>
      </c>
      <c r="K87" t="s">
        <v>36</v>
      </c>
      <c r="N87" s="24" t="s">
        <v>55</v>
      </c>
      <c r="O87" s="6">
        <v>49985.909999999996</v>
      </c>
      <c r="P87" s="6">
        <v>49985.909999999996</v>
      </c>
    </row>
    <row r="88" spans="1:16" x14ac:dyDescent="0.25">
      <c r="A88" s="1">
        <v>44742</v>
      </c>
      <c r="B88" t="s">
        <v>11</v>
      </c>
      <c r="C88" t="s">
        <v>12</v>
      </c>
      <c r="D88" t="s">
        <v>13</v>
      </c>
      <c r="E88" t="s">
        <v>14</v>
      </c>
      <c r="F88" t="s">
        <v>21</v>
      </c>
      <c r="G88" t="s">
        <v>34</v>
      </c>
      <c r="H88">
        <v>3</v>
      </c>
      <c r="I88">
        <v>97.21</v>
      </c>
      <c r="J88">
        <v>291.63</v>
      </c>
      <c r="K88" t="s">
        <v>23</v>
      </c>
    </row>
    <row r="89" spans="1:16" x14ac:dyDescent="0.25">
      <c r="A89" s="1">
        <v>44604</v>
      </c>
      <c r="B89" t="s">
        <v>41</v>
      </c>
      <c r="C89" t="s">
        <v>29</v>
      </c>
      <c r="D89" t="s">
        <v>42</v>
      </c>
      <c r="E89" t="s">
        <v>30</v>
      </c>
      <c r="F89" t="s">
        <v>40</v>
      </c>
      <c r="G89" t="s">
        <v>34</v>
      </c>
      <c r="H89">
        <v>5</v>
      </c>
      <c r="I89">
        <v>110.05</v>
      </c>
      <c r="J89">
        <v>550.25</v>
      </c>
      <c r="K89" t="s">
        <v>17</v>
      </c>
    </row>
    <row r="90" spans="1:16" x14ac:dyDescent="0.25">
      <c r="A90" s="1">
        <v>44757</v>
      </c>
      <c r="B90" t="s">
        <v>44</v>
      </c>
      <c r="C90" t="s">
        <v>19</v>
      </c>
      <c r="D90" t="s">
        <v>20</v>
      </c>
      <c r="E90" t="s">
        <v>14</v>
      </c>
      <c r="F90" t="s">
        <v>32</v>
      </c>
      <c r="G90" t="s">
        <v>27</v>
      </c>
      <c r="H90">
        <v>1</v>
      </c>
      <c r="I90">
        <v>209.13</v>
      </c>
      <c r="J90">
        <v>209.13</v>
      </c>
      <c r="K90" t="s">
        <v>23</v>
      </c>
    </row>
    <row r="91" spans="1:16" x14ac:dyDescent="0.25">
      <c r="A91" s="1">
        <v>44598</v>
      </c>
      <c r="B91" t="s">
        <v>24</v>
      </c>
      <c r="C91" t="s">
        <v>19</v>
      </c>
      <c r="D91" t="s">
        <v>25</v>
      </c>
      <c r="E91" t="s">
        <v>26</v>
      </c>
      <c r="F91" t="s">
        <v>40</v>
      </c>
      <c r="G91" t="s">
        <v>33</v>
      </c>
      <c r="H91">
        <v>1</v>
      </c>
      <c r="I91">
        <v>256.81</v>
      </c>
      <c r="J91">
        <v>256.81</v>
      </c>
      <c r="K91" t="s">
        <v>17</v>
      </c>
    </row>
    <row r="92" spans="1:16" x14ac:dyDescent="0.25">
      <c r="A92" s="1">
        <v>44581</v>
      </c>
      <c r="B92" t="s">
        <v>41</v>
      </c>
      <c r="C92" t="s">
        <v>29</v>
      </c>
      <c r="D92" t="s">
        <v>42</v>
      </c>
      <c r="E92" t="s">
        <v>26</v>
      </c>
      <c r="F92" t="s">
        <v>15</v>
      </c>
      <c r="G92" t="s">
        <v>27</v>
      </c>
      <c r="H92">
        <v>2</v>
      </c>
      <c r="I92">
        <v>53.05</v>
      </c>
      <c r="J92">
        <v>106.1</v>
      </c>
      <c r="K92" t="s">
        <v>23</v>
      </c>
    </row>
    <row r="93" spans="1:16" x14ac:dyDescent="0.25">
      <c r="A93" s="1">
        <v>44654</v>
      </c>
      <c r="B93" t="s">
        <v>18</v>
      </c>
      <c r="C93" t="s">
        <v>19</v>
      </c>
      <c r="D93" t="s">
        <v>20</v>
      </c>
      <c r="E93" t="s">
        <v>30</v>
      </c>
      <c r="F93" t="s">
        <v>40</v>
      </c>
      <c r="G93" t="s">
        <v>34</v>
      </c>
      <c r="H93">
        <v>4</v>
      </c>
      <c r="I93">
        <v>127.11</v>
      </c>
      <c r="J93">
        <v>508.44</v>
      </c>
      <c r="K93" t="s">
        <v>23</v>
      </c>
    </row>
    <row r="94" spans="1:16" x14ac:dyDescent="0.25">
      <c r="A94" s="1">
        <v>44744</v>
      </c>
      <c r="B94" t="s">
        <v>28</v>
      </c>
      <c r="C94" t="s">
        <v>29</v>
      </c>
      <c r="D94" t="s">
        <v>25</v>
      </c>
      <c r="E94" t="s">
        <v>26</v>
      </c>
      <c r="F94" t="s">
        <v>40</v>
      </c>
      <c r="G94" t="s">
        <v>16</v>
      </c>
      <c r="H94">
        <v>2</v>
      </c>
      <c r="I94">
        <v>259.45999999999998</v>
      </c>
      <c r="J94">
        <v>518.91999999999996</v>
      </c>
      <c r="K94" t="s">
        <v>36</v>
      </c>
    </row>
    <row r="95" spans="1:16" x14ac:dyDescent="0.25">
      <c r="A95" s="1">
        <v>44632</v>
      </c>
      <c r="B95" t="s">
        <v>37</v>
      </c>
      <c r="C95" t="s">
        <v>29</v>
      </c>
      <c r="D95" t="s">
        <v>38</v>
      </c>
      <c r="E95" t="s">
        <v>14</v>
      </c>
      <c r="F95" t="s">
        <v>32</v>
      </c>
      <c r="G95" t="s">
        <v>34</v>
      </c>
      <c r="H95">
        <v>2</v>
      </c>
      <c r="I95">
        <v>183.29</v>
      </c>
      <c r="J95">
        <v>366.58</v>
      </c>
      <c r="K95" t="s">
        <v>36</v>
      </c>
    </row>
    <row r="96" spans="1:16" x14ac:dyDescent="0.25">
      <c r="A96" s="1">
        <v>44577</v>
      </c>
      <c r="B96" t="s">
        <v>37</v>
      </c>
      <c r="C96" t="s">
        <v>29</v>
      </c>
      <c r="D96" t="s">
        <v>38</v>
      </c>
      <c r="E96" t="s">
        <v>26</v>
      </c>
      <c r="F96" t="s">
        <v>40</v>
      </c>
      <c r="G96" t="s">
        <v>39</v>
      </c>
      <c r="H96">
        <v>2</v>
      </c>
      <c r="I96">
        <v>130.4</v>
      </c>
      <c r="J96">
        <v>260.8</v>
      </c>
      <c r="K96" t="s">
        <v>23</v>
      </c>
    </row>
    <row r="97" spans="1:11" x14ac:dyDescent="0.25">
      <c r="A97" s="1">
        <v>44621</v>
      </c>
      <c r="B97" t="s">
        <v>18</v>
      </c>
      <c r="C97" t="s">
        <v>19</v>
      </c>
      <c r="D97" t="s">
        <v>20</v>
      </c>
      <c r="E97" t="s">
        <v>30</v>
      </c>
      <c r="F97" t="s">
        <v>21</v>
      </c>
      <c r="G97" t="s">
        <v>39</v>
      </c>
      <c r="H97">
        <v>5</v>
      </c>
      <c r="I97">
        <v>112.04</v>
      </c>
      <c r="J97">
        <v>560.20000000000005</v>
      </c>
      <c r="K97" t="s">
        <v>36</v>
      </c>
    </row>
    <row r="98" spans="1:11" hidden="1" x14ac:dyDescent="0.25">
      <c r="A98" s="1">
        <v>44619</v>
      </c>
      <c r="B98" t="s">
        <v>48</v>
      </c>
      <c r="C98" t="s">
        <v>49</v>
      </c>
      <c r="D98" t="s">
        <v>50</v>
      </c>
      <c r="E98" t="s">
        <v>26</v>
      </c>
      <c r="F98" t="s">
        <v>32</v>
      </c>
      <c r="G98" t="s">
        <v>16</v>
      </c>
      <c r="H98">
        <v>5</v>
      </c>
      <c r="I98">
        <v>85.1</v>
      </c>
      <c r="J98">
        <v>425.5</v>
      </c>
      <c r="K98" t="s">
        <v>23</v>
      </c>
    </row>
    <row r="99" spans="1:11" hidden="1" x14ac:dyDescent="0.25">
      <c r="A99" s="1">
        <v>44744</v>
      </c>
      <c r="B99" t="s">
        <v>48</v>
      </c>
      <c r="C99" t="s">
        <v>49</v>
      </c>
      <c r="D99" t="s">
        <v>50</v>
      </c>
      <c r="E99" t="s">
        <v>14</v>
      </c>
      <c r="F99" t="s">
        <v>21</v>
      </c>
      <c r="G99" t="s">
        <v>33</v>
      </c>
      <c r="H99">
        <v>1</v>
      </c>
      <c r="I99">
        <v>180.65</v>
      </c>
      <c r="J99">
        <v>180.65</v>
      </c>
      <c r="K99" t="s">
        <v>23</v>
      </c>
    </row>
    <row r="100" spans="1:11" hidden="1" x14ac:dyDescent="0.25">
      <c r="A100" s="1">
        <v>44600</v>
      </c>
      <c r="B100" t="s">
        <v>45</v>
      </c>
      <c r="C100" t="s">
        <v>46</v>
      </c>
      <c r="D100" t="s">
        <v>47</v>
      </c>
      <c r="E100" t="s">
        <v>26</v>
      </c>
      <c r="F100" t="s">
        <v>32</v>
      </c>
      <c r="G100" t="s">
        <v>34</v>
      </c>
      <c r="H100">
        <v>5</v>
      </c>
      <c r="I100">
        <v>147.13</v>
      </c>
      <c r="J100">
        <v>735.65</v>
      </c>
      <c r="K100" t="s">
        <v>36</v>
      </c>
    </row>
    <row r="101" spans="1:11" hidden="1" x14ac:dyDescent="0.25">
      <c r="A101" s="1">
        <v>44583</v>
      </c>
      <c r="B101" t="s">
        <v>48</v>
      </c>
      <c r="C101" t="s">
        <v>49</v>
      </c>
      <c r="D101" t="s">
        <v>50</v>
      </c>
      <c r="E101" t="s">
        <v>26</v>
      </c>
      <c r="F101" t="s">
        <v>15</v>
      </c>
      <c r="G101" t="s">
        <v>33</v>
      </c>
      <c r="H101">
        <v>3</v>
      </c>
      <c r="I101">
        <v>110.78</v>
      </c>
      <c r="J101">
        <v>332.34</v>
      </c>
      <c r="K101" t="s">
        <v>23</v>
      </c>
    </row>
    <row r="102" spans="1:11" x14ac:dyDescent="0.25">
      <c r="A102" s="1">
        <v>44736</v>
      </c>
      <c r="B102" t="s">
        <v>28</v>
      </c>
      <c r="C102" t="s">
        <v>29</v>
      </c>
      <c r="D102" t="s">
        <v>25</v>
      </c>
      <c r="E102" t="s">
        <v>26</v>
      </c>
      <c r="F102" t="s">
        <v>21</v>
      </c>
      <c r="G102" t="s">
        <v>43</v>
      </c>
      <c r="H102">
        <v>5</v>
      </c>
      <c r="I102">
        <v>58.37</v>
      </c>
      <c r="J102">
        <v>291.85000000000002</v>
      </c>
      <c r="K102" t="s">
        <v>35</v>
      </c>
    </row>
    <row r="103" spans="1:11" x14ac:dyDescent="0.25">
      <c r="A103" s="1">
        <v>44765</v>
      </c>
      <c r="B103" t="s">
        <v>41</v>
      </c>
      <c r="C103" t="s">
        <v>29</v>
      </c>
      <c r="D103" t="s">
        <v>42</v>
      </c>
      <c r="E103" t="s">
        <v>26</v>
      </c>
      <c r="F103" t="s">
        <v>32</v>
      </c>
      <c r="G103" t="s">
        <v>27</v>
      </c>
      <c r="H103">
        <v>5</v>
      </c>
      <c r="I103">
        <v>241.67</v>
      </c>
      <c r="J103">
        <v>1208.3499999999999</v>
      </c>
      <c r="K103" t="s">
        <v>17</v>
      </c>
    </row>
    <row r="104" spans="1:11" x14ac:dyDescent="0.25">
      <c r="A104" s="1">
        <v>44767</v>
      </c>
      <c r="B104" t="s">
        <v>37</v>
      </c>
      <c r="C104" t="s">
        <v>29</v>
      </c>
      <c r="D104" t="s">
        <v>38</v>
      </c>
      <c r="E104" t="s">
        <v>26</v>
      </c>
      <c r="F104" t="s">
        <v>15</v>
      </c>
      <c r="G104" t="s">
        <v>22</v>
      </c>
      <c r="H104">
        <v>2</v>
      </c>
      <c r="I104">
        <v>89.67</v>
      </c>
      <c r="J104">
        <v>179.34</v>
      </c>
      <c r="K104" t="s">
        <v>35</v>
      </c>
    </row>
    <row r="105" spans="1:11" x14ac:dyDescent="0.25">
      <c r="A105" s="1">
        <v>44710</v>
      </c>
      <c r="B105" t="s">
        <v>24</v>
      </c>
      <c r="C105" t="s">
        <v>19</v>
      </c>
      <c r="D105" t="s">
        <v>25</v>
      </c>
      <c r="E105" t="s">
        <v>26</v>
      </c>
      <c r="F105" t="s">
        <v>21</v>
      </c>
      <c r="G105" t="s">
        <v>39</v>
      </c>
      <c r="H105">
        <v>1</v>
      </c>
      <c r="I105">
        <v>132.09</v>
      </c>
      <c r="J105">
        <v>132.09</v>
      </c>
      <c r="K105" t="s">
        <v>35</v>
      </c>
    </row>
    <row r="106" spans="1:11" hidden="1" x14ac:dyDescent="0.25">
      <c r="A106" s="1">
        <v>44777</v>
      </c>
      <c r="B106" t="s">
        <v>45</v>
      </c>
      <c r="C106" t="s">
        <v>46</v>
      </c>
      <c r="D106" t="s">
        <v>47</v>
      </c>
      <c r="E106" t="s">
        <v>26</v>
      </c>
      <c r="F106" t="s">
        <v>32</v>
      </c>
      <c r="G106" t="s">
        <v>16</v>
      </c>
      <c r="H106">
        <v>2</v>
      </c>
      <c r="I106">
        <v>202.18</v>
      </c>
      <c r="J106">
        <v>404.36</v>
      </c>
      <c r="K106" t="s">
        <v>35</v>
      </c>
    </row>
    <row r="107" spans="1:11" x14ac:dyDescent="0.25">
      <c r="A107" s="1">
        <v>44604</v>
      </c>
      <c r="B107" t="s">
        <v>18</v>
      </c>
      <c r="C107" t="s">
        <v>19</v>
      </c>
      <c r="D107" t="s">
        <v>20</v>
      </c>
      <c r="E107" t="s">
        <v>30</v>
      </c>
      <c r="F107" t="s">
        <v>32</v>
      </c>
      <c r="G107" t="s">
        <v>34</v>
      </c>
      <c r="H107">
        <v>3</v>
      </c>
      <c r="I107">
        <v>90.19</v>
      </c>
      <c r="J107">
        <v>270.57</v>
      </c>
      <c r="K107" t="s">
        <v>23</v>
      </c>
    </row>
    <row r="108" spans="1:11" x14ac:dyDescent="0.25">
      <c r="A108" s="1">
        <v>44621</v>
      </c>
      <c r="B108" t="s">
        <v>28</v>
      </c>
      <c r="C108" t="s">
        <v>29</v>
      </c>
      <c r="D108" t="s">
        <v>25</v>
      </c>
      <c r="E108" t="s">
        <v>14</v>
      </c>
      <c r="F108" t="s">
        <v>21</v>
      </c>
      <c r="G108" t="s">
        <v>22</v>
      </c>
      <c r="H108">
        <v>2</v>
      </c>
      <c r="I108">
        <v>179.28</v>
      </c>
      <c r="J108">
        <v>358.56</v>
      </c>
      <c r="K108" t="s">
        <v>23</v>
      </c>
    </row>
    <row r="109" spans="1:11" x14ac:dyDescent="0.25">
      <c r="A109" s="1">
        <v>44643</v>
      </c>
      <c r="B109" t="s">
        <v>28</v>
      </c>
      <c r="C109" t="s">
        <v>29</v>
      </c>
      <c r="D109" t="s">
        <v>25</v>
      </c>
      <c r="E109" t="s">
        <v>30</v>
      </c>
      <c r="F109" t="s">
        <v>40</v>
      </c>
      <c r="G109" t="s">
        <v>22</v>
      </c>
      <c r="H109">
        <v>5</v>
      </c>
      <c r="I109">
        <v>188.61</v>
      </c>
      <c r="J109">
        <v>943.05</v>
      </c>
      <c r="K109" t="s">
        <v>36</v>
      </c>
    </row>
    <row r="110" spans="1:11" x14ac:dyDescent="0.25">
      <c r="A110" s="1">
        <v>44803</v>
      </c>
      <c r="B110" t="s">
        <v>11</v>
      </c>
      <c r="C110" t="s">
        <v>12</v>
      </c>
      <c r="D110" t="s">
        <v>13</v>
      </c>
      <c r="E110" t="s">
        <v>30</v>
      </c>
      <c r="F110" t="s">
        <v>40</v>
      </c>
      <c r="G110" t="s">
        <v>34</v>
      </c>
      <c r="H110">
        <v>2</v>
      </c>
      <c r="I110">
        <v>111.36</v>
      </c>
      <c r="J110">
        <v>222.72</v>
      </c>
      <c r="K110" t="s">
        <v>17</v>
      </c>
    </row>
    <row r="111" spans="1:11" hidden="1" x14ac:dyDescent="0.25">
      <c r="A111" s="1">
        <v>44610</v>
      </c>
      <c r="B111" t="s">
        <v>45</v>
      </c>
      <c r="C111" t="s">
        <v>46</v>
      </c>
      <c r="D111" t="s">
        <v>47</v>
      </c>
      <c r="E111" t="s">
        <v>26</v>
      </c>
      <c r="F111" t="s">
        <v>40</v>
      </c>
      <c r="G111" t="s">
        <v>34</v>
      </c>
      <c r="H111">
        <v>3</v>
      </c>
      <c r="I111">
        <v>53.98</v>
      </c>
      <c r="J111">
        <v>161.94</v>
      </c>
      <c r="K111" t="s">
        <v>23</v>
      </c>
    </row>
    <row r="112" spans="1:11" x14ac:dyDescent="0.25">
      <c r="A112" s="1">
        <v>44709</v>
      </c>
      <c r="B112" t="s">
        <v>37</v>
      </c>
      <c r="C112" t="s">
        <v>29</v>
      </c>
      <c r="D112" t="s">
        <v>38</v>
      </c>
      <c r="E112" t="s">
        <v>14</v>
      </c>
      <c r="F112" t="s">
        <v>21</v>
      </c>
      <c r="G112" t="s">
        <v>39</v>
      </c>
      <c r="H112">
        <v>4</v>
      </c>
      <c r="I112">
        <v>240.64</v>
      </c>
      <c r="J112">
        <v>962.56</v>
      </c>
      <c r="K112" t="s">
        <v>23</v>
      </c>
    </row>
    <row r="113" spans="1:11" x14ac:dyDescent="0.25">
      <c r="A113" s="1">
        <v>44620</v>
      </c>
      <c r="B113" t="s">
        <v>37</v>
      </c>
      <c r="C113" t="s">
        <v>29</v>
      </c>
      <c r="D113" t="s">
        <v>38</v>
      </c>
      <c r="E113" t="s">
        <v>26</v>
      </c>
      <c r="F113" t="s">
        <v>32</v>
      </c>
      <c r="G113" t="s">
        <v>22</v>
      </c>
      <c r="H113">
        <v>5</v>
      </c>
      <c r="I113">
        <v>195.57</v>
      </c>
      <c r="J113">
        <v>977.85</v>
      </c>
      <c r="K113" t="s">
        <v>23</v>
      </c>
    </row>
    <row r="114" spans="1:11" x14ac:dyDescent="0.25">
      <c r="A114" s="1">
        <v>44629</v>
      </c>
      <c r="B114" t="s">
        <v>28</v>
      </c>
      <c r="C114" t="s">
        <v>29</v>
      </c>
      <c r="D114" t="s">
        <v>25</v>
      </c>
      <c r="E114" t="s">
        <v>14</v>
      </c>
      <c r="F114" t="s">
        <v>21</v>
      </c>
      <c r="G114" t="s">
        <v>39</v>
      </c>
      <c r="H114">
        <v>3</v>
      </c>
      <c r="I114">
        <v>224.66</v>
      </c>
      <c r="J114">
        <v>673.98</v>
      </c>
      <c r="K114" t="s">
        <v>23</v>
      </c>
    </row>
    <row r="115" spans="1:11" hidden="1" x14ac:dyDescent="0.25">
      <c r="A115" s="1">
        <v>44679</v>
      </c>
      <c r="B115" t="s">
        <v>48</v>
      </c>
      <c r="C115" t="s">
        <v>49</v>
      </c>
      <c r="D115" t="s">
        <v>50</v>
      </c>
      <c r="E115" t="s">
        <v>26</v>
      </c>
      <c r="F115" t="s">
        <v>40</v>
      </c>
      <c r="G115" t="s">
        <v>39</v>
      </c>
      <c r="H115">
        <v>3</v>
      </c>
      <c r="I115">
        <v>65.2</v>
      </c>
      <c r="J115">
        <v>195.6</v>
      </c>
      <c r="K115" t="s">
        <v>36</v>
      </c>
    </row>
    <row r="116" spans="1:11" x14ac:dyDescent="0.25">
      <c r="A116" s="1">
        <v>44755</v>
      </c>
      <c r="B116" t="s">
        <v>44</v>
      </c>
      <c r="C116" t="s">
        <v>19</v>
      </c>
      <c r="D116" t="s">
        <v>20</v>
      </c>
      <c r="E116" t="s">
        <v>26</v>
      </c>
      <c r="F116" t="s">
        <v>15</v>
      </c>
      <c r="G116" t="s">
        <v>39</v>
      </c>
      <c r="H116">
        <v>4</v>
      </c>
      <c r="I116">
        <v>117.78</v>
      </c>
      <c r="J116">
        <v>471.12</v>
      </c>
      <c r="K116" t="s">
        <v>35</v>
      </c>
    </row>
    <row r="117" spans="1:11" x14ac:dyDescent="0.25">
      <c r="A117" s="1">
        <v>44601</v>
      </c>
      <c r="B117" t="s">
        <v>31</v>
      </c>
      <c r="C117" t="s">
        <v>19</v>
      </c>
      <c r="D117" t="s">
        <v>25</v>
      </c>
      <c r="E117" t="s">
        <v>26</v>
      </c>
      <c r="F117" t="s">
        <v>21</v>
      </c>
      <c r="G117" t="s">
        <v>43</v>
      </c>
      <c r="H117">
        <v>4</v>
      </c>
      <c r="I117">
        <v>214.93</v>
      </c>
      <c r="J117">
        <v>859.72</v>
      </c>
      <c r="K117" t="s">
        <v>17</v>
      </c>
    </row>
    <row r="118" spans="1:11" hidden="1" x14ac:dyDescent="0.25">
      <c r="A118" s="1">
        <v>44789</v>
      </c>
      <c r="B118" t="s">
        <v>48</v>
      </c>
      <c r="C118" t="s">
        <v>49</v>
      </c>
      <c r="D118" t="s">
        <v>50</v>
      </c>
      <c r="E118" t="s">
        <v>14</v>
      </c>
      <c r="F118" t="s">
        <v>15</v>
      </c>
      <c r="G118" t="s">
        <v>16</v>
      </c>
      <c r="H118">
        <v>2</v>
      </c>
      <c r="I118">
        <v>249.49</v>
      </c>
      <c r="J118">
        <v>498.98</v>
      </c>
      <c r="K118" t="s">
        <v>23</v>
      </c>
    </row>
    <row r="119" spans="1:11" x14ac:dyDescent="0.25">
      <c r="A119" s="1">
        <v>44725</v>
      </c>
      <c r="B119" t="s">
        <v>18</v>
      </c>
      <c r="C119" t="s">
        <v>19</v>
      </c>
      <c r="D119" t="s">
        <v>20</v>
      </c>
      <c r="E119" t="s">
        <v>30</v>
      </c>
      <c r="F119" t="s">
        <v>32</v>
      </c>
      <c r="G119" t="s">
        <v>43</v>
      </c>
      <c r="H119">
        <v>4</v>
      </c>
      <c r="I119">
        <v>141.35</v>
      </c>
      <c r="J119">
        <v>565.4</v>
      </c>
      <c r="K119" t="s">
        <v>35</v>
      </c>
    </row>
    <row r="120" spans="1:11" hidden="1" x14ac:dyDescent="0.25">
      <c r="A120" s="1">
        <v>44623</v>
      </c>
      <c r="B120" t="s">
        <v>48</v>
      </c>
      <c r="C120" t="s">
        <v>49</v>
      </c>
      <c r="D120" t="s">
        <v>50</v>
      </c>
      <c r="E120" t="s">
        <v>14</v>
      </c>
      <c r="F120" t="s">
        <v>15</v>
      </c>
      <c r="G120" t="s">
        <v>16</v>
      </c>
      <c r="H120">
        <v>3</v>
      </c>
      <c r="I120">
        <v>264.14</v>
      </c>
      <c r="J120">
        <v>792.42</v>
      </c>
      <c r="K120" t="s">
        <v>17</v>
      </c>
    </row>
    <row r="121" spans="1:11" x14ac:dyDescent="0.25">
      <c r="A121" s="1">
        <v>44564</v>
      </c>
      <c r="B121" t="s">
        <v>11</v>
      </c>
      <c r="C121" t="s">
        <v>12</v>
      </c>
      <c r="D121" t="s">
        <v>13</v>
      </c>
      <c r="E121" t="s">
        <v>14</v>
      </c>
      <c r="F121" t="s">
        <v>32</v>
      </c>
      <c r="G121" t="s">
        <v>34</v>
      </c>
      <c r="H121">
        <v>5</v>
      </c>
      <c r="I121">
        <v>73.58</v>
      </c>
      <c r="J121">
        <v>367.9</v>
      </c>
      <c r="K121" t="s">
        <v>35</v>
      </c>
    </row>
    <row r="122" spans="1:11" x14ac:dyDescent="0.25">
      <c r="A122" s="1">
        <v>44768</v>
      </c>
      <c r="B122" t="s">
        <v>11</v>
      </c>
      <c r="C122" t="s">
        <v>12</v>
      </c>
      <c r="D122" t="s">
        <v>13</v>
      </c>
      <c r="E122" t="s">
        <v>14</v>
      </c>
      <c r="F122" t="s">
        <v>21</v>
      </c>
      <c r="G122" t="s">
        <v>22</v>
      </c>
      <c r="H122">
        <v>1</v>
      </c>
      <c r="I122">
        <v>106.59</v>
      </c>
      <c r="J122">
        <v>106.59</v>
      </c>
      <c r="K122" t="s">
        <v>17</v>
      </c>
    </row>
    <row r="123" spans="1:11" x14ac:dyDescent="0.25">
      <c r="A123" s="1">
        <v>44604</v>
      </c>
      <c r="B123" t="s">
        <v>28</v>
      </c>
      <c r="C123" t="s">
        <v>29</v>
      </c>
      <c r="D123" t="s">
        <v>25</v>
      </c>
      <c r="E123" t="s">
        <v>30</v>
      </c>
      <c r="F123" t="s">
        <v>21</v>
      </c>
      <c r="G123" t="s">
        <v>39</v>
      </c>
      <c r="H123">
        <v>3</v>
      </c>
      <c r="I123">
        <v>59.98</v>
      </c>
      <c r="J123">
        <v>179.94</v>
      </c>
      <c r="K123" t="s">
        <v>35</v>
      </c>
    </row>
    <row r="124" spans="1:11" hidden="1" x14ac:dyDescent="0.25">
      <c r="A124" s="1">
        <v>44622</v>
      </c>
      <c r="B124" t="s">
        <v>48</v>
      </c>
      <c r="C124" t="s">
        <v>49</v>
      </c>
      <c r="D124" t="s">
        <v>50</v>
      </c>
      <c r="E124" t="s">
        <v>26</v>
      </c>
      <c r="F124" t="s">
        <v>32</v>
      </c>
      <c r="G124" t="s">
        <v>16</v>
      </c>
      <c r="H124">
        <v>3</v>
      </c>
      <c r="I124">
        <v>87.81</v>
      </c>
      <c r="J124">
        <v>263.43</v>
      </c>
      <c r="K124" t="s">
        <v>17</v>
      </c>
    </row>
    <row r="125" spans="1:11" x14ac:dyDescent="0.25">
      <c r="A125" s="1">
        <v>44657</v>
      </c>
      <c r="B125" t="s">
        <v>28</v>
      </c>
      <c r="C125" t="s">
        <v>29</v>
      </c>
      <c r="D125" t="s">
        <v>25</v>
      </c>
      <c r="E125" t="s">
        <v>30</v>
      </c>
      <c r="F125" t="s">
        <v>40</v>
      </c>
      <c r="G125" t="s">
        <v>16</v>
      </c>
      <c r="H125">
        <v>2</v>
      </c>
      <c r="I125">
        <v>283.60000000000002</v>
      </c>
      <c r="J125">
        <v>567.20000000000005</v>
      </c>
      <c r="K125" t="s">
        <v>35</v>
      </c>
    </row>
    <row r="126" spans="1:11" hidden="1" x14ac:dyDescent="0.25">
      <c r="A126" s="1">
        <v>44784</v>
      </c>
      <c r="B126" t="s">
        <v>48</v>
      </c>
      <c r="C126" t="s">
        <v>49</v>
      </c>
      <c r="D126" t="s">
        <v>50</v>
      </c>
      <c r="E126" t="s">
        <v>30</v>
      </c>
      <c r="F126" t="s">
        <v>15</v>
      </c>
      <c r="G126" t="s">
        <v>16</v>
      </c>
      <c r="H126">
        <v>2</v>
      </c>
      <c r="I126">
        <v>194.31</v>
      </c>
      <c r="J126">
        <v>388.62</v>
      </c>
      <c r="K126" t="s">
        <v>35</v>
      </c>
    </row>
    <row r="127" spans="1:11" x14ac:dyDescent="0.25">
      <c r="A127" s="1">
        <v>44735</v>
      </c>
      <c r="B127" t="s">
        <v>41</v>
      </c>
      <c r="C127" t="s">
        <v>29</v>
      </c>
      <c r="D127" t="s">
        <v>42</v>
      </c>
      <c r="E127" t="s">
        <v>14</v>
      </c>
      <c r="F127" t="s">
        <v>15</v>
      </c>
      <c r="G127" t="s">
        <v>16</v>
      </c>
      <c r="H127">
        <v>4</v>
      </c>
      <c r="I127">
        <v>199.68</v>
      </c>
      <c r="J127">
        <v>798.72</v>
      </c>
      <c r="K127" t="s">
        <v>36</v>
      </c>
    </row>
    <row r="128" spans="1:11" x14ac:dyDescent="0.25">
      <c r="A128" s="1">
        <v>44659</v>
      </c>
      <c r="B128" t="s">
        <v>11</v>
      </c>
      <c r="C128" t="s">
        <v>12</v>
      </c>
      <c r="D128" t="s">
        <v>13</v>
      </c>
      <c r="E128" t="s">
        <v>26</v>
      </c>
      <c r="F128" t="s">
        <v>40</v>
      </c>
      <c r="G128" t="s">
        <v>16</v>
      </c>
      <c r="H128">
        <v>5</v>
      </c>
      <c r="I128">
        <v>145.47</v>
      </c>
      <c r="J128">
        <v>727.35</v>
      </c>
      <c r="K128" t="s">
        <v>17</v>
      </c>
    </row>
    <row r="129" spans="1:11" x14ac:dyDescent="0.25">
      <c r="A129" s="1">
        <v>44592</v>
      </c>
      <c r="B129" t="s">
        <v>41</v>
      </c>
      <c r="C129" t="s">
        <v>29</v>
      </c>
      <c r="D129" t="s">
        <v>42</v>
      </c>
      <c r="E129" t="s">
        <v>26</v>
      </c>
      <c r="F129" t="s">
        <v>15</v>
      </c>
      <c r="G129" t="s">
        <v>33</v>
      </c>
      <c r="H129">
        <v>1</v>
      </c>
      <c r="I129">
        <v>141.11000000000001</v>
      </c>
      <c r="J129">
        <v>141.11000000000001</v>
      </c>
      <c r="K129" t="s">
        <v>35</v>
      </c>
    </row>
    <row r="130" spans="1:11" x14ac:dyDescent="0.25">
      <c r="A130" s="1">
        <v>44667</v>
      </c>
      <c r="B130" t="s">
        <v>31</v>
      </c>
      <c r="C130" t="s">
        <v>19</v>
      </c>
      <c r="D130" t="s">
        <v>25</v>
      </c>
      <c r="E130" t="s">
        <v>26</v>
      </c>
      <c r="F130" t="s">
        <v>32</v>
      </c>
      <c r="G130" t="s">
        <v>34</v>
      </c>
      <c r="H130">
        <v>2</v>
      </c>
      <c r="I130">
        <v>188.4</v>
      </c>
      <c r="J130">
        <v>376.8</v>
      </c>
      <c r="K130" t="s">
        <v>17</v>
      </c>
    </row>
    <row r="131" spans="1:11" x14ac:dyDescent="0.25">
      <c r="A131" s="1">
        <v>44650</v>
      </c>
      <c r="B131" t="s">
        <v>41</v>
      </c>
      <c r="C131" t="s">
        <v>29</v>
      </c>
      <c r="D131" t="s">
        <v>42</v>
      </c>
      <c r="E131" t="s">
        <v>30</v>
      </c>
      <c r="F131" t="s">
        <v>15</v>
      </c>
      <c r="G131" t="s">
        <v>27</v>
      </c>
      <c r="H131">
        <v>4</v>
      </c>
      <c r="I131">
        <v>145.28</v>
      </c>
      <c r="J131">
        <v>581.12</v>
      </c>
      <c r="K131" t="s">
        <v>17</v>
      </c>
    </row>
    <row r="132" spans="1:11" x14ac:dyDescent="0.25">
      <c r="A132" s="1">
        <v>44757</v>
      </c>
      <c r="B132" t="s">
        <v>44</v>
      </c>
      <c r="C132" t="s">
        <v>19</v>
      </c>
      <c r="D132" t="s">
        <v>20</v>
      </c>
      <c r="E132" t="s">
        <v>30</v>
      </c>
      <c r="F132" t="s">
        <v>21</v>
      </c>
      <c r="G132" t="s">
        <v>33</v>
      </c>
      <c r="H132">
        <v>2</v>
      </c>
      <c r="I132">
        <v>277.48</v>
      </c>
      <c r="J132">
        <v>554.96</v>
      </c>
      <c r="K132" t="s">
        <v>17</v>
      </c>
    </row>
    <row r="133" spans="1:11" x14ac:dyDescent="0.25">
      <c r="A133" s="1">
        <v>44789</v>
      </c>
      <c r="B133" t="s">
        <v>28</v>
      </c>
      <c r="C133" t="s">
        <v>29</v>
      </c>
      <c r="D133" t="s">
        <v>25</v>
      </c>
      <c r="E133" t="s">
        <v>26</v>
      </c>
      <c r="F133" t="s">
        <v>15</v>
      </c>
      <c r="G133" t="s">
        <v>16</v>
      </c>
      <c r="H133">
        <v>4</v>
      </c>
      <c r="I133">
        <v>153.56</v>
      </c>
      <c r="J133">
        <v>614.24</v>
      </c>
      <c r="K133" t="s">
        <v>36</v>
      </c>
    </row>
    <row r="134" spans="1:11" x14ac:dyDescent="0.25">
      <c r="A134" s="1">
        <v>44635</v>
      </c>
      <c r="B134" t="s">
        <v>11</v>
      </c>
      <c r="C134" t="s">
        <v>12</v>
      </c>
      <c r="D134" t="s">
        <v>13</v>
      </c>
      <c r="E134" t="s">
        <v>30</v>
      </c>
      <c r="F134" t="s">
        <v>32</v>
      </c>
      <c r="G134" t="s">
        <v>16</v>
      </c>
      <c r="H134">
        <v>2</v>
      </c>
      <c r="I134">
        <v>74.83</v>
      </c>
      <c r="J134">
        <v>149.66</v>
      </c>
      <c r="K134" t="s">
        <v>17</v>
      </c>
    </row>
    <row r="135" spans="1:11" x14ac:dyDescent="0.25">
      <c r="A135" s="1">
        <v>44748</v>
      </c>
      <c r="B135" t="s">
        <v>41</v>
      </c>
      <c r="C135" t="s">
        <v>29</v>
      </c>
      <c r="D135" t="s">
        <v>42</v>
      </c>
      <c r="E135" t="s">
        <v>26</v>
      </c>
      <c r="F135" t="s">
        <v>15</v>
      </c>
      <c r="G135" t="s">
        <v>27</v>
      </c>
      <c r="H135">
        <v>1</v>
      </c>
      <c r="I135">
        <v>136.80000000000001</v>
      </c>
      <c r="J135">
        <v>136.80000000000001</v>
      </c>
      <c r="K135" t="s">
        <v>35</v>
      </c>
    </row>
    <row r="136" spans="1:11" x14ac:dyDescent="0.25">
      <c r="A136" s="1">
        <v>44738</v>
      </c>
      <c r="B136" t="s">
        <v>18</v>
      </c>
      <c r="C136" t="s">
        <v>19</v>
      </c>
      <c r="D136" t="s">
        <v>20</v>
      </c>
      <c r="E136" t="s">
        <v>14</v>
      </c>
      <c r="F136" t="s">
        <v>32</v>
      </c>
      <c r="G136" t="s">
        <v>22</v>
      </c>
      <c r="H136">
        <v>3</v>
      </c>
      <c r="I136">
        <v>209.69</v>
      </c>
      <c r="J136">
        <v>629.07000000000005</v>
      </c>
      <c r="K136" t="s">
        <v>36</v>
      </c>
    </row>
    <row r="137" spans="1:11" x14ac:dyDescent="0.25">
      <c r="A137" s="1">
        <v>44638</v>
      </c>
      <c r="B137" t="s">
        <v>41</v>
      </c>
      <c r="C137" t="s">
        <v>29</v>
      </c>
      <c r="D137" t="s">
        <v>42</v>
      </c>
      <c r="E137" t="s">
        <v>30</v>
      </c>
      <c r="F137" t="s">
        <v>32</v>
      </c>
      <c r="G137" t="s">
        <v>43</v>
      </c>
      <c r="H137">
        <v>3</v>
      </c>
      <c r="I137">
        <v>200.87</v>
      </c>
      <c r="J137">
        <v>602.61</v>
      </c>
      <c r="K137" t="s">
        <v>23</v>
      </c>
    </row>
    <row r="138" spans="1:11" hidden="1" x14ac:dyDescent="0.25">
      <c r="A138" s="1">
        <v>44596</v>
      </c>
      <c r="B138" t="s">
        <v>48</v>
      </c>
      <c r="C138" t="s">
        <v>49</v>
      </c>
      <c r="D138" t="s">
        <v>50</v>
      </c>
      <c r="E138" t="s">
        <v>30</v>
      </c>
      <c r="F138" t="s">
        <v>21</v>
      </c>
      <c r="G138" t="s">
        <v>16</v>
      </c>
      <c r="H138">
        <v>1</v>
      </c>
      <c r="I138">
        <v>221.26</v>
      </c>
      <c r="J138">
        <v>221.26</v>
      </c>
      <c r="K138" t="s">
        <v>17</v>
      </c>
    </row>
    <row r="139" spans="1:11" x14ac:dyDescent="0.25">
      <c r="A139" s="1">
        <v>44564</v>
      </c>
      <c r="B139" t="s">
        <v>24</v>
      </c>
      <c r="C139" t="s">
        <v>19</v>
      </c>
      <c r="D139" t="s">
        <v>25</v>
      </c>
      <c r="E139" t="s">
        <v>26</v>
      </c>
      <c r="F139" t="s">
        <v>21</v>
      </c>
      <c r="G139" t="s">
        <v>22</v>
      </c>
      <c r="H139">
        <v>5</v>
      </c>
      <c r="I139">
        <v>176.98</v>
      </c>
      <c r="J139">
        <v>884.9</v>
      </c>
      <c r="K139" t="s">
        <v>17</v>
      </c>
    </row>
    <row r="140" spans="1:11" hidden="1" x14ac:dyDescent="0.25">
      <c r="A140" s="1">
        <v>44779</v>
      </c>
      <c r="B140" t="s">
        <v>45</v>
      </c>
      <c r="C140" t="s">
        <v>46</v>
      </c>
      <c r="D140" t="s">
        <v>47</v>
      </c>
      <c r="E140" t="s">
        <v>30</v>
      </c>
      <c r="F140" t="s">
        <v>32</v>
      </c>
      <c r="G140" t="s">
        <v>34</v>
      </c>
      <c r="H140">
        <v>5</v>
      </c>
      <c r="I140">
        <v>77.08</v>
      </c>
      <c r="J140">
        <v>385.4</v>
      </c>
      <c r="K140" t="s">
        <v>36</v>
      </c>
    </row>
    <row r="141" spans="1:11" x14ac:dyDescent="0.25">
      <c r="A141" s="1">
        <v>44626</v>
      </c>
      <c r="B141" t="s">
        <v>31</v>
      </c>
      <c r="C141" t="s">
        <v>19</v>
      </c>
      <c r="D141" t="s">
        <v>25</v>
      </c>
      <c r="E141" t="s">
        <v>30</v>
      </c>
      <c r="F141" t="s">
        <v>32</v>
      </c>
      <c r="G141" t="s">
        <v>39</v>
      </c>
      <c r="H141">
        <v>4</v>
      </c>
      <c r="I141">
        <v>239.54</v>
      </c>
      <c r="J141">
        <v>958.16</v>
      </c>
      <c r="K141" t="s">
        <v>36</v>
      </c>
    </row>
    <row r="142" spans="1:11" x14ac:dyDescent="0.25">
      <c r="A142" s="1">
        <v>44639</v>
      </c>
      <c r="B142" t="s">
        <v>41</v>
      </c>
      <c r="C142" t="s">
        <v>29</v>
      </c>
      <c r="D142" t="s">
        <v>42</v>
      </c>
      <c r="E142" t="s">
        <v>30</v>
      </c>
      <c r="F142" t="s">
        <v>21</v>
      </c>
      <c r="G142" t="s">
        <v>43</v>
      </c>
      <c r="H142">
        <v>5</v>
      </c>
      <c r="I142">
        <v>179.54</v>
      </c>
      <c r="J142">
        <v>897.7</v>
      </c>
      <c r="K142" t="s">
        <v>35</v>
      </c>
    </row>
    <row r="143" spans="1:11" x14ac:dyDescent="0.25">
      <c r="A143" s="1">
        <v>44656</v>
      </c>
      <c r="B143" t="s">
        <v>37</v>
      </c>
      <c r="C143" t="s">
        <v>29</v>
      </c>
      <c r="D143" t="s">
        <v>38</v>
      </c>
      <c r="E143" t="s">
        <v>26</v>
      </c>
      <c r="F143" t="s">
        <v>21</v>
      </c>
      <c r="G143" t="s">
        <v>39</v>
      </c>
      <c r="H143">
        <v>3</v>
      </c>
      <c r="I143">
        <v>274.23</v>
      </c>
      <c r="J143">
        <v>822.69</v>
      </c>
      <c r="K143" t="s">
        <v>23</v>
      </c>
    </row>
    <row r="144" spans="1:11" x14ac:dyDescent="0.25">
      <c r="A144" s="1">
        <v>44631</v>
      </c>
      <c r="B144" t="s">
        <v>28</v>
      </c>
      <c r="C144" t="s">
        <v>29</v>
      </c>
      <c r="D144" t="s">
        <v>25</v>
      </c>
      <c r="E144" t="s">
        <v>26</v>
      </c>
      <c r="F144" t="s">
        <v>15</v>
      </c>
      <c r="G144" t="s">
        <v>43</v>
      </c>
      <c r="H144">
        <v>5</v>
      </c>
      <c r="I144">
        <v>99.89</v>
      </c>
      <c r="J144">
        <v>499.45</v>
      </c>
      <c r="K144" t="s">
        <v>23</v>
      </c>
    </row>
    <row r="145" spans="1:11" x14ac:dyDescent="0.25">
      <c r="A145" s="1">
        <v>44654</v>
      </c>
      <c r="B145" t="s">
        <v>18</v>
      </c>
      <c r="C145" t="s">
        <v>19</v>
      </c>
      <c r="D145" t="s">
        <v>20</v>
      </c>
      <c r="E145" t="s">
        <v>26</v>
      </c>
      <c r="F145" t="s">
        <v>40</v>
      </c>
      <c r="G145" t="s">
        <v>34</v>
      </c>
      <c r="H145">
        <v>4</v>
      </c>
      <c r="I145">
        <v>148.11000000000001</v>
      </c>
      <c r="J145">
        <v>592.44000000000005</v>
      </c>
      <c r="K145" t="s">
        <v>23</v>
      </c>
    </row>
    <row r="146" spans="1:11" x14ac:dyDescent="0.25">
      <c r="A146" s="1">
        <v>44742</v>
      </c>
      <c r="B146" t="s">
        <v>31</v>
      </c>
      <c r="C146" t="s">
        <v>19</v>
      </c>
      <c r="D146" t="s">
        <v>25</v>
      </c>
      <c r="E146" t="s">
        <v>14</v>
      </c>
      <c r="F146" t="s">
        <v>40</v>
      </c>
      <c r="G146" t="s">
        <v>43</v>
      </c>
      <c r="H146">
        <v>5</v>
      </c>
      <c r="I146">
        <v>81.97</v>
      </c>
      <c r="J146">
        <v>409.85</v>
      </c>
      <c r="K146" t="s">
        <v>23</v>
      </c>
    </row>
    <row r="147" spans="1:11" x14ac:dyDescent="0.25">
      <c r="A147" s="1">
        <v>44570</v>
      </c>
      <c r="B147" t="s">
        <v>18</v>
      </c>
      <c r="C147" t="s">
        <v>19</v>
      </c>
      <c r="D147" t="s">
        <v>20</v>
      </c>
      <c r="E147" t="s">
        <v>26</v>
      </c>
      <c r="F147" t="s">
        <v>15</v>
      </c>
      <c r="G147" t="s">
        <v>43</v>
      </c>
      <c r="H147">
        <v>3</v>
      </c>
      <c r="I147">
        <v>291.29000000000002</v>
      </c>
      <c r="J147">
        <v>873.87</v>
      </c>
      <c r="K147" t="s">
        <v>36</v>
      </c>
    </row>
    <row r="148" spans="1:11" x14ac:dyDescent="0.25">
      <c r="A148" s="1">
        <v>44683</v>
      </c>
      <c r="B148" t="s">
        <v>44</v>
      </c>
      <c r="C148" t="s">
        <v>19</v>
      </c>
      <c r="D148" t="s">
        <v>20</v>
      </c>
      <c r="E148" t="s">
        <v>30</v>
      </c>
      <c r="F148" t="s">
        <v>21</v>
      </c>
      <c r="G148" t="s">
        <v>39</v>
      </c>
      <c r="H148">
        <v>5</v>
      </c>
      <c r="I148">
        <v>138.94999999999999</v>
      </c>
      <c r="J148">
        <v>694.75</v>
      </c>
      <c r="K148" t="s">
        <v>35</v>
      </c>
    </row>
    <row r="149" spans="1:11" x14ac:dyDescent="0.25">
      <c r="A149" s="1">
        <v>44588</v>
      </c>
      <c r="B149" t="s">
        <v>44</v>
      </c>
      <c r="C149" t="s">
        <v>19</v>
      </c>
      <c r="D149" t="s">
        <v>20</v>
      </c>
      <c r="E149" t="s">
        <v>30</v>
      </c>
      <c r="F149" t="s">
        <v>21</v>
      </c>
      <c r="G149" t="s">
        <v>16</v>
      </c>
      <c r="H149">
        <v>4</v>
      </c>
      <c r="I149">
        <v>208.19</v>
      </c>
      <c r="J149">
        <v>832.76</v>
      </c>
      <c r="K149" t="s">
        <v>36</v>
      </c>
    </row>
    <row r="150" spans="1:11" x14ac:dyDescent="0.25">
      <c r="A150" s="1">
        <v>44769</v>
      </c>
      <c r="B150" t="s">
        <v>31</v>
      </c>
      <c r="C150" t="s">
        <v>19</v>
      </c>
      <c r="D150" t="s">
        <v>25</v>
      </c>
      <c r="E150" t="s">
        <v>30</v>
      </c>
      <c r="F150" t="s">
        <v>15</v>
      </c>
      <c r="G150" t="s">
        <v>43</v>
      </c>
      <c r="H150">
        <v>5</v>
      </c>
      <c r="I150">
        <v>291.7</v>
      </c>
      <c r="J150">
        <v>1458.5</v>
      </c>
      <c r="K150" t="s">
        <v>36</v>
      </c>
    </row>
    <row r="151" spans="1:11" x14ac:dyDescent="0.25">
      <c r="A151" s="1">
        <v>44722</v>
      </c>
      <c r="B151" t="s">
        <v>11</v>
      </c>
      <c r="C151" t="s">
        <v>12</v>
      </c>
      <c r="D151" t="s">
        <v>13</v>
      </c>
      <c r="E151" t="s">
        <v>26</v>
      </c>
      <c r="F151" t="s">
        <v>40</v>
      </c>
      <c r="G151" t="s">
        <v>33</v>
      </c>
      <c r="H151">
        <v>3</v>
      </c>
      <c r="I151">
        <v>209.89</v>
      </c>
      <c r="J151">
        <v>629.66999999999996</v>
      </c>
      <c r="K151" t="s">
        <v>35</v>
      </c>
    </row>
    <row r="152" spans="1:11" x14ac:dyDescent="0.25">
      <c r="A152" s="1">
        <v>44685</v>
      </c>
      <c r="B152" t="s">
        <v>31</v>
      </c>
      <c r="C152" t="s">
        <v>19</v>
      </c>
      <c r="D152" t="s">
        <v>25</v>
      </c>
      <c r="E152" t="s">
        <v>14</v>
      </c>
      <c r="F152" t="s">
        <v>32</v>
      </c>
      <c r="G152" t="s">
        <v>16</v>
      </c>
      <c r="H152">
        <v>4</v>
      </c>
      <c r="I152">
        <v>171.49</v>
      </c>
      <c r="J152">
        <v>685.96</v>
      </c>
      <c r="K152" t="s">
        <v>23</v>
      </c>
    </row>
    <row r="153" spans="1:11" x14ac:dyDescent="0.25">
      <c r="A153" s="1">
        <v>44578</v>
      </c>
      <c r="B153" t="s">
        <v>28</v>
      </c>
      <c r="C153" t="s">
        <v>29</v>
      </c>
      <c r="D153" t="s">
        <v>25</v>
      </c>
      <c r="E153" t="s">
        <v>30</v>
      </c>
      <c r="F153" t="s">
        <v>32</v>
      </c>
      <c r="G153" t="s">
        <v>27</v>
      </c>
      <c r="H153">
        <v>3</v>
      </c>
      <c r="I153">
        <v>156.22</v>
      </c>
      <c r="J153">
        <v>468.66</v>
      </c>
      <c r="K153" t="s">
        <v>36</v>
      </c>
    </row>
    <row r="154" spans="1:11" x14ac:dyDescent="0.25">
      <c r="A154" s="1">
        <v>44719</v>
      </c>
      <c r="B154" t="s">
        <v>18</v>
      </c>
      <c r="C154" t="s">
        <v>19</v>
      </c>
      <c r="D154" t="s">
        <v>20</v>
      </c>
      <c r="E154" t="s">
        <v>30</v>
      </c>
      <c r="F154" t="s">
        <v>21</v>
      </c>
      <c r="G154" t="s">
        <v>16</v>
      </c>
      <c r="H154">
        <v>4</v>
      </c>
      <c r="I154">
        <v>158.82</v>
      </c>
      <c r="J154">
        <v>635.28</v>
      </c>
      <c r="K154" t="s">
        <v>35</v>
      </c>
    </row>
    <row r="155" spans="1:11" x14ac:dyDescent="0.25">
      <c r="A155" s="1">
        <v>44754</v>
      </c>
      <c r="B155" t="s">
        <v>37</v>
      </c>
      <c r="C155" t="s">
        <v>29</v>
      </c>
      <c r="D155" t="s">
        <v>38</v>
      </c>
      <c r="E155" t="s">
        <v>30</v>
      </c>
      <c r="F155" t="s">
        <v>40</v>
      </c>
      <c r="G155" t="s">
        <v>34</v>
      </c>
      <c r="H155">
        <v>3</v>
      </c>
      <c r="I155">
        <v>218.91</v>
      </c>
      <c r="J155">
        <v>656.73</v>
      </c>
      <c r="K155" t="s">
        <v>36</v>
      </c>
    </row>
    <row r="156" spans="1:11" x14ac:dyDescent="0.25">
      <c r="A156" s="1">
        <v>44769</v>
      </c>
      <c r="B156" t="s">
        <v>41</v>
      </c>
      <c r="C156" t="s">
        <v>29</v>
      </c>
      <c r="D156" t="s">
        <v>42</v>
      </c>
      <c r="E156" t="s">
        <v>26</v>
      </c>
      <c r="F156" t="s">
        <v>15</v>
      </c>
      <c r="G156" t="s">
        <v>33</v>
      </c>
      <c r="H156">
        <v>5</v>
      </c>
      <c r="I156">
        <v>54.88</v>
      </c>
      <c r="J156">
        <v>274.39999999999998</v>
      </c>
      <c r="K156" t="s">
        <v>36</v>
      </c>
    </row>
    <row r="157" spans="1:11" hidden="1" x14ac:dyDescent="0.25">
      <c r="A157" s="1">
        <v>44689</v>
      </c>
      <c r="B157" t="s">
        <v>45</v>
      </c>
      <c r="C157" t="s">
        <v>46</v>
      </c>
      <c r="D157" t="s">
        <v>47</v>
      </c>
      <c r="E157" t="s">
        <v>26</v>
      </c>
      <c r="F157" t="s">
        <v>40</v>
      </c>
      <c r="G157" t="s">
        <v>39</v>
      </c>
      <c r="H157">
        <v>1</v>
      </c>
      <c r="I157">
        <v>75.27</v>
      </c>
      <c r="J157">
        <v>75.27</v>
      </c>
      <c r="K157" t="s">
        <v>17</v>
      </c>
    </row>
    <row r="158" spans="1:11" hidden="1" x14ac:dyDescent="0.25">
      <c r="A158" s="1">
        <v>44724</v>
      </c>
      <c r="B158" t="s">
        <v>48</v>
      </c>
      <c r="C158" t="s">
        <v>49</v>
      </c>
      <c r="D158" t="s">
        <v>50</v>
      </c>
      <c r="E158" t="s">
        <v>30</v>
      </c>
      <c r="F158" t="s">
        <v>15</v>
      </c>
      <c r="G158" t="s">
        <v>43</v>
      </c>
      <c r="H158">
        <v>1</v>
      </c>
      <c r="I158">
        <v>144.04</v>
      </c>
      <c r="J158">
        <v>144.04</v>
      </c>
      <c r="K158" t="s">
        <v>23</v>
      </c>
    </row>
    <row r="159" spans="1:11" x14ac:dyDescent="0.25">
      <c r="A159" s="1">
        <v>44768</v>
      </c>
      <c r="B159" t="s">
        <v>31</v>
      </c>
      <c r="C159" t="s">
        <v>19</v>
      </c>
      <c r="D159" t="s">
        <v>25</v>
      </c>
      <c r="E159" t="s">
        <v>30</v>
      </c>
      <c r="F159" t="s">
        <v>21</v>
      </c>
      <c r="G159" t="s">
        <v>27</v>
      </c>
      <c r="H159">
        <v>4</v>
      </c>
      <c r="I159">
        <v>196.45</v>
      </c>
      <c r="J159">
        <v>785.8</v>
      </c>
      <c r="K159" t="s">
        <v>35</v>
      </c>
    </row>
    <row r="160" spans="1:11" x14ac:dyDescent="0.25">
      <c r="A160" s="1">
        <v>44578</v>
      </c>
      <c r="B160" t="s">
        <v>24</v>
      </c>
      <c r="C160" t="s">
        <v>19</v>
      </c>
      <c r="D160" t="s">
        <v>25</v>
      </c>
      <c r="E160" t="s">
        <v>30</v>
      </c>
      <c r="F160" t="s">
        <v>15</v>
      </c>
      <c r="G160" t="s">
        <v>22</v>
      </c>
      <c r="H160">
        <v>3</v>
      </c>
      <c r="I160">
        <v>213.66</v>
      </c>
      <c r="J160">
        <v>640.98</v>
      </c>
      <c r="K160" t="s">
        <v>17</v>
      </c>
    </row>
    <row r="161" spans="1:11" x14ac:dyDescent="0.25">
      <c r="A161" s="1">
        <v>44789</v>
      </c>
      <c r="B161" t="s">
        <v>18</v>
      </c>
      <c r="C161" t="s">
        <v>19</v>
      </c>
      <c r="D161" t="s">
        <v>20</v>
      </c>
      <c r="E161" t="s">
        <v>30</v>
      </c>
      <c r="F161" t="s">
        <v>21</v>
      </c>
      <c r="G161" t="s">
        <v>34</v>
      </c>
      <c r="H161">
        <v>1</v>
      </c>
      <c r="I161">
        <v>164.57</v>
      </c>
      <c r="J161">
        <v>164.57</v>
      </c>
      <c r="K161" t="s">
        <v>23</v>
      </c>
    </row>
    <row r="162" spans="1:11" x14ac:dyDescent="0.25">
      <c r="A162" s="1">
        <v>44664</v>
      </c>
      <c r="B162" t="s">
        <v>31</v>
      </c>
      <c r="C162" t="s">
        <v>19</v>
      </c>
      <c r="D162" t="s">
        <v>25</v>
      </c>
      <c r="E162" t="s">
        <v>30</v>
      </c>
      <c r="F162" t="s">
        <v>32</v>
      </c>
      <c r="G162" t="s">
        <v>39</v>
      </c>
      <c r="H162">
        <v>4</v>
      </c>
      <c r="I162">
        <v>203.25</v>
      </c>
      <c r="J162">
        <v>813</v>
      </c>
      <c r="K162" t="s">
        <v>36</v>
      </c>
    </row>
    <row r="163" spans="1:11" x14ac:dyDescent="0.25">
      <c r="A163" s="1">
        <v>44694</v>
      </c>
      <c r="B163" t="s">
        <v>37</v>
      </c>
      <c r="C163" t="s">
        <v>29</v>
      </c>
      <c r="D163" t="s">
        <v>38</v>
      </c>
      <c r="E163" t="s">
        <v>26</v>
      </c>
      <c r="F163" t="s">
        <v>40</v>
      </c>
      <c r="G163" t="s">
        <v>34</v>
      </c>
      <c r="H163">
        <v>5</v>
      </c>
      <c r="I163">
        <v>91.11</v>
      </c>
      <c r="J163">
        <v>455.55</v>
      </c>
      <c r="K163" t="s">
        <v>23</v>
      </c>
    </row>
    <row r="164" spans="1:11" x14ac:dyDescent="0.25">
      <c r="A164" s="1">
        <v>44609</v>
      </c>
      <c r="B164" t="s">
        <v>37</v>
      </c>
      <c r="C164" t="s">
        <v>29</v>
      </c>
      <c r="D164" t="s">
        <v>38</v>
      </c>
      <c r="E164" t="s">
        <v>14</v>
      </c>
      <c r="F164" t="s">
        <v>21</v>
      </c>
      <c r="G164" t="s">
        <v>22</v>
      </c>
      <c r="H164">
        <v>3</v>
      </c>
      <c r="I164">
        <v>57.92</v>
      </c>
      <c r="J164">
        <v>173.76</v>
      </c>
      <c r="K164" t="s">
        <v>23</v>
      </c>
    </row>
    <row r="165" spans="1:11" x14ac:dyDescent="0.25">
      <c r="A165" s="1">
        <v>44773</v>
      </c>
      <c r="B165" t="s">
        <v>31</v>
      </c>
      <c r="C165" t="s">
        <v>19</v>
      </c>
      <c r="D165" t="s">
        <v>25</v>
      </c>
      <c r="E165" t="s">
        <v>26</v>
      </c>
      <c r="F165" t="s">
        <v>15</v>
      </c>
      <c r="G165" t="s">
        <v>16</v>
      </c>
      <c r="H165">
        <v>3</v>
      </c>
      <c r="I165">
        <v>209.3</v>
      </c>
      <c r="J165">
        <v>627.9</v>
      </c>
      <c r="K165" t="s">
        <v>36</v>
      </c>
    </row>
    <row r="166" spans="1:11" x14ac:dyDescent="0.25">
      <c r="A166" s="1">
        <v>44798</v>
      </c>
      <c r="B166" t="s">
        <v>44</v>
      </c>
      <c r="C166" t="s">
        <v>19</v>
      </c>
      <c r="D166" t="s">
        <v>20</v>
      </c>
      <c r="E166" t="s">
        <v>14</v>
      </c>
      <c r="F166" t="s">
        <v>32</v>
      </c>
      <c r="G166" t="s">
        <v>27</v>
      </c>
      <c r="H166">
        <v>1</v>
      </c>
      <c r="I166">
        <v>112.26</v>
      </c>
      <c r="J166">
        <v>112.26</v>
      </c>
      <c r="K166" t="s">
        <v>35</v>
      </c>
    </row>
    <row r="167" spans="1:11" x14ac:dyDescent="0.25">
      <c r="A167" s="1">
        <v>44803</v>
      </c>
      <c r="B167" t="s">
        <v>24</v>
      </c>
      <c r="C167" t="s">
        <v>19</v>
      </c>
      <c r="D167" t="s">
        <v>25</v>
      </c>
      <c r="E167" t="s">
        <v>26</v>
      </c>
      <c r="F167" t="s">
        <v>15</v>
      </c>
      <c r="G167" t="s">
        <v>39</v>
      </c>
      <c r="H167">
        <v>2</v>
      </c>
      <c r="I167">
        <v>216.83</v>
      </c>
      <c r="J167">
        <v>433.66</v>
      </c>
      <c r="K167" t="s">
        <v>35</v>
      </c>
    </row>
    <row r="168" spans="1:11" hidden="1" x14ac:dyDescent="0.25">
      <c r="A168" s="1">
        <v>44763</v>
      </c>
      <c r="B168" t="s">
        <v>48</v>
      </c>
      <c r="C168" t="s">
        <v>49</v>
      </c>
      <c r="D168" t="s">
        <v>50</v>
      </c>
      <c r="E168" t="s">
        <v>14</v>
      </c>
      <c r="F168" t="s">
        <v>15</v>
      </c>
      <c r="G168" t="s">
        <v>39</v>
      </c>
      <c r="H168">
        <v>5</v>
      </c>
      <c r="I168">
        <v>68.52</v>
      </c>
      <c r="J168">
        <v>342.6</v>
      </c>
      <c r="K168" t="s">
        <v>35</v>
      </c>
    </row>
    <row r="169" spans="1:11" x14ac:dyDescent="0.25">
      <c r="A169" s="1">
        <v>44775</v>
      </c>
      <c r="B169" t="s">
        <v>41</v>
      </c>
      <c r="C169" t="s">
        <v>29</v>
      </c>
      <c r="D169" t="s">
        <v>42</v>
      </c>
      <c r="E169" t="s">
        <v>30</v>
      </c>
      <c r="F169" t="s">
        <v>32</v>
      </c>
      <c r="G169" t="s">
        <v>39</v>
      </c>
      <c r="H169">
        <v>1</v>
      </c>
      <c r="I169">
        <v>98.04</v>
      </c>
      <c r="J169">
        <v>98.04</v>
      </c>
      <c r="K169" t="s">
        <v>23</v>
      </c>
    </row>
    <row r="170" spans="1:11" x14ac:dyDescent="0.25">
      <c r="A170" s="1">
        <v>44742</v>
      </c>
      <c r="B170" t="s">
        <v>11</v>
      </c>
      <c r="C170" t="s">
        <v>12</v>
      </c>
      <c r="D170" t="s">
        <v>13</v>
      </c>
      <c r="E170" t="s">
        <v>30</v>
      </c>
      <c r="F170" t="s">
        <v>32</v>
      </c>
      <c r="G170" t="s">
        <v>43</v>
      </c>
      <c r="H170">
        <v>5</v>
      </c>
      <c r="I170">
        <v>204.35</v>
      </c>
      <c r="J170">
        <v>1021.75</v>
      </c>
      <c r="K170" t="s">
        <v>36</v>
      </c>
    </row>
    <row r="171" spans="1:11" x14ac:dyDescent="0.25">
      <c r="A171" s="1">
        <v>44661</v>
      </c>
      <c r="B171" t="s">
        <v>24</v>
      </c>
      <c r="C171" t="s">
        <v>19</v>
      </c>
      <c r="D171" t="s">
        <v>25</v>
      </c>
      <c r="E171" t="s">
        <v>26</v>
      </c>
      <c r="F171" t="s">
        <v>21</v>
      </c>
      <c r="G171" t="s">
        <v>27</v>
      </c>
      <c r="H171">
        <v>4</v>
      </c>
      <c r="I171">
        <v>283.7</v>
      </c>
      <c r="J171">
        <v>1134.8</v>
      </c>
      <c r="K171" t="s">
        <v>17</v>
      </c>
    </row>
    <row r="172" spans="1:11" x14ac:dyDescent="0.25">
      <c r="A172" s="1">
        <v>44745</v>
      </c>
      <c r="B172" t="s">
        <v>37</v>
      </c>
      <c r="C172" t="s">
        <v>29</v>
      </c>
      <c r="D172" t="s">
        <v>38</v>
      </c>
      <c r="E172" t="s">
        <v>26</v>
      </c>
      <c r="F172" t="s">
        <v>15</v>
      </c>
      <c r="G172" t="s">
        <v>43</v>
      </c>
      <c r="H172">
        <v>4</v>
      </c>
      <c r="I172">
        <v>172.52</v>
      </c>
      <c r="J172">
        <v>690.08</v>
      </c>
      <c r="K172" t="s">
        <v>35</v>
      </c>
    </row>
    <row r="173" spans="1:11" x14ac:dyDescent="0.25">
      <c r="A173" s="1">
        <v>44618</v>
      </c>
      <c r="B173" t="s">
        <v>31</v>
      </c>
      <c r="C173" t="s">
        <v>19</v>
      </c>
      <c r="D173" t="s">
        <v>25</v>
      </c>
      <c r="E173" t="s">
        <v>30</v>
      </c>
      <c r="F173" t="s">
        <v>15</v>
      </c>
      <c r="G173" t="s">
        <v>22</v>
      </c>
      <c r="H173">
        <v>3</v>
      </c>
      <c r="I173">
        <v>51.81</v>
      </c>
      <c r="J173">
        <v>155.43</v>
      </c>
      <c r="K173" t="s">
        <v>36</v>
      </c>
    </row>
    <row r="174" spans="1:11" x14ac:dyDescent="0.25">
      <c r="A174" s="1">
        <v>44680</v>
      </c>
      <c r="B174" t="s">
        <v>28</v>
      </c>
      <c r="C174" t="s">
        <v>29</v>
      </c>
      <c r="D174" t="s">
        <v>25</v>
      </c>
      <c r="E174" t="s">
        <v>30</v>
      </c>
      <c r="F174" t="s">
        <v>40</v>
      </c>
      <c r="G174" t="s">
        <v>16</v>
      </c>
      <c r="H174">
        <v>5</v>
      </c>
      <c r="I174">
        <v>71.28</v>
      </c>
      <c r="J174">
        <v>356.4</v>
      </c>
      <c r="K174" t="s">
        <v>23</v>
      </c>
    </row>
    <row r="175" spans="1:11" x14ac:dyDescent="0.25">
      <c r="A175" s="1">
        <v>44616</v>
      </c>
      <c r="B175" t="s">
        <v>18</v>
      </c>
      <c r="C175" t="s">
        <v>19</v>
      </c>
      <c r="D175" t="s">
        <v>20</v>
      </c>
      <c r="E175" t="s">
        <v>14</v>
      </c>
      <c r="F175" t="s">
        <v>40</v>
      </c>
      <c r="G175" t="s">
        <v>39</v>
      </c>
      <c r="H175">
        <v>2</v>
      </c>
      <c r="I175">
        <v>248.44</v>
      </c>
      <c r="J175">
        <v>496.88</v>
      </c>
      <c r="K175" t="s">
        <v>23</v>
      </c>
    </row>
    <row r="176" spans="1:11" x14ac:dyDescent="0.25">
      <c r="A176" s="1">
        <v>44745</v>
      </c>
      <c r="B176" t="s">
        <v>18</v>
      </c>
      <c r="C176" t="s">
        <v>19</v>
      </c>
      <c r="D176" t="s">
        <v>20</v>
      </c>
      <c r="E176" t="s">
        <v>26</v>
      </c>
      <c r="F176" t="s">
        <v>40</v>
      </c>
      <c r="G176" t="s">
        <v>43</v>
      </c>
      <c r="H176">
        <v>2</v>
      </c>
      <c r="I176">
        <v>107.04</v>
      </c>
      <c r="J176">
        <v>214.08</v>
      </c>
      <c r="K176" t="s">
        <v>17</v>
      </c>
    </row>
    <row r="177" spans="1:11" hidden="1" x14ac:dyDescent="0.25">
      <c r="A177" s="1">
        <v>44803</v>
      </c>
      <c r="B177" t="s">
        <v>48</v>
      </c>
      <c r="C177" t="s">
        <v>49</v>
      </c>
      <c r="D177" t="s">
        <v>50</v>
      </c>
      <c r="E177" t="s">
        <v>26</v>
      </c>
      <c r="F177" t="s">
        <v>40</v>
      </c>
      <c r="G177" t="s">
        <v>33</v>
      </c>
      <c r="H177">
        <v>1</v>
      </c>
      <c r="I177">
        <v>132.07</v>
      </c>
      <c r="J177">
        <v>132.07</v>
      </c>
      <c r="K177" t="s">
        <v>36</v>
      </c>
    </row>
    <row r="178" spans="1:11" x14ac:dyDescent="0.25">
      <c r="A178" s="1">
        <v>44751</v>
      </c>
      <c r="B178" t="s">
        <v>24</v>
      </c>
      <c r="C178" t="s">
        <v>19</v>
      </c>
      <c r="D178" t="s">
        <v>25</v>
      </c>
      <c r="E178" t="s">
        <v>30</v>
      </c>
      <c r="F178" t="s">
        <v>32</v>
      </c>
      <c r="G178" t="s">
        <v>16</v>
      </c>
      <c r="H178">
        <v>3</v>
      </c>
      <c r="I178">
        <v>118.37</v>
      </c>
      <c r="J178">
        <v>355.11</v>
      </c>
      <c r="K178" t="s">
        <v>17</v>
      </c>
    </row>
    <row r="179" spans="1:11" x14ac:dyDescent="0.25">
      <c r="A179" s="1">
        <v>44669</v>
      </c>
      <c r="B179" t="s">
        <v>28</v>
      </c>
      <c r="C179" t="s">
        <v>29</v>
      </c>
      <c r="D179" t="s">
        <v>25</v>
      </c>
      <c r="E179" t="s">
        <v>26</v>
      </c>
      <c r="F179" t="s">
        <v>21</v>
      </c>
      <c r="G179" t="s">
        <v>27</v>
      </c>
      <c r="H179">
        <v>5</v>
      </c>
      <c r="I179">
        <v>243.74</v>
      </c>
      <c r="J179">
        <v>1218.7</v>
      </c>
      <c r="K179" t="s">
        <v>36</v>
      </c>
    </row>
    <row r="180" spans="1:11" x14ac:dyDescent="0.25">
      <c r="A180" s="1">
        <v>44577</v>
      </c>
      <c r="B180" t="s">
        <v>24</v>
      </c>
      <c r="C180" t="s">
        <v>19</v>
      </c>
      <c r="D180" t="s">
        <v>25</v>
      </c>
      <c r="E180" t="s">
        <v>14</v>
      </c>
      <c r="F180" t="s">
        <v>15</v>
      </c>
      <c r="G180" t="s">
        <v>16</v>
      </c>
      <c r="H180">
        <v>5</v>
      </c>
      <c r="I180">
        <v>150.02000000000001</v>
      </c>
      <c r="J180">
        <v>750.1</v>
      </c>
      <c r="K180" t="s">
        <v>23</v>
      </c>
    </row>
    <row r="181" spans="1:11" x14ac:dyDescent="0.25">
      <c r="A181" s="1">
        <v>44653</v>
      </c>
      <c r="B181" t="s">
        <v>28</v>
      </c>
      <c r="C181" t="s">
        <v>29</v>
      </c>
      <c r="D181" t="s">
        <v>25</v>
      </c>
      <c r="E181" t="s">
        <v>26</v>
      </c>
      <c r="F181" t="s">
        <v>21</v>
      </c>
      <c r="G181" t="s">
        <v>33</v>
      </c>
      <c r="H181">
        <v>3</v>
      </c>
      <c r="I181">
        <v>73.31</v>
      </c>
      <c r="J181">
        <v>219.93</v>
      </c>
      <c r="K181" t="s">
        <v>36</v>
      </c>
    </row>
    <row r="182" spans="1:11" hidden="1" x14ac:dyDescent="0.25">
      <c r="A182" s="1">
        <v>44798</v>
      </c>
      <c r="B182" t="s">
        <v>48</v>
      </c>
      <c r="C182" t="s">
        <v>49</v>
      </c>
      <c r="D182" t="s">
        <v>50</v>
      </c>
      <c r="E182" t="s">
        <v>30</v>
      </c>
      <c r="F182" t="s">
        <v>32</v>
      </c>
      <c r="G182" t="s">
        <v>33</v>
      </c>
      <c r="H182">
        <v>2</v>
      </c>
      <c r="I182">
        <v>176.24</v>
      </c>
      <c r="J182">
        <v>352.48</v>
      </c>
      <c r="K182" t="s">
        <v>23</v>
      </c>
    </row>
    <row r="183" spans="1:11" x14ac:dyDescent="0.25">
      <c r="A183" s="1">
        <v>44708</v>
      </c>
      <c r="B183" t="s">
        <v>44</v>
      </c>
      <c r="C183" t="s">
        <v>19</v>
      </c>
      <c r="D183" t="s">
        <v>20</v>
      </c>
      <c r="E183" t="s">
        <v>26</v>
      </c>
      <c r="F183" t="s">
        <v>40</v>
      </c>
      <c r="G183" t="s">
        <v>34</v>
      </c>
      <c r="H183">
        <v>5</v>
      </c>
      <c r="I183">
        <v>135.5</v>
      </c>
      <c r="J183">
        <v>677.5</v>
      </c>
      <c r="K183" t="s">
        <v>35</v>
      </c>
    </row>
    <row r="184" spans="1:11" x14ac:dyDescent="0.25">
      <c r="A184" s="1">
        <v>44791</v>
      </c>
      <c r="B184" t="s">
        <v>11</v>
      </c>
      <c r="C184" t="s">
        <v>12</v>
      </c>
      <c r="D184" t="s">
        <v>13</v>
      </c>
      <c r="E184" t="s">
        <v>30</v>
      </c>
      <c r="F184" t="s">
        <v>40</v>
      </c>
      <c r="G184" t="s">
        <v>39</v>
      </c>
      <c r="H184">
        <v>4</v>
      </c>
      <c r="I184">
        <v>250.12</v>
      </c>
      <c r="J184">
        <v>1000.48</v>
      </c>
      <c r="K184" t="s">
        <v>17</v>
      </c>
    </row>
    <row r="185" spans="1:11" x14ac:dyDescent="0.25">
      <c r="A185" s="1">
        <v>44745</v>
      </c>
      <c r="B185" t="s">
        <v>18</v>
      </c>
      <c r="C185" t="s">
        <v>19</v>
      </c>
      <c r="D185" t="s">
        <v>20</v>
      </c>
      <c r="E185" t="s">
        <v>26</v>
      </c>
      <c r="F185" t="s">
        <v>32</v>
      </c>
      <c r="G185" t="s">
        <v>33</v>
      </c>
      <c r="H185">
        <v>4</v>
      </c>
      <c r="I185">
        <v>145.88999999999999</v>
      </c>
      <c r="J185">
        <v>583.55999999999995</v>
      </c>
      <c r="K185" t="s">
        <v>17</v>
      </c>
    </row>
    <row r="186" spans="1:11" x14ac:dyDescent="0.25">
      <c r="A186" s="1">
        <v>44688</v>
      </c>
      <c r="B186" t="s">
        <v>28</v>
      </c>
      <c r="C186" t="s">
        <v>29</v>
      </c>
      <c r="D186" t="s">
        <v>25</v>
      </c>
      <c r="E186" t="s">
        <v>14</v>
      </c>
      <c r="F186" t="s">
        <v>32</v>
      </c>
      <c r="G186" t="s">
        <v>22</v>
      </c>
      <c r="H186">
        <v>4</v>
      </c>
      <c r="I186">
        <v>281.54000000000002</v>
      </c>
      <c r="J186">
        <v>1126.1600000000001</v>
      </c>
      <c r="K186" t="s">
        <v>36</v>
      </c>
    </row>
    <row r="187" spans="1:11" x14ac:dyDescent="0.25">
      <c r="A187" s="1">
        <v>44737</v>
      </c>
      <c r="B187" t="s">
        <v>31</v>
      </c>
      <c r="C187" t="s">
        <v>19</v>
      </c>
      <c r="D187" t="s">
        <v>25</v>
      </c>
      <c r="E187" t="s">
        <v>14</v>
      </c>
      <c r="F187" t="s">
        <v>32</v>
      </c>
      <c r="G187" t="s">
        <v>33</v>
      </c>
      <c r="H187">
        <v>4</v>
      </c>
      <c r="I187">
        <v>121.42</v>
      </c>
      <c r="J187">
        <v>485.68</v>
      </c>
      <c r="K187" t="s">
        <v>17</v>
      </c>
    </row>
    <row r="188" spans="1:11" x14ac:dyDescent="0.25">
      <c r="A188" s="1">
        <v>44715</v>
      </c>
      <c r="B188" t="s">
        <v>31</v>
      </c>
      <c r="C188" t="s">
        <v>19</v>
      </c>
      <c r="D188" t="s">
        <v>25</v>
      </c>
      <c r="E188" t="s">
        <v>26</v>
      </c>
      <c r="F188" t="s">
        <v>21</v>
      </c>
      <c r="G188" t="s">
        <v>43</v>
      </c>
      <c r="H188">
        <v>4</v>
      </c>
      <c r="I188">
        <v>265.91000000000003</v>
      </c>
      <c r="J188">
        <v>1063.6400000000001</v>
      </c>
      <c r="K188" t="s">
        <v>35</v>
      </c>
    </row>
    <row r="189" spans="1:11" x14ac:dyDescent="0.25">
      <c r="A189" s="1">
        <v>44586</v>
      </c>
      <c r="B189" t="s">
        <v>11</v>
      </c>
      <c r="C189" t="s">
        <v>12</v>
      </c>
      <c r="D189" t="s">
        <v>13</v>
      </c>
      <c r="E189" t="s">
        <v>26</v>
      </c>
      <c r="F189" t="s">
        <v>15</v>
      </c>
      <c r="G189" t="s">
        <v>27</v>
      </c>
      <c r="H189">
        <v>1</v>
      </c>
      <c r="I189">
        <v>240.42</v>
      </c>
      <c r="J189">
        <v>240.42</v>
      </c>
      <c r="K189" t="s">
        <v>17</v>
      </c>
    </row>
    <row r="190" spans="1:11" x14ac:dyDescent="0.25">
      <c r="A190" s="1">
        <v>44569</v>
      </c>
      <c r="B190" t="s">
        <v>44</v>
      </c>
      <c r="C190" t="s">
        <v>19</v>
      </c>
      <c r="D190" t="s">
        <v>20</v>
      </c>
      <c r="E190" t="s">
        <v>26</v>
      </c>
      <c r="F190" t="s">
        <v>40</v>
      </c>
      <c r="G190" t="s">
        <v>22</v>
      </c>
      <c r="H190">
        <v>5</v>
      </c>
      <c r="I190">
        <v>275.27</v>
      </c>
      <c r="J190">
        <v>1376.35</v>
      </c>
      <c r="K190" t="s">
        <v>17</v>
      </c>
    </row>
    <row r="191" spans="1:11" x14ac:dyDescent="0.25">
      <c r="A191" s="1">
        <v>44782</v>
      </c>
      <c r="B191" t="s">
        <v>41</v>
      </c>
      <c r="C191" t="s">
        <v>29</v>
      </c>
      <c r="D191" t="s">
        <v>42</v>
      </c>
      <c r="E191" t="s">
        <v>26</v>
      </c>
      <c r="F191" t="s">
        <v>21</v>
      </c>
      <c r="G191" t="s">
        <v>43</v>
      </c>
      <c r="H191">
        <v>3</v>
      </c>
      <c r="I191">
        <v>154.79</v>
      </c>
      <c r="J191">
        <v>464.37</v>
      </c>
      <c r="K191" t="s">
        <v>17</v>
      </c>
    </row>
    <row r="192" spans="1:11" x14ac:dyDescent="0.25">
      <c r="A192" s="1">
        <v>44786</v>
      </c>
      <c r="B192" t="s">
        <v>41</v>
      </c>
      <c r="C192" t="s">
        <v>29</v>
      </c>
      <c r="D192" t="s">
        <v>42</v>
      </c>
      <c r="E192" t="s">
        <v>14</v>
      </c>
      <c r="F192" t="s">
        <v>40</v>
      </c>
      <c r="G192" t="s">
        <v>43</v>
      </c>
      <c r="H192">
        <v>5</v>
      </c>
      <c r="I192">
        <v>139</v>
      </c>
      <c r="J192">
        <v>695</v>
      </c>
      <c r="K192" t="s">
        <v>35</v>
      </c>
    </row>
    <row r="193" spans="1:11" x14ac:dyDescent="0.25">
      <c r="A193" s="1">
        <v>44733</v>
      </c>
      <c r="B193" t="s">
        <v>28</v>
      </c>
      <c r="C193" t="s">
        <v>29</v>
      </c>
      <c r="D193" t="s">
        <v>25</v>
      </c>
      <c r="E193" t="s">
        <v>14</v>
      </c>
      <c r="F193" t="s">
        <v>21</v>
      </c>
      <c r="G193" t="s">
        <v>33</v>
      </c>
      <c r="H193">
        <v>3</v>
      </c>
      <c r="I193">
        <v>79.27</v>
      </c>
      <c r="J193">
        <v>237.81</v>
      </c>
      <c r="K193" t="s">
        <v>17</v>
      </c>
    </row>
    <row r="194" spans="1:11" x14ac:dyDescent="0.25">
      <c r="A194" s="1">
        <v>44796</v>
      </c>
      <c r="B194" t="s">
        <v>37</v>
      </c>
      <c r="C194" t="s">
        <v>29</v>
      </c>
      <c r="D194" t="s">
        <v>38</v>
      </c>
      <c r="E194" t="s">
        <v>30</v>
      </c>
      <c r="F194" t="s">
        <v>32</v>
      </c>
      <c r="G194" t="s">
        <v>39</v>
      </c>
      <c r="H194">
        <v>2</v>
      </c>
      <c r="I194">
        <v>237.1</v>
      </c>
      <c r="J194">
        <v>474.2</v>
      </c>
      <c r="K194" t="s">
        <v>23</v>
      </c>
    </row>
    <row r="195" spans="1:11" x14ac:dyDescent="0.25">
      <c r="A195" s="1">
        <v>44590</v>
      </c>
      <c r="B195" t="s">
        <v>37</v>
      </c>
      <c r="C195" t="s">
        <v>29</v>
      </c>
      <c r="D195" t="s">
        <v>38</v>
      </c>
      <c r="E195" t="s">
        <v>30</v>
      </c>
      <c r="F195" t="s">
        <v>32</v>
      </c>
      <c r="G195" t="s">
        <v>34</v>
      </c>
      <c r="H195">
        <v>4</v>
      </c>
      <c r="I195">
        <v>228.46</v>
      </c>
      <c r="J195">
        <v>913.84</v>
      </c>
      <c r="K195" t="s">
        <v>23</v>
      </c>
    </row>
    <row r="196" spans="1:11" x14ac:dyDescent="0.25">
      <c r="A196" s="1">
        <v>44724</v>
      </c>
      <c r="B196" t="s">
        <v>41</v>
      </c>
      <c r="C196" t="s">
        <v>29</v>
      </c>
      <c r="D196" t="s">
        <v>42</v>
      </c>
      <c r="E196" t="s">
        <v>30</v>
      </c>
      <c r="F196" t="s">
        <v>40</v>
      </c>
      <c r="G196" t="s">
        <v>39</v>
      </c>
      <c r="H196">
        <v>4</v>
      </c>
      <c r="I196">
        <v>52.42</v>
      </c>
      <c r="J196">
        <v>209.68</v>
      </c>
      <c r="K196" t="s">
        <v>36</v>
      </c>
    </row>
    <row r="197" spans="1:11" x14ac:dyDescent="0.25">
      <c r="A197" s="1">
        <v>44799</v>
      </c>
      <c r="B197" t="s">
        <v>24</v>
      </c>
      <c r="C197" t="s">
        <v>19</v>
      </c>
      <c r="D197" t="s">
        <v>25</v>
      </c>
      <c r="E197" t="s">
        <v>30</v>
      </c>
      <c r="F197" t="s">
        <v>15</v>
      </c>
      <c r="G197" t="s">
        <v>16</v>
      </c>
      <c r="H197">
        <v>3</v>
      </c>
      <c r="I197">
        <v>270.52</v>
      </c>
      <c r="J197">
        <v>811.56</v>
      </c>
      <c r="K197" t="s">
        <v>35</v>
      </c>
    </row>
    <row r="198" spans="1:11" x14ac:dyDescent="0.25">
      <c r="A198" s="1">
        <v>44569</v>
      </c>
      <c r="B198" t="s">
        <v>31</v>
      </c>
      <c r="C198" t="s">
        <v>19</v>
      </c>
      <c r="D198" t="s">
        <v>25</v>
      </c>
      <c r="E198" t="s">
        <v>14</v>
      </c>
      <c r="F198" t="s">
        <v>15</v>
      </c>
      <c r="G198" t="s">
        <v>34</v>
      </c>
      <c r="H198">
        <v>4</v>
      </c>
      <c r="I198">
        <v>119.36</v>
      </c>
      <c r="J198">
        <v>477.44</v>
      </c>
      <c r="K198" t="s">
        <v>23</v>
      </c>
    </row>
    <row r="199" spans="1:11" hidden="1" x14ac:dyDescent="0.25">
      <c r="A199" s="1">
        <v>44584</v>
      </c>
      <c r="B199" t="s">
        <v>45</v>
      </c>
      <c r="C199" t="s">
        <v>46</v>
      </c>
      <c r="D199" t="s">
        <v>47</v>
      </c>
      <c r="E199" t="s">
        <v>26</v>
      </c>
      <c r="F199" t="s">
        <v>15</v>
      </c>
      <c r="G199" t="s">
        <v>34</v>
      </c>
      <c r="H199">
        <v>3</v>
      </c>
      <c r="I199">
        <v>125.26</v>
      </c>
      <c r="J199">
        <v>375.78</v>
      </c>
      <c r="K199" t="s">
        <v>36</v>
      </c>
    </row>
    <row r="200" spans="1:11" x14ac:dyDescent="0.25">
      <c r="A200" s="1">
        <v>44714</v>
      </c>
      <c r="B200" t="s">
        <v>37</v>
      </c>
      <c r="C200" t="s">
        <v>29</v>
      </c>
      <c r="D200" t="s">
        <v>38</v>
      </c>
      <c r="E200" t="s">
        <v>26</v>
      </c>
      <c r="F200" t="s">
        <v>32</v>
      </c>
      <c r="G200" t="s">
        <v>39</v>
      </c>
      <c r="H200">
        <v>3</v>
      </c>
      <c r="I200">
        <v>296.55</v>
      </c>
      <c r="J200">
        <v>889.65</v>
      </c>
      <c r="K200" t="s">
        <v>17</v>
      </c>
    </row>
    <row r="201" spans="1:11" hidden="1" x14ac:dyDescent="0.25">
      <c r="A201" s="1">
        <v>44725</v>
      </c>
      <c r="B201" t="s">
        <v>48</v>
      </c>
      <c r="C201" t="s">
        <v>49</v>
      </c>
      <c r="D201" t="s">
        <v>50</v>
      </c>
      <c r="E201" t="s">
        <v>26</v>
      </c>
      <c r="F201" t="s">
        <v>32</v>
      </c>
      <c r="G201" t="s">
        <v>34</v>
      </c>
      <c r="H201">
        <v>1</v>
      </c>
      <c r="I201">
        <v>56.73</v>
      </c>
      <c r="J201">
        <v>56.73</v>
      </c>
      <c r="K201" t="s">
        <v>36</v>
      </c>
    </row>
    <row r="202" spans="1:11" x14ac:dyDescent="0.25">
      <c r="A202" s="1">
        <v>44579</v>
      </c>
      <c r="B202" t="s">
        <v>41</v>
      </c>
      <c r="C202" t="s">
        <v>29</v>
      </c>
      <c r="D202" t="s">
        <v>42</v>
      </c>
      <c r="E202" t="s">
        <v>14</v>
      </c>
      <c r="F202" t="s">
        <v>32</v>
      </c>
      <c r="G202" t="s">
        <v>34</v>
      </c>
      <c r="H202">
        <v>1</v>
      </c>
      <c r="I202">
        <v>91.56</v>
      </c>
      <c r="J202">
        <v>91.56</v>
      </c>
      <c r="K202" t="s">
        <v>35</v>
      </c>
    </row>
    <row r="203" spans="1:11" hidden="1" x14ac:dyDescent="0.25">
      <c r="A203" s="1">
        <v>44662</v>
      </c>
      <c r="B203" t="s">
        <v>45</v>
      </c>
      <c r="C203" t="s">
        <v>46</v>
      </c>
      <c r="D203" t="s">
        <v>47</v>
      </c>
      <c r="E203" t="s">
        <v>26</v>
      </c>
      <c r="F203" t="s">
        <v>21</v>
      </c>
      <c r="G203" t="s">
        <v>22</v>
      </c>
      <c r="H203">
        <v>2</v>
      </c>
      <c r="I203">
        <v>152.54</v>
      </c>
      <c r="J203">
        <v>305.08</v>
      </c>
      <c r="K203" t="s">
        <v>17</v>
      </c>
    </row>
    <row r="204" spans="1:11" hidden="1" x14ac:dyDescent="0.25">
      <c r="A204" s="1">
        <v>44746</v>
      </c>
      <c r="B204" t="s">
        <v>45</v>
      </c>
      <c r="C204" t="s">
        <v>46</v>
      </c>
      <c r="D204" t="s">
        <v>47</v>
      </c>
      <c r="E204" t="s">
        <v>26</v>
      </c>
      <c r="F204" t="s">
        <v>32</v>
      </c>
      <c r="G204" t="s">
        <v>33</v>
      </c>
      <c r="H204">
        <v>4</v>
      </c>
      <c r="I204">
        <v>61.37</v>
      </c>
      <c r="J204">
        <v>245.48</v>
      </c>
      <c r="K204" t="s">
        <v>23</v>
      </c>
    </row>
    <row r="205" spans="1:11" x14ac:dyDescent="0.25">
      <c r="A205" s="1">
        <v>44627</v>
      </c>
      <c r="B205" t="s">
        <v>37</v>
      </c>
      <c r="C205" t="s">
        <v>29</v>
      </c>
      <c r="D205" t="s">
        <v>38</v>
      </c>
      <c r="E205" t="s">
        <v>30</v>
      </c>
      <c r="F205" t="s">
        <v>21</v>
      </c>
      <c r="G205" t="s">
        <v>16</v>
      </c>
      <c r="H205">
        <v>3</v>
      </c>
      <c r="I205">
        <v>162.36000000000001</v>
      </c>
      <c r="J205">
        <v>487.08</v>
      </c>
      <c r="K205" t="s">
        <v>36</v>
      </c>
    </row>
    <row r="206" spans="1:11" x14ac:dyDescent="0.25">
      <c r="A206" s="1">
        <v>44741</v>
      </c>
      <c r="B206" t="s">
        <v>41</v>
      </c>
      <c r="C206" t="s">
        <v>29</v>
      </c>
      <c r="D206" t="s">
        <v>42</v>
      </c>
      <c r="E206" t="s">
        <v>30</v>
      </c>
      <c r="F206" t="s">
        <v>21</v>
      </c>
      <c r="G206" t="s">
        <v>22</v>
      </c>
      <c r="H206">
        <v>2</v>
      </c>
      <c r="I206">
        <v>257.5</v>
      </c>
      <c r="J206">
        <v>515</v>
      </c>
      <c r="K206" t="s">
        <v>35</v>
      </c>
    </row>
    <row r="207" spans="1:11" x14ac:dyDescent="0.25">
      <c r="A207" s="1">
        <v>44702</v>
      </c>
      <c r="B207" t="s">
        <v>24</v>
      </c>
      <c r="C207" t="s">
        <v>19</v>
      </c>
      <c r="D207" t="s">
        <v>25</v>
      </c>
      <c r="E207" t="s">
        <v>26</v>
      </c>
      <c r="F207" t="s">
        <v>32</v>
      </c>
      <c r="G207" t="s">
        <v>27</v>
      </c>
      <c r="H207">
        <v>4</v>
      </c>
      <c r="I207">
        <v>202.28</v>
      </c>
      <c r="J207">
        <v>809.12</v>
      </c>
      <c r="K207" t="s">
        <v>17</v>
      </c>
    </row>
    <row r="208" spans="1:11" hidden="1" x14ac:dyDescent="0.25">
      <c r="A208" s="1">
        <v>44749</v>
      </c>
      <c r="B208" t="s">
        <v>45</v>
      </c>
      <c r="C208" t="s">
        <v>46</v>
      </c>
      <c r="D208" t="s">
        <v>47</v>
      </c>
      <c r="E208" t="s">
        <v>14</v>
      </c>
      <c r="F208" t="s">
        <v>32</v>
      </c>
      <c r="G208" t="s">
        <v>43</v>
      </c>
      <c r="H208">
        <v>1</v>
      </c>
      <c r="I208">
        <v>224.83</v>
      </c>
      <c r="J208">
        <v>224.83</v>
      </c>
      <c r="K208" t="s">
        <v>23</v>
      </c>
    </row>
    <row r="209" spans="1:11" hidden="1" x14ac:dyDescent="0.25">
      <c r="A209" s="1">
        <v>44653</v>
      </c>
      <c r="B209" t="s">
        <v>48</v>
      </c>
      <c r="C209" t="s">
        <v>49</v>
      </c>
      <c r="D209" t="s">
        <v>50</v>
      </c>
      <c r="E209" t="s">
        <v>30</v>
      </c>
      <c r="F209" t="s">
        <v>21</v>
      </c>
      <c r="G209" t="s">
        <v>39</v>
      </c>
      <c r="H209">
        <v>3</v>
      </c>
      <c r="I209">
        <v>256.27</v>
      </c>
      <c r="J209">
        <v>768.81</v>
      </c>
      <c r="K209" t="s">
        <v>23</v>
      </c>
    </row>
    <row r="210" spans="1:11" x14ac:dyDescent="0.25">
      <c r="A210" s="1">
        <v>44646</v>
      </c>
      <c r="B210" t="s">
        <v>18</v>
      </c>
      <c r="C210" t="s">
        <v>19</v>
      </c>
      <c r="D210" t="s">
        <v>20</v>
      </c>
      <c r="E210" t="s">
        <v>26</v>
      </c>
      <c r="F210" t="s">
        <v>15</v>
      </c>
      <c r="G210" t="s">
        <v>34</v>
      </c>
      <c r="H210">
        <v>2</v>
      </c>
      <c r="I210">
        <v>277.26</v>
      </c>
      <c r="J210">
        <v>554.52</v>
      </c>
      <c r="K210" t="s">
        <v>35</v>
      </c>
    </row>
    <row r="211" spans="1:11" hidden="1" x14ac:dyDescent="0.25">
      <c r="A211" s="1">
        <v>44746</v>
      </c>
      <c r="B211" t="s">
        <v>48</v>
      </c>
      <c r="C211" t="s">
        <v>49</v>
      </c>
      <c r="D211" t="s">
        <v>50</v>
      </c>
      <c r="E211" t="s">
        <v>14</v>
      </c>
      <c r="F211" t="s">
        <v>21</v>
      </c>
      <c r="G211" t="s">
        <v>39</v>
      </c>
      <c r="H211">
        <v>3</v>
      </c>
      <c r="I211">
        <v>271.19</v>
      </c>
      <c r="J211">
        <v>813.57</v>
      </c>
      <c r="K211" t="s">
        <v>23</v>
      </c>
    </row>
    <row r="212" spans="1:11" x14ac:dyDescent="0.25">
      <c r="A212" s="1">
        <v>44573</v>
      </c>
      <c r="B212" t="s">
        <v>37</v>
      </c>
      <c r="C212" t="s">
        <v>29</v>
      </c>
      <c r="D212" t="s">
        <v>38</v>
      </c>
      <c r="E212" t="s">
        <v>30</v>
      </c>
      <c r="F212" t="s">
        <v>21</v>
      </c>
      <c r="G212" t="s">
        <v>39</v>
      </c>
      <c r="H212">
        <v>3</v>
      </c>
      <c r="I212">
        <v>205.62</v>
      </c>
      <c r="J212">
        <v>616.86</v>
      </c>
      <c r="K212" t="s">
        <v>36</v>
      </c>
    </row>
    <row r="213" spans="1:11" x14ac:dyDescent="0.25">
      <c r="A213" s="1">
        <v>44774</v>
      </c>
      <c r="B213" t="s">
        <v>31</v>
      </c>
      <c r="C213" t="s">
        <v>19</v>
      </c>
      <c r="D213" t="s">
        <v>25</v>
      </c>
      <c r="E213" t="s">
        <v>30</v>
      </c>
      <c r="F213" t="s">
        <v>21</v>
      </c>
      <c r="G213" t="s">
        <v>22</v>
      </c>
      <c r="H213">
        <v>4</v>
      </c>
      <c r="I213">
        <v>130.97</v>
      </c>
      <c r="J213">
        <v>523.88</v>
      </c>
      <c r="K213" t="s">
        <v>17</v>
      </c>
    </row>
    <row r="214" spans="1:11" x14ac:dyDescent="0.25">
      <c r="A214" s="1">
        <v>44646</v>
      </c>
      <c r="B214" t="s">
        <v>11</v>
      </c>
      <c r="C214" t="s">
        <v>12</v>
      </c>
      <c r="D214" t="s">
        <v>13</v>
      </c>
      <c r="E214" t="s">
        <v>30</v>
      </c>
      <c r="F214" t="s">
        <v>21</v>
      </c>
      <c r="G214" t="s">
        <v>39</v>
      </c>
      <c r="H214">
        <v>5</v>
      </c>
      <c r="I214">
        <v>267.70999999999998</v>
      </c>
      <c r="J214">
        <v>1338.55</v>
      </c>
      <c r="K214" t="s">
        <v>23</v>
      </c>
    </row>
    <row r="215" spans="1:11" x14ac:dyDescent="0.25">
      <c r="A215" s="1">
        <v>44565</v>
      </c>
      <c r="B215" t="s">
        <v>24</v>
      </c>
      <c r="C215" t="s">
        <v>19</v>
      </c>
      <c r="D215" t="s">
        <v>25</v>
      </c>
      <c r="E215" t="s">
        <v>30</v>
      </c>
      <c r="F215" t="s">
        <v>40</v>
      </c>
      <c r="G215" t="s">
        <v>22</v>
      </c>
      <c r="H215">
        <v>4</v>
      </c>
      <c r="I215">
        <v>151.37</v>
      </c>
      <c r="J215">
        <v>605.48</v>
      </c>
      <c r="K215" t="s">
        <v>35</v>
      </c>
    </row>
    <row r="216" spans="1:11" x14ac:dyDescent="0.25">
      <c r="A216" s="1">
        <v>44627</v>
      </c>
      <c r="B216" t="s">
        <v>37</v>
      </c>
      <c r="C216" t="s">
        <v>29</v>
      </c>
      <c r="D216" t="s">
        <v>38</v>
      </c>
      <c r="E216" t="s">
        <v>30</v>
      </c>
      <c r="F216" t="s">
        <v>40</v>
      </c>
      <c r="G216" t="s">
        <v>39</v>
      </c>
      <c r="H216">
        <v>5</v>
      </c>
      <c r="I216">
        <v>89.84</v>
      </c>
      <c r="J216">
        <v>449.2</v>
      </c>
      <c r="K216" t="s">
        <v>36</v>
      </c>
    </row>
    <row r="217" spans="1:11" hidden="1" x14ac:dyDescent="0.25">
      <c r="A217" s="1">
        <v>44676</v>
      </c>
      <c r="B217" t="s">
        <v>48</v>
      </c>
      <c r="C217" t="s">
        <v>49</v>
      </c>
      <c r="D217" t="s">
        <v>50</v>
      </c>
      <c r="E217" t="s">
        <v>30</v>
      </c>
      <c r="F217" t="s">
        <v>21</v>
      </c>
      <c r="G217" t="s">
        <v>39</v>
      </c>
      <c r="H217">
        <v>1</v>
      </c>
      <c r="I217">
        <v>276.64</v>
      </c>
      <c r="J217">
        <v>276.64</v>
      </c>
      <c r="K217" t="s">
        <v>17</v>
      </c>
    </row>
    <row r="218" spans="1:11" hidden="1" x14ac:dyDescent="0.25">
      <c r="A218" s="1">
        <v>44635</v>
      </c>
      <c r="B218" t="s">
        <v>48</v>
      </c>
      <c r="C218" t="s">
        <v>49</v>
      </c>
      <c r="D218" t="s">
        <v>50</v>
      </c>
      <c r="E218" t="s">
        <v>14</v>
      </c>
      <c r="F218" t="s">
        <v>15</v>
      </c>
      <c r="G218" t="s">
        <v>43</v>
      </c>
      <c r="H218">
        <v>3</v>
      </c>
      <c r="I218">
        <v>203.41</v>
      </c>
      <c r="J218">
        <v>610.23</v>
      </c>
      <c r="K218" t="s">
        <v>17</v>
      </c>
    </row>
    <row r="219" spans="1:11" x14ac:dyDescent="0.25">
      <c r="A219" s="1">
        <v>44783</v>
      </c>
      <c r="B219" t="s">
        <v>28</v>
      </c>
      <c r="C219" t="s">
        <v>29</v>
      </c>
      <c r="D219" t="s">
        <v>25</v>
      </c>
      <c r="E219" t="s">
        <v>30</v>
      </c>
      <c r="F219" t="s">
        <v>15</v>
      </c>
      <c r="G219" t="s">
        <v>34</v>
      </c>
      <c r="H219">
        <v>2</v>
      </c>
      <c r="I219">
        <v>195.85</v>
      </c>
      <c r="J219">
        <v>391.7</v>
      </c>
      <c r="K219" t="s">
        <v>36</v>
      </c>
    </row>
    <row r="220" spans="1:11" hidden="1" x14ac:dyDescent="0.25">
      <c r="A220" s="1">
        <v>44777</v>
      </c>
      <c r="B220" t="s">
        <v>48</v>
      </c>
      <c r="C220" t="s">
        <v>49</v>
      </c>
      <c r="D220" t="s">
        <v>50</v>
      </c>
      <c r="E220" t="s">
        <v>30</v>
      </c>
      <c r="F220" t="s">
        <v>40</v>
      </c>
      <c r="G220" t="s">
        <v>33</v>
      </c>
      <c r="H220">
        <v>2</v>
      </c>
      <c r="I220">
        <v>288.87</v>
      </c>
      <c r="J220">
        <v>577.74</v>
      </c>
      <c r="K220" t="s">
        <v>35</v>
      </c>
    </row>
    <row r="221" spans="1:11" x14ac:dyDescent="0.25">
      <c r="A221" s="1">
        <v>44692</v>
      </c>
      <c r="B221" t="s">
        <v>28</v>
      </c>
      <c r="C221" t="s">
        <v>29</v>
      </c>
      <c r="D221" t="s">
        <v>25</v>
      </c>
      <c r="E221" t="s">
        <v>30</v>
      </c>
      <c r="F221" t="s">
        <v>40</v>
      </c>
      <c r="G221" t="s">
        <v>33</v>
      </c>
      <c r="H221">
        <v>1</v>
      </c>
      <c r="I221">
        <v>65.45</v>
      </c>
      <c r="J221">
        <v>65.45</v>
      </c>
      <c r="K221" t="s">
        <v>23</v>
      </c>
    </row>
    <row r="222" spans="1:11" x14ac:dyDescent="0.25">
      <c r="A222" s="1">
        <v>44562</v>
      </c>
      <c r="B222" t="s">
        <v>18</v>
      </c>
      <c r="C222" t="s">
        <v>19</v>
      </c>
      <c r="D222" t="s">
        <v>20</v>
      </c>
      <c r="E222" t="s">
        <v>14</v>
      </c>
      <c r="F222" t="s">
        <v>32</v>
      </c>
      <c r="G222" t="s">
        <v>22</v>
      </c>
      <c r="H222">
        <v>1</v>
      </c>
      <c r="I222">
        <v>202.42</v>
      </c>
      <c r="J222">
        <v>202.42</v>
      </c>
      <c r="K222" t="s">
        <v>36</v>
      </c>
    </row>
    <row r="223" spans="1:11" x14ac:dyDescent="0.25">
      <c r="A223" s="1">
        <v>44625</v>
      </c>
      <c r="B223" t="s">
        <v>28</v>
      </c>
      <c r="C223" t="s">
        <v>29</v>
      </c>
      <c r="D223" t="s">
        <v>25</v>
      </c>
      <c r="E223" t="s">
        <v>30</v>
      </c>
      <c r="F223" t="s">
        <v>21</v>
      </c>
      <c r="G223" t="s">
        <v>33</v>
      </c>
      <c r="H223">
        <v>2</v>
      </c>
      <c r="I223">
        <v>51.11</v>
      </c>
      <c r="J223">
        <v>102.22</v>
      </c>
      <c r="K223" t="s">
        <v>23</v>
      </c>
    </row>
    <row r="224" spans="1:11" hidden="1" x14ac:dyDescent="0.25">
      <c r="A224" s="1">
        <v>44766</v>
      </c>
      <c r="B224" t="s">
        <v>45</v>
      </c>
      <c r="C224" t="s">
        <v>46</v>
      </c>
      <c r="D224" t="s">
        <v>47</v>
      </c>
      <c r="E224" t="s">
        <v>30</v>
      </c>
      <c r="F224" t="s">
        <v>15</v>
      </c>
      <c r="G224" t="s">
        <v>16</v>
      </c>
      <c r="H224">
        <v>1</v>
      </c>
      <c r="I224">
        <v>292.68</v>
      </c>
      <c r="J224">
        <v>292.68</v>
      </c>
      <c r="K224" t="s">
        <v>35</v>
      </c>
    </row>
    <row r="225" spans="1:11" hidden="1" x14ac:dyDescent="0.25">
      <c r="A225" s="1">
        <v>44783</v>
      </c>
      <c r="B225" t="s">
        <v>48</v>
      </c>
      <c r="C225" t="s">
        <v>49</v>
      </c>
      <c r="D225" t="s">
        <v>50</v>
      </c>
      <c r="E225" t="s">
        <v>26</v>
      </c>
      <c r="F225" t="s">
        <v>32</v>
      </c>
      <c r="G225" t="s">
        <v>22</v>
      </c>
      <c r="H225">
        <v>2</v>
      </c>
      <c r="I225">
        <v>175.51</v>
      </c>
      <c r="J225">
        <v>351.02</v>
      </c>
      <c r="K225" t="s">
        <v>35</v>
      </c>
    </row>
    <row r="226" spans="1:11" x14ac:dyDescent="0.25">
      <c r="A226" s="1">
        <v>44633</v>
      </c>
      <c r="B226" t="s">
        <v>18</v>
      </c>
      <c r="C226" t="s">
        <v>19</v>
      </c>
      <c r="D226" t="s">
        <v>20</v>
      </c>
      <c r="E226" t="s">
        <v>26</v>
      </c>
      <c r="F226" t="s">
        <v>40</v>
      </c>
      <c r="G226" t="s">
        <v>27</v>
      </c>
      <c r="H226">
        <v>4</v>
      </c>
      <c r="I226">
        <v>211.37</v>
      </c>
      <c r="J226">
        <v>845.48</v>
      </c>
      <c r="K226" t="s">
        <v>17</v>
      </c>
    </row>
    <row r="227" spans="1:11" x14ac:dyDescent="0.25">
      <c r="A227" s="1">
        <v>44643</v>
      </c>
      <c r="B227" t="s">
        <v>28</v>
      </c>
      <c r="C227" t="s">
        <v>29</v>
      </c>
      <c r="D227" t="s">
        <v>25</v>
      </c>
      <c r="E227" t="s">
        <v>14</v>
      </c>
      <c r="F227" t="s">
        <v>32</v>
      </c>
      <c r="G227" t="s">
        <v>27</v>
      </c>
      <c r="H227">
        <v>1</v>
      </c>
      <c r="I227">
        <v>209.78</v>
      </c>
      <c r="J227">
        <v>209.78</v>
      </c>
      <c r="K227" t="s">
        <v>35</v>
      </c>
    </row>
    <row r="228" spans="1:11" x14ac:dyDescent="0.25">
      <c r="A228" s="1">
        <v>44693</v>
      </c>
      <c r="B228" t="s">
        <v>24</v>
      </c>
      <c r="C228" t="s">
        <v>19</v>
      </c>
      <c r="D228" t="s">
        <v>25</v>
      </c>
      <c r="E228" t="s">
        <v>14</v>
      </c>
      <c r="F228" t="s">
        <v>32</v>
      </c>
      <c r="G228" t="s">
        <v>43</v>
      </c>
      <c r="H228">
        <v>1</v>
      </c>
      <c r="I228">
        <v>59.85</v>
      </c>
      <c r="J228">
        <v>59.85</v>
      </c>
      <c r="K228" t="s">
        <v>36</v>
      </c>
    </row>
    <row r="229" spans="1:11" x14ac:dyDescent="0.25">
      <c r="A229" s="1">
        <v>44759</v>
      </c>
      <c r="B229" t="s">
        <v>24</v>
      </c>
      <c r="C229" t="s">
        <v>19</v>
      </c>
      <c r="D229" t="s">
        <v>25</v>
      </c>
      <c r="E229" t="s">
        <v>14</v>
      </c>
      <c r="F229" t="s">
        <v>21</v>
      </c>
      <c r="G229" t="s">
        <v>39</v>
      </c>
      <c r="H229">
        <v>3</v>
      </c>
      <c r="I229">
        <v>156.27000000000001</v>
      </c>
      <c r="J229">
        <v>468.81</v>
      </c>
      <c r="K229" t="s">
        <v>35</v>
      </c>
    </row>
    <row r="230" spans="1:11" x14ac:dyDescent="0.25">
      <c r="A230" s="1">
        <v>44628</v>
      </c>
      <c r="B230" t="s">
        <v>18</v>
      </c>
      <c r="C230" t="s">
        <v>19</v>
      </c>
      <c r="D230" t="s">
        <v>20</v>
      </c>
      <c r="E230" t="s">
        <v>14</v>
      </c>
      <c r="F230" t="s">
        <v>15</v>
      </c>
      <c r="G230" t="s">
        <v>33</v>
      </c>
      <c r="H230">
        <v>2</v>
      </c>
      <c r="I230">
        <v>175</v>
      </c>
      <c r="J230">
        <v>350</v>
      </c>
      <c r="K230" t="s">
        <v>17</v>
      </c>
    </row>
    <row r="231" spans="1:11" x14ac:dyDescent="0.25">
      <c r="A231" s="1">
        <v>44778</v>
      </c>
      <c r="B231" t="s">
        <v>37</v>
      </c>
      <c r="C231" t="s">
        <v>29</v>
      </c>
      <c r="D231" t="s">
        <v>38</v>
      </c>
      <c r="E231" t="s">
        <v>30</v>
      </c>
      <c r="F231" t="s">
        <v>32</v>
      </c>
      <c r="G231" t="s">
        <v>34</v>
      </c>
      <c r="H231">
        <v>2</v>
      </c>
      <c r="I231">
        <v>88</v>
      </c>
      <c r="J231">
        <v>176</v>
      </c>
      <c r="K231" t="s">
        <v>36</v>
      </c>
    </row>
    <row r="232" spans="1:11" x14ac:dyDescent="0.25">
      <c r="A232" s="1">
        <v>44744</v>
      </c>
      <c r="B232" t="s">
        <v>24</v>
      </c>
      <c r="C232" t="s">
        <v>19</v>
      </c>
      <c r="D232" t="s">
        <v>25</v>
      </c>
      <c r="E232" t="s">
        <v>30</v>
      </c>
      <c r="F232" t="s">
        <v>32</v>
      </c>
      <c r="G232" t="s">
        <v>34</v>
      </c>
      <c r="H232">
        <v>4</v>
      </c>
      <c r="I232">
        <v>293.33</v>
      </c>
      <c r="J232">
        <v>1173.32</v>
      </c>
      <c r="K232" t="s">
        <v>17</v>
      </c>
    </row>
    <row r="233" spans="1:11" x14ac:dyDescent="0.25">
      <c r="A233" s="1">
        <v>44759</v>
      </c>
      <c r="B233" t="s">
        <v>24</v>
      </c>
      <c r="C233" t="s">
        <v>19</v>
      </c>
      <c r="D233" t="s">
        <v>25</v>
      </c>
      <c r="E233" t="s">
        <v>14</v>
      </c>
      <c r="F233" t="s">
        <v>15</v>
      </c>
      <c r="G233" t="s">
        <v>27</v>
      </c>
      <c r="H233">
        <v>5</v>
      </c>
      <c r="I233">
        <v>285.37</v>
      </c>
      <c r="J233">
        <v>1426.85</v>
      </c>
      <c r="K233" t="s">
        <v>35</v>
      </c>
    </row>
    <row r="234" spans="1:11" x14ac:dyDescent="0.25">
      <c r="A234" s="1">
        <v>44576</v>
      </c>
      <c r="B234" t="s">
        <v>37</v>
      </c>
      <c r="C234" t="s">
        <v>29</v>
      </c>
      <c r="D234" t="s">
        <v>38</v>
      </c>
      <c r="E234" t="s">
        <v>26</v>
      </c>
      <c r="F234" t="s">
        <v>40</v>
      </c>
      <c r="G234" t="s">
        <v>22</v>
      </c>
      <c r="H234">
        <v>5</v>
      </c>
      <c r="I234">
        <v>220.59</v>
      </c>
      <c r="J234">
        <v>1102.95</v>
      </c>
      <c r="K234" t="s">
        <v>36</v>
      </c>
    </row>
    <row r="235" spans="1:11" x14ac:dyDescent="0.25">
      <c r="A235" s="1">
        <v>44623</v>
      </c>
      <c r="B235" t="s">
        <v>24</v>
      </c>
      <c r="C235" t="s">
        <v>19</v>
      </c>
      <c r="D235" t="s">
        <v>25</v>
      </c>
      <c r="E235" t="s">
        <v>30</v>
      </c>
      <c r="F235" t="s">
        <v>21</v>
      </c>
      <c r="G235" t="s">
        <v>33</v>
      </c>
      <c r="H235">
        <v>5</v>
      </c>
      <c r="I235">
        <v>214</v>
      </c>
      <c r="J235">
        <v>1070</v>
      </c>
      <c r="K235" t="s">
        <v>36</v>
      </c>
    </row>
    <row r="236" spans="1:11" x14ac:dyDescent="0.25">
      <c r="A236" s="1">
        <v>44791</v>
      </c>
      <c r="B236" t="s">
        <v>18</v>
      </c>
      <c r="C236" t="s">
        <v>19</v>
      </c>
      <c r="D236" t="s">
        <v>20</v>
      </c>
      <c r="E236" t="s">
        <v>14</v>
      </c>
      <c r="F236" t="s">
        <v>15</v>
      </c>
      <c r="G236" t="s">
        <v>27</v>
      </c>
      <c r="H236">
        <v>5</v>
      </c>
      <c r="I236">
        <v>208.24</v>
      </c>
      <c r="J236">
        <v>1041.2</v>
      </c>
      <c r="K236" t="s">
        <v>17</v>
      </c>
    </row>
    <row r="237" spans="1:11" x14ac:dyDescent="0.25">
      <c r="A237" s="1">
        <v>44719</v>
      </c>
      <c r="B237" t="s">
        <v>41</v>
      </c>
      <c r="C237" t="s">
        <v>29</v>
      </c>
      <c r="D237" t="s">
        <v>42</v>
      </c>
      <c r="E237" t="s">
        <v>14</v>
      </c>
      <c r="F237" t="s">
        <v>32</v>
      </c>
      <c r="G237" t="s">
        <v>27</v>
      </c>
      <c r="H237">
        <v>4</v>
      </c>
      <c r="I237">
        <v>133.69999999999999</v>
      </c>
      <c r="J237">
        <v>534.79999999999995</v>
      </c>
      <c r="K237" t="s">
        <v>35</v>
      </c>
    </row>
    <row r="238" spans="1:11" x14ac:dyDescent="0.25">
      <c r="A238" s="1">
        <v>44797</v>
      </c>
      <c r="B238" t="s">
        <v>11</v>
      </c>
      <c r="C238" t="s">
        <v>12</v>
      </c>
      <c r="D238" t="s">
        <v>13</v>
      </c>
      <c r="E238" t="s">
        <v>30</v>
      </c>
      <c r="F238" t="s">
        <v>32</v>
      </c>
      <c r="G238" t="s">
        <v>43</v>
      </c>
      <c r="H238">
        <v>2</v>
      </c>
      <c r="I238">
        <v>158.69999999999999</v>
      </c>
      <c r="J238">
        <v>317.39999999999998</v>
      </c>
      <c r="K238" t="s">
        <v>36</v>
      </c>
    </row>
    <row r="239" spans="1:11" x14ac:dyDescent="0.25">
      <c r="A239" s="1">
        <v>44580</v>
      </c>
      <c r="B239" t="s">
        <v>28</v>
      </c>
      <c r="C239" t="s">
        <v>29</v>
      </c>
      <c r="D239" t="s">
        <v>25</v>
      </c>
      <c r="E239" t="s">
        <v>26</v>
      </c>
      <c r="F239" t="s">
        <v>21</v>
      </c>
      <c r="G239" t="s">
        <v>34</v>
      </c>
      <c r="H239">
        <v>2</v>
      </c>
      <c r="I239">
        <v>244.13</v>
      </c>
      <c r="J239">
        <v>488.26</v>
      </c>
      <c r="K239" t="s">
        <v>23</v>
      </c>
    </row>
    <row r="240" spans="1:11" x14ac:dyDescent="0.25">
      <c r="A240" s="1">
        <v>44792</v>
      </c>
      <c r="B240" t="s">
        <v>28</v>
      </c>
      <c r="C240" t="s">
        <v>29</v>
      </c>
      <c r="D240" t="s">
        <v>25</v>
      </c>
      <c r="E240" t="s">
        <v>26</v>
      </c>
      <c r="F240" t="s">
        <v>32</v>
      </c>
      <c r="G240" t="s">
        <v>33</v>
      </c>
      <c r="H240">
        <v>5</v>
      </c>
      <c r="I240">
        <v>147.99</v>
      </c>
      <c r="J240">
        <v>739.95</v>
      </c>
      <c r="K240" t="s">
        <v>35</v>
      </c>
    </row>
    <row r="241" spans="1:11" x14ac:dyDescent="0.25">
      <c r="A241" s="1">
        <v>44784</v>
      </c>
      <c r="B241" t="s">
        <v>11</v>
      </c>
      <c r="C241" t="s">
        <v>12</v>
      </c>
      <c r="D241" t="s">
        <v>13</v>
      </c>
      <c r="E241" t="s">
        <v>14</v>
      </c>
      <c r="F241" t="s">
        <v>32</v>
      </c>
      <c r="G241" t="s">
        <v>16</v>
      </c>
      <c r="H241">
        <v>1</v>
      </c>
      <c r="I241">
        <v>157.81</v>
      </c>
      <c r="J241">
        <v>157.81</v>
      </c>
      <c r="K241" t="s">
        <v>23</v>
      </c>
    </row>
    <row r="242" spans="1:11" hidden="1" x14ac:dyDescent="0.25">
      <c r="A242" s="1">
        <v>44644</v>
      </c>
      <c r="B242" t="s">
        <v>48</v>
      </c>
      <c r="C242" t="s">
        <v>49</v>
      </c>
      <c r="D242" t="s">
        <v>50</v>
      </c>
      <c r="E242" t="s">
        <v>14</v>
      </c>
      <c r="F242" t="s">
        <v>21</v>
      </c>
      <c r="G242" t="s">
        <v>27</v>
      </c>
      <c r="H242">
        <v>2</v>
      </c>
      <c r="I242">
        <v>212.76</v>
      </c>
      <c r="J242">
        <v>425.52</v>
      </c>
      <c r="K242" t="s">
        <v>36</v>
      </c>
    </row>
    <row r="243" spans="1:11" x14ac:dyDescent="0.25">
      <c r="A243" s="1">
        <v>44578</v>
      </c>
      <c r="B243" t="s">
        <v>44</v>
      </c>
      <c r="C243" t="s">
        <v>19</v>
      </c>
      <c r="D243" t="s">
        <v>20</v>
      </c>
      <c r="E243" t="s">
        <v>26</v>
      </c>
      <c r="F243" t="s">
        <v>32</v>
      </c>
      <c r="G243" t="s">
        <v>33</v>
      </c>
      <c r="H243">
        <v>3</v>
      </c>
      <c r="I243">
        <v>225.9</v>
      </c>
      <c r="J243">
        <v>677.7</v>
      </c>
      <c r="K243" t="s">
        <v>36</v>
      </c>
    </row>
    <row r="244" spans="1:11" hidden="1" x14ac:dyDescent="0.25">
      <c r="A244" s="1">
        <v>44601</v>
      </c>
      <c r="B244" t="s">
        <v>45</v>
      </c>
      <c r="C244" t="s">
        <v>46</v>
      </c>
      <c r="D244" t="s">
        <v>47</v>
      </c>
      <c r="E244" t="s">
        <v>30</v>
      </c>
      <c r="F244" t="s">
        <v>21</v>
      </c>
      <c r="G244" t="s">
        <v>39</v>
      </c>
      <c r="H244">
        <v>3</v>
      </c>
      <c r="I244">
        <v>112.98</v>
      </c>
      <c r="J244">
        <v>338.94</v>
      </c>
      <c r="K244" t="s">
        <v>36</v>
      </c>
    </row>
    <row r="245" spans="1:11" hidden="1" x14ac:dyDescent="0.25">
      <c r="A245" s="1">
        <v>44694</v>
      </c>
      <c r="B245" t="s">
        <v>45</v>
      </c>
      <c r="C245" t="s">
        <v>46</v>
      </c>
      <c r="D245" t="s">
        <v>47</v>
      </c>
      <c r="E245" t="s">
        <v>14</v>
      </c>
      <c r="F245" t="s">
        <v>32</v>
      </c>
      <c r="G245" t="s">
        <v>39</v>
      </c>
      <c r="H245">
        <v>2</v>
      </c>
      <c r="I245">
        <v>100.84</v>
      </c>
      <c r="J245">
        <v>201.68</v>
      </c>
      <c r="K245" t="s">
        <v>23</v>
      </c>
    </row>
    <row r="246" spans="1:11" x14ac:dyDescent="0.25">
      <c r="A246" s="1">
        <v>44595</v>
      </c>
      <c r="B246" t="s">
        <v>31</v>
      </c>
      <c r="C246" t="s">
        <v>19</v>
      </c>
      <c r="D246" t="s">
        <v>25</v>
      </c>
      <c r="E246" t="s">
        <v>26</v>
      </c>
      <c r="F246" t="s">
        <v>32</v>
      </c>
      <c r="G246" t="s">
        <v>39</v>
      </c>
      <c r="H246">
        <v>4</v>
      </c>
      <c r="I246">
        <v>292.75</v>
      </c>
      <c r="J246">
        <v>1171</v>
      </c>
      <c r="K246" t="s">
        <v>36</v>
      </c>
    </row>
    <row r="247" spans="1:11" x14ac:dyDescent="0.25">
      <c r="A247" s="1">
        <v>44600</v>
      </c>
      <c r="B247" t="s">
        <v>28</v>
      </c>
      <c r="C247" t="s">
        <v>29</v>
      </c>
      <c r="D247" t="s">
        <v>25</v>
      </c>
      <c r="E247" t="s">
        <v>30</v>
      </c>
      <c r="F247" t="s">
        <v>21</v>
      </c>
      <c r="G247" t="s">
        <v>34</v>
      </c>
      <c r="H247">
        <v>3</v>
      </c>
      <c r="I247">
        <v>82.62</v>
      </c>
      <c r="J247">
        <v>247.86</v>
      </c>
      <c r="K247" t="s">
        <v>23</v>
      </c>
    </row>
    <row r="248" spans="1:11" x14ac:dyDescent="0.25">
      <c r="A248" s="1">
        <v>44760</v>
      </c>
      <c r="B248" t="s">
        <v>37</v>
      </c>
      <c r="C248" t="s">
        <v>29</v>
      </c>
      <c r="D248" t="s">
        <v>38</v>
      </c>
      <c r="E248" t="s">
        <v>30</v>
      </c>
      <c r="F248" t="s">
        <v>40</v>
      </c>
      <c r="G248" t="s">
        <v>33</v>
      </c>
      <c r="H248">
        <v>3</v>
      </c>
      <c r="I248">
        <v>246.13</v>
      </c>
      <c r="J248">
        <v>738.39</v>
      </c>
      <c r="K248" t="s">
        <v>35</v>
      </c>
    </row>
    <row r="249" spans="1:11" x14ac:dyDescent="0.25">
      <c r="A249" s="1">
        <v>44680</v>
      </c>
      <c r="B249" t="s">
        <v>24</v>
      </c>
      <c r="C249" t="s">
        <v>19</v>
      </c>
      <c r="D249" t="s">
        <v>25</v>
      </c>
      <c r="E249" t="s">
        <v>30</v>
      </c>
      <c r="F249" t="s">
        <v>21</v>
      </c>
      <c r="G249" t="s">
        <v>27</v>
      </c>
      <c r="H249">
        <v>4</v>
      </c>
      <c r="I249">
        <v>168.01</v>
      </c>
      <c r="J249">
        <v>672.04</v>
      </c>
      <c r="K249" t="s">
        <v>36</v>
      </c>
    </row>
    <row r="250" spans="1:11" x14ac:dyDescent="0.25">
      <c r="A250" s="1">
        <v>44799</v>
      </c>
      <c r="B250" t="s">
        <v>44</v>
      </c>
      <c r="C250" t="s">
        <v>19</v>
      </c>
      <c r="D250" t="s">
        <v>20</v>
      </c>
      <c r="E250" t="s">
        <v>30</v>
      </c>
      <c r="F250" t="s">
        <v>40</v>
      </c>
      <c r="G250" t="s">
        <v>16</v>
      </c>
      <c r="H250">
        <v>1</v>
      </c>
      <c r="I250">
        <v>93.08</v>
      </c>
      <c r="J250">
        <v>93.08</v>
      </c>
      <c r="K250" t="s">
        <v>36</v>
      </c>
    </row>
    <row r="251" spans="1:11" x14ac:dyDescent="0.25">
      <c r="A251" s="1">
        <v>44575</v>
      </c>
      <c r="B251" t="s">
        <v>37</v>
      </c>
      <c r="C251" t="s">
        <v>29</v>
      </c>
      <c r="D251" t="s">
        <v>38</v>
      </c>
      <c r="E251" t="s">
        <v>26</v>
      </c>
      <c r="F251" t="s">
        <v>15</v>
      </c>
      <c r="G251" t="s">
        <v>33</v>
      </c>
      <c r="H251">
        <v>3</v>
      </c>
      <c r="I251">
        <v>161.55000000000001</v>
      </c>
      <c r="J251">
        <v>484.65</v>
      </c>
      <c r="K251" t="s">
        <v>35</v>
      </c>
    </row>
    <row r="252" spans="1:11" hidden="1" x14ac:dyDescent="0.25">
      <c r="A252" s="1">
        <v>44617</v>
      </c>
      <c r="B252" t="s">
        <v>45</v>
      </c>
      <c r="C252" t="s">
        <v>46</v>
      </c>
      <c r="D252" t="s">
        <v>47</v>
      </c>
      <c r="E252" t="s">
        <v>30</v>
      </c>
      <c r="F252" t="s">
        <v>32</v>
      </c>
      <c r="G252" t="s">
        <v>27</v>
      </c>
      <c r="H252">
        <v>3</v>
      </c>
      <c r="I252">
        <v>228.84</v>
      </c>
      <c r="J252">
        <v>686.52</v>
      </c>
      <c r="K252" t="s">
        <v>35</v>
      </c>
    </row>
    <row r="253" spans="1:11" x14ac:dyDescent="0.25">
      <c r="A253" s="1">
        <v>44704</v>
      </c>
      <c r="B253" t="s">
        <v>37</v>
      </c>
      <c r="C253" t="s">
        <v>29</v>
      </c>
      <c r="D253" t="s">
        <v>38</v>
      </c>
      <c r="E253" t="s">
        <v>26</v>
      </c>
      <c r="F253" t="s">
        <v>40</v>
      </c>
      <c r="G253" t="s">
        <v>22</v>
      </c>
      <c r="H253">
        <v>4</v>
      </c>
      <c r="I253">
        <v>221.31</v>
      </c>
      <c r="J253">
        <v>885.24</v>
      </c>
      <c r="K253" t="s">
        <v>17</v>
      </c>
    </row>
    <row r="254" spans="1:11" hidden="1" x14ac:dyDescent="0.25">
      <c r="A254" s="1">
        <v>44768</v>
      </c>
      <c r="B254" t="s">
        <v>45</v>
      </c>
      <c r="C254" t="s">
        <v>46</v>
      </c>
      <c r="D254" t="s">
        <v>47</v>
      </c>
      <c r="E254" t="s">
        <v>26</v>
      </c>
      <c r="F254" t="s">
        <v>40</v>
      </c>
      <c r="G254" t="s">
        <v>34</v>
      </c>
      <c r="H254">
        <v>2</v>
      </c>
      <c r="I254">
        <v>287.68</v>
      </c>
      <c r="J254">
        <v>575.36</v>
      </c>
      <c r="K254" t="s">
        <v>23</v>
      </c>
    </row>
    <row r="255" spans="1:11" x14ac:dyDescent="0.25">
      <c r="A255" s="1">
        <v>44577</v>
      </c>
      <c r="B255" t="s">
        <v>24</v>
      </c>
      <c r="C255" t="s">
        <v>19</v>
      </c>
      <c r="D255" t="s">
        <v>25</v>
      </c>
      <c r="E255" t="s">
        <v>26</v>
      </c>
      <c r="F255" t="s">
        <v>15</v>
      </c>
      <c r="G255" t="s">
        <v>34</v>
      </c>
      <c r="H255">
        <v>5</v>
      </c>
      <c r="I255">
        <v>168.7</v>
      </c>
      <c r="J255">
        <v>843.5</v>
      </c>
      <c r="K255" t="s">
        <v>36</v>
      </c>
    </row>
    <row r="256" spans="1:11" x14ac:dyDescent="0.25">
      <c r="A256" s="1">
        <v>44713</v>
      </c>
      <c r="B256" t="s">
        <v>11</v>
      </c>
      <c r="C256" t="s">
        <v>12</v>
      </c>
      <c r="D256" t="s">
        <v>13</v>
      </c>
      <c r="E256" t="s">
        <v>26</v>
      </c>
      <c r="F256" t="s">
        <v>21</v>
      </c>
      <c r="G256" t="s">
        <v>34</v>
      </c>
      <c r="H256">
        <v>3</v>
      </c>
      <c r="I256">
        <v>153.82</v>
      </c>
      <c r="J256">
        <v>461.46</v>
      </c>
      <c r="K256" t="s">
        <v>23</v>
      </c>
    </row>
    <row r="257" spans="1:11" x14ac:dyDescent="0.25">
      <c r="A257" s="1">
        <v>44605</v>
      </c>
      <c r="B257" t="s">
        <v>44</v>
      </c>
      <c r="C257" t="s">
        <v>19</v>
      </c>
      <c r="D257" t="s">
        <v>20</v>
      </c>
      <c r="E257" t="s">
        <v>14</v>
      </c>
      <c r="F257" t="s">
        <v>32</v>
      </c>
      <c r="G257" t="s">
        <v>16</v>
      </c>
      <c r="H257">
        <v>4</v>
      </c>
      <c r="I257">
        <v>281</v>
      </c>
      <c r="J257">
        <v>1124</v>
      </c>
      <c r="K257" t="s">
        <v>35</v>
      </c>
    </row>
    <row r="258" spans="1:11" hidden="1" x14ac:dyDescent="0.25">
      <c r="A258" s="1">
        <v>44648</v>
      </c>
      <c r="B258" t="s">
        <v>48</v>
      </c>
      <c r="C258" t="s">
        <v>49</v>
      </c>
      <c r="D258" t="s">
        <v>50</v>
      </c>
      <c r="E258" t="s">
        <v>26</v>
      </c>
      <c r="F258" t="s">
        <v>21</v>
      </c>
      <c r="G258" t="s">
        <v>43</v>
      </c>
      <c r="H258">
        <v>5</v>
      </c>
      <c r="I258">
        <v>112.4</v>
      </c>
      <c r="J258">
        <v>562</v>
      </c>
      <c r="K258" t="s">
        <v>36</v>
      </c>
    </row>
    <row r="259" spans="1:11" x14ac:dyDescent="0.25">
      <c r="A259" s="1">
        <v>44581</v>
      </c>
      <c r="B259" t="s">
        <v>37</v>
      </c>
      <c r="C259" t="s">
        <v>29</v>
      </c>
      <c r="D259" t="s">
        <v>38</v>
      </c>
      <c r="E259" t="s">
        <v>14</v>
      </c>
      <c r="F259" t="s">
        <v>15</v>
      </c>
      <c r="G259" t="s">
        <v>39</v>
      </c>
      <c r="H259">
        <v>1</v>
      </c>
      <c r="I259">
        <v>233.16</v>
      </c>
      <c r="J259">
        <v>233.16</v>
      </c>
      <c r="K259" t="s">
        <v>23</v>
      </c>
    </row>
    <row r="260" spans="1:11" x14ac:dyDescent="0.25">
      <c r="A260" s="1">
        <v>44619</v>
      </c>
      <c r="B260" t="s">
        <v>18</v>
      </c>
      <c r="C260" t="s">
        <v>19</v>
      </c>
      <c r="D260" t="s">
        <v>20</v>
      </c>
      <c r="E260" t="s">
        <v>14</v>
      </c>
      <c r="F260" t="s">
        <v>40</v>
      </c>
      <c r="G260" t="s">
        <v>22</v>
      </c>
      <c r="H260">
        <v>5</v>
      </c>
      <c r="I260">
        <v>248.71</v>
      </c>
      <c r="J260">
        <v>1243.55</v>
      </c>
      <c r="K260" t="s">
        <v>36</v>
      </c>
    </row>
    <row r="261" spans="1:11" x14ac:dyDescent="0.25">
      <c r="A261" s="1">
        <v>44707</v>
      </c>
      <c r="B261" t="s">
        <v>28</v>
      </c>
      <c r="C261" t="s">
        <v>29</v>
      </c>
      <c r="D261" t="s">
        <v>25</v>
      </c>
      <c r="E261" t="s">
        <v>30</v>
      </c>
      <c r="F261" t="s">
        <v>32</v>
      </c>
      <c r="G261" t="s">
        <v>33</v>
      </c>
      <c r="H261">
        <v>5</v>
      </c>
      <c r="I261">
        <v>157.19999999999999</v>
      </c>
      <c r="J261">
        <v>786</v>
      </c>
      <c r="K261" t="s">
        <v>36</v>
      </c>
    </row>
    <row r="262" spans="1:11" x14ac:dyDescent="0.25">
      <c r="A262" s="1">
        <v>44590</v>
      </c>
      <c r="B262" t="s">
        <v>18</v>
      </c>
      <c r="C262" t="s">
        <v>19</v>
      </c>
      <c r="D262" t="s">
        <v>20</v>
      </c>
      <c r="E262" t="s">
        <v>30</v>
      </c>
      <c r="F262" t="s">
        <v>15</v>
      </c>
      <c r="G262" t="s">
        <v>33</v>
      </c>
      <c r="H262">
        <v>4</v>
      </c>
      <c r="I262">
        <v>113.75</v>
      </c>
      <c r="J262">
        <v>455</v>
      </c>
      <c r="K262" t="s">
        <v>36</v>
      </c>
    </row>
    <row r="263" spans="1:11" x14ac:dyDescent="0.25">
      <c r="A263" s="1">
        <v>44665</v>
      </c>
      <c r="B263" t="s">
        <v>18</v>
      </c>
      <c r="C263" t="s">
        <v>19</v>
      </c>
      <c r="D263" t="s">
        <v>20</v>
      </c>
      <c r="E263" t="s">
        <v>26</v>
      </c>
      <c r="F263" t="s">
        <v>21</v>
      </c>
      <c r="G263" t="s">
        <v>27</v>
      </c>
      <c r="H263">
        <v>1</v>
      </c>
      <c r="I263">
        <v>109.66</v>
      </c>
      <c r="J263">
        <v>109.66</v>
      </c>
      <c r="K263" t="s">
        <v>23</v>
      </c>
    </row>
    <row r="264" spans="1:11" hidden="1" x14ac:dyDescent="0.25">
      <c r="A264" s="1">
        <v>44718</v>
      </c>
      <c r="B264" t="s">
        <v>48</v>
      </c>
      <c r="C264" t="s">
        <v>49</v>
      </c>
      <c r="D264" t="s">
        <v>50</v>
      </c>
      <c r="E264" t="s">
        <v>26</v>
      </c>
      <c r="F264" t="s">
        <v>32</v>
      </c>
      <c r="G264" t="s">
        <v>43</v>
      </c>
      <c r="H264">
        <v>1</v>
      </c>
      <c r="I264">
        <v>81.569999999999993</v>
      </c>
      <c r="J264">
        <v>81.569999999999993</v>
      </c>
      <c r="K264" t="s">
        <v>35</v>
      </c>
    </row>
    <row r="265" spans="1:11" x14ac:dyDescent="0.25">
      <c r="A265" s="1">
        <v>44600</v>
      </c>
      <c r="B265" t="s">
        <v>11</v>
      </c>
      <c r="C265" t="s">
        <v>12</v>
      </c>
      <c r="D265" t="s">
        <v>13</v>
      </c>
      <c r="E265" t="s">
        <v>30</v>
      </c>
      <c r="F265" t="s">
        <v>32</v>
      </c>
      <c r="G265" t="s">
        <v>39</v>
      </c>
      <c r="H265">
        <v>2</v>
      </c>
      <c r="I265">
        <v>247.2</v>
      </c>
      <c r="J265">
        <v>494.4</v>
      </c>
      <c r="K265" t="s">
        <v>35</v>
      </c>
    </row>
    <row r="266" spans="1:11" hidden="1" x14ac:dyDescent="0.25">
      <c r="A266" s="1">
        <v>44687</v>
      </c>
      <c r="B266" t="s">
        <v>48</v>
      </c>
      <c r="C266" t="s">
        <v>49</v>
      </c>
      <c r="D266" t="s">
        <v>50</v>
      </c>
      <c r="E266" t="s">
        <v>26</v>
      </c>
      <c r="F266" t="s">
        <v>40</v>
      </c>
      <c r="G266" t="s">
        <v>16</v>
      </c>
      <c r="H266">
        <v>4</v>
      </c>
      <c r="I266">
        <v>250.26</v>
      </c>
      <c r="J266">
        <v>1001.04</v>
      </c>
      <c r="K266" t="s">
        <v>17</v>
      </c>
    </row>
    <row r="267" spans="1:11" x14ac:dyDescent="0.25">
      <c r="A267" s="1">
        <v>44567</v>
      </c>
      <c r="B267" t="s">
        <v>44</v>
      </c>
      <c r="C267" t="s">
        <v>19</v>
      </c>
      <c r="D267" t="s">
        <v>20</v>
      </c>
      <c r="E267" t="s">
        <v>14</v>
      </c>
      <c r="F267" t="s">
        <v>40</v>
      </c>
      <c r="G267" t="s">
        <v>27</v>
      </c>
      <c r="H267">
        <v>1</v>
      </c>
      <c r="I267">
        <v>137.19999999999999</v>
      </c>
      <c r="J267">
        <v>137.19999999999999</v>
      </c>
      <c r="K267" t="s">
        <v>17</v>
      </c>
    </row>
    <row r="268" spans="1:11" x14ac:dyDescent="0.25">
      <c r="A268" s="1">
        <v>44638</v>
      </c>
      <c r="B268" t="s">
        <v>44</v>
      </c>
      <c r="C268" t="s">
        <v>19</v>
      </c>
      <c r="D268" t="s">
        <v>20</v>
      </c>
      <c r="E268" t="s">
        <v>26</v>
      </c>
      <c r="F268" t="s">
        <v>21</v>
      </c>
      <c r="G268" t="s">
        <v>39</v>
      </c>
      <c r="H268">
        <v>3</v>
      </c>
      <c r="I268">
        <v>164.06</v>
      </c>
      <c r="J268">
        <v>492.18</v>
      </c>
      <c r="K268" t="s">
        <v>35</v>
      </c>
    </row>
    <row r="269" spans="1:11" x14ac:dyDescent="0.25">
      <c r="A269" s="1">
        <v>44599</v>
      </c>
      <c r="B269" t="s">
        <v>37</v>
      </c>
      <c r="C269" t="s">
        <v>29</v>
      </c>
      <c r="D269" t="s">
        <v>38</v>
      </c>
      <c r="E269" t="s">
        <v>14</v>
      </c>
      <c r="F269" t="s">
        <v>21</v>
      </c>
      <c r="G269" t="s">
        <v>22</v>
      </c>
      <c r="H269">
        <v>4</v>
      </c>
      <c r="I269">
        <v>198.45</v>
      </c>
      <c r="J269">
        <v>793.8</v>
      </c>
      <c r="K269" t="s">
        <v>36</v>
      </c>
    </row>
    <row r="270" spans="1:11" hidden="1" x14ac:dyDescent="0.25">
      <c r="A270" s="1">
        <v>44717</v>
      </c>
      <c r="B270" t="s">
        <v>48</v>
      </c>
      <c r="C270" t="s">
        <v>49</v>
      </c>
      <c r="D270" t="s">
        <v>50</v>
      </c>
      <c r="E270" t="s">
        <v>14</v>
      </c>
      <c r="F270" t="s">
        <v>15</v>
      </c>
      <c r="G270" t="s">
        <v>27</v>
      </c>
      <c r="H270">
        <v>2</v>
      </c>
      <c r="I270">
        <v>162.47999999999999</v>
      </c>
      <c r="J270">
        <v>324.95999999999998</v>
      </c>
      <c r="K270" t="s">
        <v>23</v>
      </c>
    </row>
    <row r="271" spans="1:11" x14ac:dyDescent="0.25">
      <c r="A271" s="1">
        <v>44725</v>
      </c>
      <c r="B271" t="s">
        <v>41</v>
      </c>
      <c r="C271" t="s">
        <v>29</v>
      </c>
      <c r="D271" t="s">
        <v>42</v>
      </c>
      <c r="E271" t="s">
        <v>30</v>
      </c>
      <c r="F271" t="s">
        <v>32</v>
      </c>
      <c r="G271" t="s">
        <v>34</v>
      </c>
      <c r="H271">
        <v>4</v>
      </c>
      <c r="I271">
        <v>243.48</v>
      </c>
      <c r="J271">
        <v>973.92</v>
      </c>
      <c r="K271" t="s">
        <v>36</v>
      </c>
    </row>
    <row r="272" spans="1:11" x14ac:dyDescent="0.25">
      <c r="A272" s="1">
        <v>44783</v>
      </c>
      <c r="B272" t="s">
        <v>24</v>
      </c>
      <c r="C272" t="s">
        <v>19</v>
      </c>
      <c r="D272" t="s">
        <v>25</v>
      </c>
      <c r="E272" t="s">
        <v>26</v>
      </c>
      <c r="F272" t="s">
        <v>15</v>
      </c>
      <c r="G272" t="s">
        <v>34</v>
      </c>
      <c r="H272">
        <v>4</v>
      </c>
      <c r="I272">
        <v>183.4</v>
      </c>
      <c r="J272">
        <v>733.6</v>
      </c>
      <c r="K272" t="s">
        <v>17</v>
      </c>
    </row>
    <row r="273" spans="1:11" x14ac:dyDescent="0.25">
      <c r="A273" s="1">
        <v>44686</v>
      </c>
      <c r="B273" t="s">
        <v>37</v>
      </c>
      <c r="C273" t="s">
        <v>29</v>
      </c>
      <c r="D273" t="s">
        <v>38</v>
      </c>
      <c r="E273" t="s">
        <v>30</v>
      </c>
      <c r="F273" t="s">
        <v>21</v>
      </c>
      <c r="G273" t="s">
        <v>34</v>
      </c>
      <c r="H273">
        <v>1</v>
      </c>
      <c r="I273">
        <v>271.44</v>
      </c>
      <c r="J273">
        <v>271.44</v>
      </c>
      <c r="K273" t="s">
        <v>23</v>
      </c>
    </row>
    <row r="274" spans="1:11" x14ac:dyDescent="0.25">
      <c r="A274" s="1">
        <v>44621</v>
      </c>
      <c r="B274" t="s">
        <v>37</v>
      </c>
      <c r="C274" t="s">
        <v>29</v>
      </c>
      <c r="D274" t="s">
        <v>38</v>
      </c>
      <c r="E274" t="s">
        <v>14</v>
      </c>
      <c r="F274" t="s">
        <v>15</v>
      </c>
      <c r="G274" t="s">
        <v>22</v>
      </c>
      <c r="H274">
        <v>2</v>
      </c>
      <c r="I274">
        <v>135.47999999999999</v>
      </c>
      <c r="J274">
        <v>270.95999999999998</v>
      </c>
      <c r="K274" t="s">
        <v>23</v>
      </c>
    </row>
    <row r="275" spans="1:11" x14ac:dyDescent="0.25">
      <c r="A275" s="1">
        <v>44582</v>
      </c>
      <c r="B275" t="s">
        <v>11</v>
      </c>
      <c r="C275" t="s">
        <v>12</v>
      </c>
      <c r="D275" t="s">
        <v>13</v>
      </c>
      <c r="E275" t="s">
        <v>30</v>
      </c>
      <c r="F275" t="s">
        <v>40</v>
      </c>
      <c r="G275" t="s">
        <v>16</v>
      </c>
      <c r="H275">
        <v>5</v>
      </c>
      <c r="I275">
        <v>148.46</v>
      </c>
      <c r="J275">
        <v>742.3</v>
      </c>
      <c r="K275" t="s">
        <v>17</v>
      </c>
    </row>
    <row r="276" spans="1:11" hidden="1" x14ac:dyDescent="0.25">
      <c r="A276" s="1">
        <v>44752</v>
      </c>
      <c r="B276" t="s">
        <v>45</v>
      </c>
      <c r="C276" t="s">
        <v>46</v>
      </c>
      <c r="D276" t="s">
        <v>47</v>
      </c>
      <c r="E276" t="s">
        <v>30</v>
      </c>
      <c r="F276" t="s">
        <v>32</v>
      </c>
      <c r="G276" t="s">
        <v>39</v>
      </c>
      <c r="H276">
        <v>5</v>
      </c>
      <c r="I276">
        <v>251.06</v>
      </c>
      <c r="J276">
        <v>1255.3</v>
      </c>
      <c r="K276" t="s">
        <v>35</v>
      </c>
    </row>
    <row r="277" spans="1:11" hidden="1" x14ac:dyDescent="0.25">
      <c r="A277" s="1">
        <v>44632</v>
      </c>
      <c r="B277" t="s">
        <v>45</v>
      </c>
      <c r="C277" t="s">
        <v>46</v>
      </c>
      <c r="D277" t="s">
        <v>47</v>
      </c>
      <c r="E277" t="s">
        <v>14</v>
      </c>
      <c r="F277" t="s">
        <v>21</v>
      </c>
      <c r="G277" t="s">
        <v>27</v>
      </c>
      <c r="H277">
        <v>2</v>
      </c>
      <c r="I277">
        <v>195.41</v>
      </c>
      <c r="J277">
        <v>390.82</v>
      </c>
      <c r="K277" t="s">
        <v>17</v>
      </c>
    </row>
    <row r="278" spans="1:11" x14ac:dyDescent="0.25">
      <c r="A278" s="1">
        <v>44583</v>
      </c>
      <c r="B278" t="s">
        <v>18</v>
      </c>
      <c r="C278" t="s">
        <v>19</v>
      </c>
      <c r="D278" t="s">
        <v>20</v>
      </c>
      <c r="E278" t="s">
        <v>14</v>
      </c>
      <c r="F278" t="s">
        <v>15</v>
      </c>
      <c r="G278" t="s">
        <v>43</v>
      </c>
      <c r="H278">
        <v>4</v>
      </c>
      <c r="I278">
        <v>206.29</v>
      </c>
      <c r="J278">
        <v>825.16</v>
      </c>
      <c r="K278" t="s">
        <v>36</v>
      </c>
    </row>
    <row r="279" spans="1:11" hidden="1" x14ac:dyDescent="0.25">
      <c r="A279" s="1">
        <v>44694</v>
      </c>
      <c r="B279" t="s">
        <v>45</v>
      </c>
      <c r="C279" t="s">
        <v>46</v>
      </c>
      <c r="D279" t="s">
        <v>47</v>
      </c>
      <c r="E279" t="s">
        <v>26</v>
      </c>
      <c r="F279" t="s">
        <v>21</v>
      </c>
      <c r="G279" t="s">
        <v>16</v>
      </c>
      <c r="H279">
        <v>4</v>
      </c>
      <c r="I279">
        <v>146.09</v>
      </c>
      <c r="J279">
        <v>584.36</v>
      </c>
      <c r="K279" t="s">
        <v>23</v>
      </c>
    </row>
    <row r="280" spans="1:11" x14ac:dyDescent="0.25">
      <c r="A280" s="1">
        <v>44707</v>
      </c>
      <c r="B280" t="s">
        <v>18</v>
      </c>
      <c r="C280" t="s">
        <v>19</v>
      </c>
      <c r="D280" t="s">
        <v>20</v>
      </c>
      <c r="E280" t="s">
        <v>26</v>
      </c>
      <c r="F280" t="s">
        <v>15</v>
      </c>
      <c r="G280" t="s">
        <v>22</v>
      </c>
      <c r="H280">
        <v>1</v>
      </c>
      <c r="I280">
        <v>284.3</v>
      </c>
      <c r="J280">
        <v>284.3</v>
      </c>
      <c r="K280" t="s">
        <v>17</v>
      </c>
    </row>
    <row r="281" spans="1:11" hidden="1" x14ac:dyDescent="0.25">
      <c r="A281" s="1">
        <v>44575</v>
      </c>
      <c r="B281" t="s">
        <v>48</v>
      </c>
      <c r="C281" t="s">
        <v>49</v>
      </c>
      <c r="D281" t="s">
        <v>50</v>
      </c>
      <c r="E281" t="s">
        <v>14</v>
      </c>
      <c r="F281" t="s">
        <v>15</v>
      </c>
      <c r="G281" t="s">
        <v>33</v>
      </c>
      <c r="H281">
        <v>5</v>
      </c>
      <c r="I281">
        <v>289.47000000000003</v>
      </c>
      <c r="J281">
        <v>1447.35</v>
      </c>
      <c r="K281" t="s">
        <v>17</v>
      </c>
    </row>
    <row r="282" spans="1:11" x14ac:dyDescent="0.25">
      <c r="A282" s="1">
        <v>44630</v>
      </c>
      <c r="B282" t="s">
        <v>28</v>
      </c>
      <c r="C282" t="s">
        <v>29</v>
      </c>
      <c r="D282" t="s">
        <v>25</v>
      </c>
      <c r="E282" t="s">
        <v>26</v>
      </c>
      <c r="F282" t="s">
        <v>40</v>
      </c>
      <c r="G282" t="s">
        <v>34</v>
      </c>
      <c r="H282">
        <v>2</v>
      </c>
      <c r="I282">
        <v>218.25</v>
      </c>
      <c r="J282">
        <v>436.5</v>
      </c>
      <c r="K282" t="s">
        <v>36</v>
      </c>
    </row>
    <row r="283" spans="1:11" x14ac:dyDescent="0.25">
      <c r="A283" s="1">
        <v>44750</v>
      </c>
      <c r="B283" t="s">
        <v>31</v>
      </c>
      <c r="C283" t="s">
        <v>19</v>
      </c>
      <c r="D283" t="s">
        <v>25</v>
      </c>
      <c r="E283" t="s">
        <v>30</v>
      </c>
      <c r="F283" t="s">
        <v>21</v>
      </c>
      <c r="G283" t="s">
        <v>43</v>
      </c>
      <c r="H283">
        <v>4</v>
      </c>
      <c r="I283">
        <v>204.62</v>
      </c>
      <c r="J283">
        <v>818.48</v>
      </c>
      <c r="K283" t="s">
        <v>36</v>
      </c>
    </row>
    <row r="284" spans="1:11" hidden="1" x14ac:dyDescent="0.25">
      <c r="A284" s="1">
        <v>44564</v>
      </c>
      <c r="B284" t="s">
        <v>48</v>
      </c>
      <c r="C284" t="s">
        <v>49</v>
      </c>
      <c r="D284" t="s">
        <v>50</v>
      </c>
      <c r="E284" t="s">
        <v>26</v>
      </c>
      <c r="F284" t="s">
        <v>15</v>
      </c>
      <c r="G284" t="s">
        <v>16</v>
      </c>
      <c r="H284">
        <v>2</v>
      </c>
      <c r="I284">
        <v>267.42</v>
      </c>
      <c r="J284">
        <v>534.84</v>
      </c>
      <c r="K284" t="s">
        <v>23</v>
      </c>
    </row>
    <row r="285" spans="1:11" x14ac:dyDescent="0.25">
      <c r="A285" s="1">
        <v>44653</v>
      </c>
      <c r="B285" t="s">
        <v>41</v>
      </c>
      <c r="C285" t="s">
        <v>29</v>
      </c>
      <c r="D285" t="s">
        <v>42</v>
      </c>
      <c r="E285" t="s">
        <v>30</v>
      </c>
      <c r="F285" t="s">
        <v>32</v>
      </c>
      <c r="G285" t="s">
        <v>27</v>
      </c>
      <c r="H285">
        <v>1</v>
      </c>
      <c r="I285">
        <v>144.59</v>
      </c>
      <c r="J285">
        <v>144.59</v>
      </c>
      <c r="K285" t="s">
        <v>35</v>
      </c>
    </row>
    <row r="286" spans="1:11" x14ac:dyDescent="0.25">
      <c r="A286" s="1">
        <v>44790</v>
      </c>
      <c r="B286" t="s">
        <v>18</v>
      </c>
      <c r="C286" t="s">
        <v>19</v>
      </c>
      <c r="D286" t="s">
        <v>20</v>
      </c>
      <c r="E286" t="s">
        <v>30</v>
      </c>
      <c r="F286" t="s">
        <v>40</v>
      </c>
      <c r="G286" t="s">
        <v>39</v>
      </c>
      <c r="H286">
        <v>2</v>
      </c>
      <c r="I286">
        <v>80.47</v>
      </c>
      <c r="J286">
        <v>160.94</v>
      </c>
      <c r="K286" t="s">
        <v>17</v>
      </c>
    </row>
    <row r="287" spans="1:11" x14ac:dyDescent="0.25">
      <c r="A287" s="1">
        <v>44677</v>
      </c>
      <c r="B287" t="s">
        <v>28</v>
      </c>
      <c r="C287" t="s">
        <v>29</v>
      </c>
      <c r="D287" t="s">
        <v>25</v>
      </c>
      <c r="E287" t="s">
        <v>30</v>
      </c>
      <c r="F287" t="s">
        <v>32</v>
      </c>
      <c r="G287" t="s">
        <v>39</v>
      </c>
      <c r="H287">
        <v>2</v>
      </c>
      <c r="I287">
        <v>98.17</v>
      </c>
      <c r="J287">
        <v>196.34</v>
      </c>
      <c r="K287" t="s">
        <v>17</v>
      </c>
    </row>
    <row r="288" spans="1:11" x14ac:dyDescent="0.25">
      <c r="A288" s="1">
        <v>44727</v>
      </c>
      <c r="B288" t="s">
        <v>37</v>
      </c>
      <c r="C288" t="s">
        <v>29</v>
      </c>
      <c r="D288" t="s">
        <v>38</v>
      </c>
      <c r="E288" t="s">
        <v>30</v>
      </c>
      <c r="F288" t="s">
        <v>40</v>
      </c>
      <c r="G288" t="s">
        <v>34</v>
      </c>
      <c r="H288">
        <v>2</v>
      </c>
      <c r="I288">
        <v>63.76</v>
      </c>
      <c r="J288">
        <v>127.52</v>
      </c>
      <c r="K288" t="s">
        <v>23</v>
      </c>
    </row>
    <row r="289" spans="1:11" x14ac:dyDescent="0.25">
      <c r="A289" s="1">
        <v>44657</v>
      </c>
      <c r="B289" t="s">
        <v>41</v>
      </c>
      <c r="C289" t="s">
        <v>29</v>
      </c>
      <c r="D289" t="s">
        <v>42</v>
      </c>
      <c r="E289" t="s">
        <v>30</v>
      </c>
      <c r="F289" t="s">
        <v>32</v>
      </c>
      <c r="G289" t="s">
        <v>34</v>
      </c>
      <c r="H289">
        <v>2</v>
      </c>
      <c r="I289">
        <v>157.12</v>
      </c>
      <c r="J289">
        <v>314.24</v>
      </c>
      <c r="K289" t="s">
        <v>17</v>
      </c>
    </row>
    <row r="290" spans="1:11" x14ac:dyDescent="0.25">
      <c r="A290" s="1">
        <v>44658</v>
      </c>
      <c r="B290" t="s">
        <v>41</v>
      </c>
      <c r="C290" t="s">
        <v>29</v>
      </c>
      <c r="D290" t="s">
        <v>42</v>
      </c>
      <c r="E290" t="s">
        <v>26</v>
      </c>
      <c r="F290" t="s">
        <v>32</v>
      </c>
      <c r="G290" t="s">
        <v>27</v>
      </c>
      <c r="H290">
        <v>5</v>
      </c>
      <c r="I290">
        <v>293.20999999999998</v>
      </c>
      <c r="J290">
        <v>1466.05</v>
      </c>
      <c r="K290" t="s">
        <v>23</v>
      </c>
    </row>
    <row r="291" spans="1:11" x14ac:dyDescent="0.25">
      <c r="A291" s="1">
        <v>44650</v>
      </c>
      <c r="B291" t="s">
        <v>37</v>
      </c>
      <c r="C291" t="s">
        <v>29</v>
      </c>
      <c r="D291" t="s">
        <v>38</v>
      </c>
      <c r="E291" t="s">
        <v>30</v>
      </c>
      <c r="F291" t="s">
        <v>21</v>
      </c>
      <c r="G291" t="s">
        <v>34</v>
      </c>
      <c r="H291">
        <v>2</v>
      </c>
      <c r="I291">
        <v>142.25</v>
      </c>
      <c r="J291">
        <v>284.5</v>
      </c>
      <c r="K291" t="s">
        <v>35</v>
      </c>
    </row>
    <row r="292" spans="1:11" x14ac:dyDescent="0.25">
      <c r="A292" s="1">
        <v>44744</v>
      </c>
      <c r="B292" t="s">
        <v>37</v>
      </c>
      <c r="C292" t="s">
        <v>29</v>
      </c>
      <c r="D292" t="s">
        <v>38</v>
      </c>
      <c r="E292" t="s">
        <v>30</v>
      </c>
      <c r="F292" t="s">
        <v>40</v>
      </c>
      <c r="G292" t="s">
        <v>16</v>
      </c>
      <c r="H292">
        <v>1</v>
      </c>
      <c r="I292">
        <v>86.17</v>
      </c>
      <c r="J292">
        <v>86.17</v>
      </c>
      <c r="K292" t="s">
        <v>36</v>
      </c>
    </row>
    <row r="293" spans="1:11" x14ac:dyDescent="0.25">
      <c r="A293" s="1">
        <v>44751</v>
      </c>
      <c r="B293" t="s">
        <v>28</v>
      </c>
      <c r="C293" t="s">
        <v>29</v>
      </c>
      <c r="D293" t="s">
        <v>25</v>
      </c>
      <c r="E293" t="s">
        <v>26</v>
      </c>
      <c r="F293" t="s">
        <v>15</v>
      </c>
      <c r="G293" t="s">
        <v>39</v>
      </c>
      <c r="H293">
        <v>3</v>
      </c>
      <c r="I293">
        <v>172.37</v>
      </c>
      <c r="J293">
        <v>517.11</v>
      </c>
      <c r="K293" t="s">
        <v>17</v>
      </c>
    </row>
    <row r="294" spans="1:11" x14ac:dyDescent="0.25">
      <c r="A294" s="1">
        <v>44597</v>
      </c>
      <c r="B294" t="s">
        <v>37</v>
      </c>
      <c r="C294" t="s">
        <v>29</v>
      </c>
      <c r="D294" t="s">
        <v>38</v>
      </c>
      <c r="E294" t="s">
        <v>30</v>
      </c>
      <c r="F294" t="s">
        <v>40</v>
      </c>
      <c r="G294" t="s">
        <v>43</v>
      </c>
      <c r="H294">
        <v>3</v>
      </c>
      <c r="I294">
        <v>236.05</v>
      </c>
      <c r="J294">
        <v>708.15</v>
      </c>
      <c r="K294" t="s">
        <v>35</v>
      </c>
    </row>
    <row r="295" spans="1:11" x14ac:dyDescent="0.25">
      <c r="A295" s="1">
        <v>44753</v>
      </c>
      <c r="B295" t="s">
        <v>28</v>
      </c>
      <c r="C295" t="s">
        <v>29</v>
      </c>
      <c r="D295" t="s">
        <v>25</v>
      </c>
      <c r="E295" t="s">
        <v>30</v>
      </c>
      <c r="F295" t="s">
        <v>21</v>
      </c>
      <c r="G295" t="s">
        <v>34</v>
      </c>
      <c r="H295">
        <v>3</v>
      </c>
      <c r="I295">
        <v>256.72000000000003</v>
      </c>
      <c r="J295">
        <v>770.16</v>
      </c>
      <c r="K295" t="s">
        <v>35</v>
      </c>
    </row>
    <row r="296" spans="1:11" x14ac:dyDescent="0.25">
      <c r="A296" s="1">
        <v>44714</v>
      </c>
      <c r="B296" t="s">
        <v>24</v>
      </c>
      <c r="C296" t="s">
        <v>19</v>
      </c>
      <c r="D296" t="s">
        <v>25</v>
      </c>
      <c r="E296" t="s">
        <v>30</v>
      </c>
      <c r="F296" t="s">
        <v>15</v>
      </c>
      <c r="G296" t="s">
        <v>34</v>
      </c>
      <c r="H296">
        <v>4</v>
      </c>
      <c r="I296">
        <v>205.64</v>
      </c>
      <c r="J296">
        <v>822.56</v>
      </c>
      <c r="K296" t="s">
        <v>36</v>
      </c>
    </row>
    <row r="297" spans="1:11" x14ac:dyDescent="0.25">
      <c r="A297" s="1">
        <v>44710</v>
      </c>
      <c r="B297" t="s">
        <v>37</v>
      </c>
      <c r="C297" t="s">
        <v>29</v>
      </c>
      <c r="D297" t="s">
        <v>38</v>
      </c>
      <c r="E297" t="s">
        <v>30</v>
      </c>
      <c r="F297" t="s">
        <v>21</v>
      </c>
      <c r="G297" t="s">
        <v>27</v>
      </c>
      <c r="H297">
        <v>4</v>
      </c>
      <c r="I297">
        <v>68.180000000000007</v>
      </c>
      <c r="J297">
        <v>272.72000000000003</v>
      </c>
      <c r="K297" t="s">
        <v>23</v>
      </c>
    </row>
    <row r="298" spans="1:11" hidden="1" x14ac:dyDescent="0.25">
      <c r="A298" s="1">
        <v>44641</v>
      </c>
      <c r="B298" t="s">
        <v>45</v>
      </c>
      <c r="C298" t="s">
        <v>46</v>
      </c>
      <c r="D298" t="s">
        <v>47</v>
      </c>
      <c r="E298" t="s">
        <v>30</v>
      </c>
      <c r="F298" t="s">
        <v>15</v>
      </c>
      <c r="G298" t="s">
        <v>33</v>
      </c>
      <c r="H298">
        <v>4</v>
      </c>
      <c r="I298">
        <v>68.97</v>
      </c>
      <c r="J298">
        <v>275.88</v>
      </c>
      <c r="K298" t="s">
        <v>17</v>
      </c>
    </row>
    <row r="299" spans="1:11" x14ac:dyDescent="0.25">
      <c r="A299" s="1">
        <v>44718</v>
      </c>
      <c r="B299" t="s">
        <v>28</v>
      </c>
      <c r="C299" t="s">
        <v>29</v>
      </c>
      <c r="D299" t="s">
        <v>25</v>
      </c>
      <c r="E299" t="s">
        <v>14</v>
      </c>
      <c r="F299" t="s">
        <v>15</v>
      </c>
      <c r="G299" t="s">
        <v>27</v>
      </c>
      <c r="H299">
        <v>5</v>
      </c>
      <c r="I299">
        <v>123.23</v>
      </c>
      <c r="J299">
        <v>616.15</v>
      </c>
      <c r="K299" t="s">
        <v>36</v>
      </c>
    </row>
    <row r="300" spans="1:11" x14ac:dyDescent="0.25">
      <c r="A300" s="1">
        <v>44797</v>
      </c>
      <c r="B300" t="s">
        <v>24</v>
      </c>
      <c r="C300" t="s">
        <v>19</v>
      </c>
      <c r="D300" t="s">
        <v>25</v>
      </c>
      <c r="E300" t="s">
        <v>26</v>
      </c>
      <c r="F300" t="s">
        <v>21</v>
      </c>
      <c r="G300" t="s">
        <v>33</v>
      </c>
      <c r="H300">
        <v>5</v>
      </c>
      <c r="I300">
        <v>273</v>
      </c>
      <c r="J300">
        <v>1365</v>
      </c>
      <c r="K300" t="s">
        <v>17</v>
      </c>
    </row>
    <row r="301" spans="1:11" x14ac:dyDescent="0.25">
      <c r="A301" s="1">
        <v>44602</v>
      </c>
      <c r="B301" t="s">
        <v>18</v>
      </c>
      <c r="C301" t="s">
        <v>19</v>
      </c>
      <c r="D301" t="s">
        <v>20</v>
      </c>
      <c r="E301" t="s">
        <v>26</v>
      </c>
      <c r="F301" t="s">
        <v>32</v>
      </c>
      <c r="G301" t="s">
        <v>39</v>
      </c>
      <c r="H301">
        <v>3</v>
      </c>
      <c r="I301">
        <v>225.84</v>
      </c>
      <c r="J301">
        <v>677.52</v>
      </c>
      <c r="K301" t="s">
        <v>17</v>
      </c>
    </row>
    <row r="302" spans="1:11" x14ac:dyDescent="0.25">
      <c r="A302" s="1">
        <v>44621</v>
      </c>
      <c r="B302" t="s">
        <v>31</v>
      </c>
      <c r="C302" t="s">
        <v>19</v>
      </c>
      <c r="D302" t="s">
        <v>25</v>
      </c>
      <c r="E302" t="s">
        <v>26</v>
      </c>
      <c r="F302" t="s">
        <v>40</v>
      </c>
      <c r="G302" t="s">
        <v>39</v>
      </c>
      <c r="H302">
        <v>3</v>
      </c>
      <c r="I302">
        <v>235.36</v>
      </c>
      <c r="J302">
        <v>706.08</v>
      </c>
      <c r="K302" t="s">
        <v>36</v>
      </c>
    </row>
    <row r="303" spans="1:11" x14ac:dyDescent="0.25">
      <c r="A303" s="1">
        <v>44637</v>
      </c>
      <c r="B303" t="s">
        <v>18</v>
      </c>
      <c r="C303" t="s">
        <v>19</v>
      </c>
      <c r="D303" t="s">
        <v>20</v>
      </c>
      <c r="E303" t="s">
        <v>26</v>
      </c>
      <c r="F303" t="s">
        <v>40</v>
      </c>
      <c r="G303" t="s">
        <v>43</v>
      </c>
      <c r="H303">
        <v>5</v>
      </c>
      <c r="I303">
        <v>189.94</v>
      </c>
      <c r="J303">
        <v>949.7</v>
      </c>
      <c r="K303" t="s">
        <v>23</v>
      </c>
    </row>
    <row r="304" spans="1:11" x14ac:dyDescent="0.25">
      <c r="A304" s="1">
        <v>44564</v>
      </c>
      <c r="B304" t="s">
        <v>37</v>
      </c>
      <c r="C304" t="s">
        <v>29</v>
      </c>
      <c r="D304" t="s">
        <v>38</v>
      </c>
      <c r="E304" t="s">
        <v>26</v>
      </c>
      <c r="F304" t="s">
        <v>32</v>
      </c>
      <c r="G304" t="s">
        <v>22</v>
      </c>
      <c r="H304">
        <v>3</v>
      </c>
      <c r="I304">
        <v>110.2</v>
      </c>
      <c r="J304">
        <v>330.6</v>
      </c>
      <c r="K304" t="s">
        <v>17</v>
      </c>
    </row>
    <row r="305" spans="1:11" x14ac:dyDescent="0.25">
      <c r="A305" s="1">
        <v>44741</v>
      </c>
      <c r="B305" t="s">
        <v>37</v>
      </c>
      <c r="C305" t="s">
        <v>29</v>
      </c>
      <c r="D305" t="s">
        <v>38</v>
      </c>
      <c r="E305" t="s">
        <v>14</v>
      </c>
      <c r="F305" t="s">
        <v>40</v>
      </c>
      <c r="G305" t="s">
        <v>27</v>
      </c>
      <c r="H305">
        <v>2</v>
      </c>
      <c r="I305">
        <v>54.76</v>
      </c>
      <c r="J305">
        <v>109.52</v>
      </c>
      <c r="K305" t="s">
        <v>36</v>
      </c>
    </row>
    <row r="306" spans="1:11" x14ac:dyDescent="0.25">
      <c r="A306" s="1">
        <v>44714</v>
      </c>
      <c r="B306" t="s">
        <v>41</v>
      </c>
      <c r="C306" t="s">
        <v>29</v>
      </c>
      <c r="D306" t="s">
        <v>42</v>
      </c>
      <c r="E306" t="s">
        <v>26</v>
      </c>
      <c r="F306" t="s">
        <v>40</v>
      </c>
      <c r="G306" t="s">
        <v>33</v>
      </c>
      <c r="H306">
        <v>1</v>
      </c>
      <c r="I306">
        <v>296.56</v>
      </c>
      <c r="J306">
        <v>296.56</v>
      </c>
      <c r="K306" t="s">
        <v>35</v>
      </c>
    </row>
    <row r="307" spans="1:11" x14ac:dyDescent="0.25">
      <c r="A307" s="1">
        <v>44716</v>
      </c>
      <c r="B307" t="s">
        <v>18</v>
      </c>
      <c r="C307" t="s">
        <v>19</v>
      </c>
      <c r="D307" t="s">
        <v>20</v>
      </c>
      <c r="E307" t="s">
        <v>26</v>
      </c>
      <c r="F307" t="s">
        <v>40</v>
      </c>
      <c r="G307" t="s">
        <v>33</v>
      </c>
      <c r="H307">
        <v>1</v>
      </c>
      <c r="I307">
        <v>296.51</v>
      </c>
      <c r="J307">
        <v>296.51</v>
      </c>
      <c r="K307" t="s">
        <v>36</v>
      </c>
    </row>
    <row r="308" spans="1:11" hidden="1" x14ac:dyDescent="0.25">
      <c r="A308" s="1">
        <v>44654</v>
      </c>
      <c r="B308" t="s">
        <v>48</v>
      </c>
      <c r="C308" t="s">
        <v>49</v>
      </c>
      <c r="D308" t="s">
        <v>50</v>
      </c>
      <c r="E308" t="s">
        <v>30</v>
      </c>
      <c r="F308" t="s">
        <v>32</v>
      </c>
      <c r="G308" t="s">
        <v>43</v>
      </c>
      <c r="H308">
        <v>1</v>
      </c>
      <c r="I308">
        <v>89.5</v>
      </c>
      <c r="J308">
        <v>89.5</v>
      </c>
      <c r="K308" t="s">
        <v>35</v>
      </c>
    </row>
    <row r="309" spans="1:11" x14ac:dyDescent="0.25">
      <c r="A309" s="1">
        <v>44636</v>
      </c>
      <c r="B309" t="s">
        <v>18</v>
      </c>
      <c r="C309" t="s">
        <v>19</v>
      </c>
      <c r="D309" t="s">
        <v>20</v>
      </c>
      <c r="E309" t="s">
        <v>14</v>
      </c>
      <c r="F309" t="s">
        <v>32</v>
      </c>
      <c r="G309" t="s">
        <v>34</v>
      </c>
      <c r="H309">
        <v>3</v>
      </c>
      <c r="I309">
        <v>280.64</v>
      </c>
      <c r="J309">
        <v>841.92</v>
      </c>
      <c r="K309" t="s">
        <v>17</v>
      </c>
    </row>
    <row r="310" spans="1:11" x14ac:dyDescent="0.25">
      <c r="A310" s="1">
        <v>44607</v>
      </c>
      <c r="B310" t="s">
        <v>28</v>
      </c>
      <c r="C310" t="s">
        <v>29</v>
      </c>
      <c r="D310" t="s">
        <v>25</v>
      </c>
      <c r="E310" t="s">
        <v>26</v>
      </c>
      <c r="F310" t="s">
        <v>21</v>
      </c>
      <c r="G310" t="s">
        <v>39</v>
      </c>
      <c r="H310">
        <v>5</v>
      </c>
      <c r="I310">
        <v>234.28</v>
      </c>
      <c r="J310">
        <v>1171.4000000000001</v>
      </c>
      <c r="K310" t="s">
        <v>23</v>
      </c>
    </row>
    <row r="311" spans="1:11" x14ac:dyDescent="0.25">
      <c r="A311" s="1">
        <v>44562</v>
      </c>
      <c r="B311" t="s">
        <v>24</v>
      </c>
      <c r="C311" t="s">
        <v>19</v>
      </c>
      <c r="D311" t="s">
        <v>25</v>
      </c>
      <c r="E311" t="s">
        <v>26</v>
      </c>
      <c r="F311" t="s">
        <v>21</v>
      </c>
      <c r="G311" t="s">
        <v>16</v>
      </c>
      <c r="H311">
        <v>2</v>
      </c>
      <c r="I311">
        <v>294.89</v>
      </c>
      <c r="J311">
        <v>589.78</v>
      </c>
      <c r="K311" t="s">
        <v>36</v>
      </c>
    </row>
    <row r="312" spans="1:11" x14ac:dyDescent="0.25">
      <c r="A312" s="1">
        <v>44630</v>
      </c>
      <c r="B312" t="s">
        <v>31</v>
      </c>
      <c r="C312" t="s">
        <v>19</v>
      </c>
      <c r="D312" t="s">
        <v>25</v>
      </c>
      <c r="E312" t="s">
        <v>26</v>
      </c>
      <c r="F312" t="s">
        <v>40</v>
      </c>
      <c r="G312" t="s">
        <v>22</v>
      </c>
      <c r="H312">
        <v>1</v>
      </c>
      <c r="I312">
        <v>208.24</v>
      </c>
      <c r="J312">
        <v>208.24</v>
      </c>
      <c r="K312" t="s">
        <v>23</v>
      </c>
    </row>
    <row r="313" spans="1:11" x14ac:dyDescent="0.25">
      <c r="A313" s="1">
        <v>44659</v>
      </c>
      <c r="B313" t="s">
        <v>31</v>
      </c>
      <c r="C313" t="s">
        <v>19</v>
      </c>
      <c r="D313" t="s">
        <v>25</v>
      </c>
      <c r="E313" t="s">
        <v>30</v>
      </c>
      <c r="F313" t="s">
        <v>32</v>
      </c>
      <c r="G313" t="s">
        <v>43</v>
      </c>
      <c r="H313">
        <v>5</v>
      </c>
      <c r="I313">
        <v>94.25</v>
      </c>
      <c r="J313">
        <v>471.25</v>
      </c>
      <c r="K313" t="s">
        <v>36</v>
      </c>
    </row>
    <row r="314" spans="1:11" x14ac:dyDescent="0.25">
      <c r="A314" s="1">
        <v>44776</v>
      </c>
      <c r="B314" t="s">
        <v>28</v>
      </c>
      <c r="C314" t="s">
        <v>29</v>
      </c>
      <c r="D314" t="s">
        <v>25</v>
      </c>
      <c r="E314" t="s">
        <v>26</v>
      </c>
      <c r="F314" t="s">
        <v>32</v>
      </c>
      <c r="G314" t="s">
        <v>27</v>
      </c>
      <c r="H314">
        <v>5</v>
      </c>
      <c r="I314">
        <v>259</v>
      </c>
      <c r="J314">
        <v>1295</v>
      </c>
      <c r="K314" t="s">
        <v>17</v>
      </c>
    </row>
    <row r="315" spans="1:11" hidden="1" x14ac:dyDescent="0.25">
      <c r="A315" s="1">
        <v>44686</v>
      </c>
      <c r="B315" t="s">
        <v>48</v>
      </c>
      <c r="C315" t="s">
        <v>49</v>
      </c>
      <c r="D315" t="s">
        <v>50</v>
      </c>
      <c r="E315" t="s">
        <v>26</v>
      </c>
      <c r="F315" t="s">
        <v>32</v>
      </c>
      <c r="G315" t="s">
        <v>27</v>
      </c>
      <c r="H315">
        <v>4</v>
      </c>
      <c r="I315">
        <v>299.73</v>
      </c>
      <c r="J315">
        <v>1198.92</v>
      </c>
      <c r="K315" t="s">
        <v>23</v>
      </c>
    </row>
    <row r="316" spans="1:11" x14ac:dyDescent="0.25">
      <c r="A316" s="1">
        <v>44700</v>
      </c>
      <c r="B316" t="s">
        <v>44</v>
      </c>
      <c r="C316" t="s">
        <v>19</v>
      </c>
      <c r="D316" t="s">
        <v>20</v>
      </c>
      <c r="E316" t="s">
        <v>30</v>
      </c>
      <c r="F316" t="s">
        <v>32</v>
      </c>
      <c r="G316" t="s">
        <v>39</v>
      </c>
      <c r="H316">
        <v>5</v>
      </c>
      <c r="I316">
        <v>71.260000000000005</v>
      </c>
      <c r="J316">
        <v>356.3</v>
      </c>
      <c r="K316" t="s">
        <v>23</v>
      </c>
    </row>
    <row r="317" spans="1:11" x14ac:dyDescent="0.25">
      <c r="A317" s="1">
        <v>44759</v>
      </c>
      <c r="B317" t="s">
        <v>24</v>
      </c>
      <c r="C317" t="s">
        <v>19</v>
      </c>
      <c r="D317" t="s">
        <v>25</v>
      </c>
      <c r="E317" t="s">
        <v>26</v>
      </c>
      <c r="F317" t="s">
        <v>15</v>
      </c>
      <c r="G317" t="s">
        <v>16</v>
      </c>
      <c r="H317">
        <v>5</v>
      </c>
      <c r="I317">
        <v>270.14</v>
      </c>
      <c r="J317">
        <v>1350.7</v>
      </c>
      <c r="K317" t="s">
        <v>36</v>
      </c>
    </row>
  </sheetData>
  <mergeCells count="1">
    <mergeCell ref="N2:R2"/>
  </mergeCells>
  <pageMargins left="0.7" right="0.7" top="0.75" bottom="0.75" header="0.3" footer="0.3"/>
  <pageSetup orientation="portrait"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44EBF-DB0F-4227-950A-CF8610CA5C40}">
  <dimension ref="A1:AE46"/>
  <sheetViews>
    <sheetView topLeftCell="A13" zoomScale="66" zoomScaleNormal="66" workbookViewId="0">
      <selection activeCell="V46" sqref="V46"/>
    </sheetView>
  </sheetViews>
  <sheetFormatPr defaultRowHeight="15" x14ac:dyDescent="0.25"/>
  <cols>
    <col min="9" max="9" width="6.85546875" customWidth="1"/>
    <col min="17" max="17" width="12.140625" customWidth="1"/>
  </cols>
  <sheetData>
    <row r="1" spans="1:31" ht="15" customHeight="1" x14ac:dyDescent="0.25">
      <c r="A1" s="37" t="s">
        <v>176</v>
      </c>
      <c r="B1" s="38"/>
      <c r="C1" s="38"/>
      <c r="D1" s="38"/>
      <c r="E1" s="38"/>
      <c r="F1" s="38"/>
      <c r="G1" s="38"/>
      <c r="H1" s="38"/>
      <c r="I1" s="38"/>
      <c r="J1" s="38"/>
      <c r="K1" s="38"/>
      <c r="L1" s="38"/>
      <c r="M1" s="38"/>
      <c r="N1" s="38"/>
      <c r="O1" s="38"/>
      <c r="P1" s="38"/>
      <c r="Q1" s="38"/>
      <c r="R1" s="38"/>
      <c r="S1" s="38"/>
      <c r="T1" s="38"/>
      <c r="U1" s="38"/>
      <c r="V1" s="38"/>
      <c r="W1" s="38"/>
      <c r="X1" s="38"/>
      <c r="Y1" s="38"/>
      <c r="Z1" s="38"/>
      <c r="AA1" s="38"/>
      <c r="AB1" s="38"/>
      <c r="AC1" s="38"/>
      <c r="AD1" s="38"/>
      <c r="AE1" s="38"/>
    </row>
    <row r="2" spans="1:31" ht="15" customHeight="1" x14ac:dyDescent="0.25">
      <c r="A2" s="38"/>
      <c r="B2" s="38"/>
      <c r="C2" s="38"/>
      <c r="D2" s="38"/>
      <c r="E2" s="38"/>
      <c r="F2" s="38"/>
      <c r="G2" s="38"/>
      <c r="H2" s="38"/>
      <c r="I2" s="38"/>
      <c r="J2" s="38"/>
      <c r="K2" s="38"/>
      <c r="L2" s="38"/>
      <c r="M2" s="38"/>
      <c r="N2" s="38"/>
      <c r="O2" s="38"/>
      <c r="P2" s="38"/>
      <c r="Q2" s="38"/>
      <c r="R2" s="38"/>
      <c r="S2" s="38"/>
      <c r="T2" s="38"/>
      <c r="U2" s="38"/>
      <c r="V2" s="38"/>
      <c r="W2" s="38"/>
      <c r="X2" s="38"/>
      <c r="Y2" s="38"/>
      <c r="Z2" s="38"/>
      <c r="AA2" s="38"/>
      <c r="AB2" s="38"/>
      <c r="AC2" s="38"/>
      <c r="AD2" s="38"/>
      <c r="AE2" s="38"/>
    </row>
    <row r="3" spans="1:31" ht="15" customHeight="1" x14ac:dyDescent="0.25">
      <c r="A3" s="38"/>
      <c r="B3" s="38"/>
      <c r="C3" s="38"/>
      <c r="D3" s="38"/>
      <c r="E3" s="38"/>
      <c r="F3" s="38"/>
      <c r="G3" s="38"/>
      <c r="H3" s="38"/>
      <c r="I3" s="38"/>
      <c r="J3" s="38"/>
      <c r="K3" s="38"/>
      <c r="L3" s="38"/>
      <c r="M3" s="38"/>
      <c r="N3" s="38"/>
      <c r="O3" s="38"/>
      <c r="P3" s="38"/>
      <c r="Q3" s="38"/>
      <c r="R3" s="38"/>
      <c r="S3" s="38"/>
      <c r="T3" s="38"/>
      <c r="U3" s="38"/>
      <c r="V3" s="38"/>
      <c r="W3" s="38"/>
      <c r="X3" s="38"/>
      <c r="Y3" s="38"/>
      <c r="Z3" s="38"/>
      <c r="AA3" s="38"/>
      <c r="AB3" s="38"/>
      <c r="AC3" s="38"/>
      <c r="AD3" s="38"/>
      <c r="AE3" s="38"/>
    </row>
    <row r="4" spans="1:31" ht="15" customHeight="1" x14ac:dyDescent="0.25"/>
    <row r="5" spans="1:31" ht="15" customHeight="1" x14ac:dyDescent="0.25"/>
    <row r="6" spans="1:31" ht="15" customHeight="1" x14ac:dyDescent="0.25"/>
    <row r="7" spans="1:31" ht="15" customHeight="1" x14ac:dyDescent="0.25"/>
    <row r="15" spans="1:31" x14ac:dyDescent="0.25">
      <c r="K15" t="s">
        <v>184</v>
      </c>
    </row>
    <row r="16" spans="1:31" x14ac:dyDescent="0.25">
      <c r="K16" s="28"/>
    </row>
    <row r="18" ht="15" customHeight="1" x14ac:dyDescent="0.25"/>
    <row r="19" ht="15" customHeight="1" x14ac:dyDescent="0.25"/>
    <row r="20" ht="15" customHeight="1" x14ac:dyDescent="0.25"/>
    <row r="29" ht="15" customHeight="1" x14ac:dyDescent="0.25"/>
    <row r="30" ht="15" customHeight="1" x14ac:dyDescent="0.25"/>
    <row r="31" ht="15" customHeight="1" x14ac:dyDescent="0.25"/>
    <row r="46" spans="22:22" x14ac:dyDescent="0.25">
      <c r="V46" t="s">
        <v>189</v>
      </c>
    </row>
  </sheetData>
  <mergeCells count="1">
    <mergeCell ref="A1:AE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Sheet1</vt:lpstr>
      <vt:lpstr>Sales Data Sneakers  </vt:lpstr>
      <vt:lpstr>PB(1)</vt:lpstr>
      <vt:lpstr>PB(2)</vt:lpstr>
      <vt:lpstr>PB(3)</vt:lpstr>
      <vt:lpstr>PB(4)</vt:lpstr>
      <vt:lpstr>PB(5)</vt:lpstr>
      <vt:lpstr>PB (6)</vt:lpstr>
      <vt:lpstr>DB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Mitheelesh D</dc:creator>
  <cp:lastModifiedBy>acer</cp:lastModifiedBy>
  <dcterms:created xsi:type="dcterms:W3CDTF">2026-03-08T04:42:03Z</dcterms:created>
  <dcterms:modified xsi:type="dcterms:W3CDTF">2026-03-18T14:18:37Z</dcterms:modified>
</cp:coreProperties>
</file>